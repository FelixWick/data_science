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11.xml" ContentType="application/vnd.openxmlformats-officedocument.spreadsheetml.work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D:\Beruflich\Meine Lehrveranstaltungen\Vorlesungsinhalte\BbM-Stochastik\"/>
    </mc:Choice>
  </mc:AlternateContent>
  <bookViews>
    <workbookView xWindow="0" yWindow="60" windowWidth="14025" windowHeight="7575" tabRatio="808" firstSheet="12" activeTab="13"/>
  </bookViews>
  <sheets>
    <sheet name="Boxplot Altersklasse vs Größe" sheetId="28" r:id="rId1"/>
    <sheet name="Kastengrafik" sheetId="35" r:id="rId2"/>
    <sheet name="Tabellen Boxplots" sheetId="27" r:id="rId3"/>
    <sheet name="Blasendiagramm" sheetId="29" r:id="rId4"/>
    <sheet name="Urlisten sortiert Größe" sheetId="34" r:id="rId5"/>
    <sheet name="Urlisten sortiert Alter" sheetId="33" r:id="rId6"/>
    <sheet name="Streudiagramm" sheetId="37" r:id="rId7"/>
    <sheet name="Urlisten" sheetId="1" r:id="rId8"/>
    <sheet name="Stemplot Größe" sheetId="31" r:id="rId9"/>
    <sheet name="Stemplot Alter" sheetId="30" r:id="rId10"/>
    <sheet name="Häufigkeiten" sheetId="3" r:id="rId11"/>
    <sheet name="Häufigkeiten 2" sheetId="39" r:id="rId12"/>
    <sheet name="Tabellen Klassierte Maßzahlen" sheetId="32" r:id="rId13"/>
    <sheet name="Mittelwerte &amp; Varianzen" sheetId="2" r:id="rId14"/>
    <sheet name="Tabellen Verteilungsfunktionen" sheetId="19" r:id="rId15"/>
    <sheet name="Alter (absolut)" sheetId="16" r:id="rId16"/>
    <sheet name="Alter (relativ)" sheetId="17" r:id="rId17"/>
    <sheet name="Größe (absolut)" sheetId="23" r:id="rId18"/>
    <sheet name="Größe (relativ)" sheetId="24" r:id="rId19"/>
    <sheet name="Geschlecht" sheetId="10" r:id="rId20"/>
    <sheet name="Berufsausbildung" sheetId="9" r:id="rId21"/>
    <sheet name="Tabellen Histogramme" sheetId="25" r:id="rId22"/>
    <sheet name="Histogramm Alter" sheetId="26" r:id="rId23"/>
    <sheet name="Verteilungsfunktionen Alter" sheetId="21" r:id="rId24"/>
    <sheet name="Verteilungsfunktionen Größe" sheetId="22" r:id="rId25"/>
    <sheet name="2D-Alter-Größe" sheetId="4" r:id="rId26"/>
    <sheet name="2D-Alter-Größe 01" sheetId="38" r:id="rId27"/>
    <sheet name="2D-Alter-Größe 02" sheetId="40" r:id="rId28"/>
    <sheet name="Bedingte Verteilung Alter Größe" sheetId="41" r:id="rId29"/>
    <sheet name="2D-Größe-Geschlecht" sheetId="5" r:id="rId30"/>
    <sheet name="2D-Beruf-Geschlecht" sheetId="6" r:id="rId31"/>
    <sheet name="Punktschätzungen" sheetId="7" r:id="rId32"/>
    <sheet name="2D-Größe-Geschlecht-02" sheetId="42" r:id="rId33"/>
    <sheet name="Konfidenzintervalle" sheetId="11" r:id="rId34"/>
    <sheet name="Hypothesentests Geschlecht" sheetId="15" r:id="rId35"/>
    <sheet name="Hypothesentests Berufsausb." sheetId="14" r:id="rId36"/>
    <sheet name="Hypothesentests Körperlänge" sheetId="12" r:id="rId37"/>
    <sheet name="Hypothesentests Alter" sheetId="13" r:id="rId38"/>
  </sheets>
  <definedNames>
    <definedName name="_xlnm._FilterDatabase" localSheetId="25" hidden="1">'2D-Größe-Geschlecht'!#REF!</definedName>
    <definedName name="_xlnm._FilterDatabase" localSheetId="30" hidden="1">'2D-Beruf-Geschlecht'!$D$3:$E$58</definedName>
    <definedName name="_xlnm._FilterDatabase" localSheetId="31" hidden="1">Punktschätzungen!$F$3:$G$91</definedName>
    <definedName name="_xlchart.v1.0" hidden="1">'Tabellen Boxplots'!$D$2</definedName>
    <definedName name="_xlchart.v1.1" hidden="1">'Tabellen Boxplots'!$D$4:$D$16</definedName>
    <definedName name="_xlchart.v1.2" hidden="1">'Tabellen Boxplots'!$E$2</definedName>
    <definedName name="_xlchart.v1.3" hidden="1">'Tabellen Boxplots'!$E$4:$E$14</definedName>
    <definedName name="_xlchart.v1.4" hidden="1">'Tabellen Boxplots'!$F$2</definedName>
    <definedName name="_xlchart.v1.5" hidden="1">'Tabellen Boxplots'!$F$4:$F$17</definedName>
    <definedName name="_xlchart.v1.6" hidden="1">'Tabellen Boxplots'!$G$2</definedName>
    <definedName name="_xlchart.v1.7" hidden="1">'Tabellen Boxplots'!$G$4:$G$18</definedName>
    <definedName name="_xlchart.v1.8" hidden="1">'Tabellen Boxplots'!$H$2</definedName>
    <definedName name="_xlchart.v1.9" hidden="1">'Tabellen Boxplots'!$H$4:$H$20</definedName>
    <definedName name="_xlnm.Print_Area" localSheetId="26">'2D-Alter-Größe 01'!$B$2:$AB$30</definedName>
    <definedName name="_xlnm.Print_Area" localSheetId="27">'2D-Alter-Größe 02'!$BM$3:$CB$30</definedName>
    <definedName name="_xlnm.Print_Area" localSheetId="32">'2D-Größe-Geschlecht-02'!$A$2:$O$32</definedName>
    <definedName name="_xlnm.Print_Area" localSheetId="28">'Bedingte Verteilung Alter Größe'!$AF$35:$BJ$61</definedName>
    <definedName name="_xlnm.Print_Area" localSheetId="10">Häufigkeiten!$A$1:$AU$51</definedName>
    <definedName name="_xlnm.Print_Area" localSheetId="11">'Häufigkeiten 2'!$A$1:$AU$33</definedName>
    <definedName name="_xlnm.Print_Area" localSheetId="13">'Mittelwerte &amp; Varianzen'!$I$15:$O$22</definedName>
    <definedName name="_xlnm.Print_Area" localSheetId="2">'Tabellen Boxplots'!$C$2:$H$27</definedName>
    <definedName name="_xlnm.Print_Area" localSheetId="12">'Tabellen Klassierte Maßzahlen'!$A$3:$F$9</definedName>
    <definedName name="_xlnm.Print_Area" localSheetId="5">'Urlisten sortiert Alter'!$A$12:$AQ$42</definedName>
    <definedName name="_xlnm.Print_Area" localSheetId="4">'Urlisten sortiert Größe'!$A$12:$AQ$42</definedName>
  </definedNames>
  <calcPr calcId="162913"/>
</workbook>
</file>

<file path=xl/calcChain.xml><?xml version="1.0" encoding="utf-8"?>
<calcChain xmlns="http://schemas.openxmlformats.org/spreadsheetml/2006/main">
  <c r="G28" i="2" l="1"/>
  <c r="E21" i="42" l="1"/>
  <c r="D8" i="42" s="1"/>
  <c r="E18" i="42"/>
  <c r="E19" i="42"/>
  <c r="E20" i="42"/>
  <c r="D7" i="42"/>
  <c r="D9" i="42"/>
  <c r="D21" i="42"/>
  <c r="C21" i="42"/>
  <c r="K36" i="42"/>
  <c r="K37" i="42" s="1"/>
  <c r="K34" i="42"/>
  <c r="E17" i="42"/>
  <c r="E16" i="42"/>
  <c r="E15" i="42"/>
  <c r="C5" i="42"/>
  <c r="Y8" i="34"/>
  <c r="C8" i="42" l="1"/>
  <c r="E8" i="42" s="1"/>
  <c r="C9" i="42"/>
  <c r="E9" i="42" s="1"/>
  <c r="C7" i="42"/>
  <c r="E7" i="42" s="1"/>
  <c r="D5" i="42"/>
  <c r="E5" i="42" s="1"/>
  <c r="C6" i="42"/>
  <c r="C4" i="42"/>
  <c r="D4" i="42"/>
  <c r="D6" i="42"/>
  <c r="D10" i="42" l="1"/>
  <c r="N9" i="42" s="1"/>
  <c r="N20" i="42" s="1"/>
  <c r="I31" i="42" s="1"/>
  <c r="C10" i="42"/>
  <c r="M9" i="42" s="1"/>
  <c r="M20" i="42" s="1"/>
  <c r="H31" i="42" s="1"/>
  <c r="E10" i="42"/>
  <c r="N5" i="42"/>
  <c r="N16" i="42" s="1"/>
  <c r="I27" i="42" s="1"/>
  <c r="M7" i="42"/>
  <c r="M18" i="42" s="1"/>
  <c r="H29" i="42" s="1"/>
  <c r="N8" i="42"/>
  <c r="N19" i="42" s="1"/>
  <c r="I30" i="42" s="1"/>
  <c r="E6" i="42"/>
  <c r="E4" i="42"/>
  <c r="N7" i="42" l="1"/>
  <c r="N18" i="42" s="1"/>
  <c r="I29" i="42" s="1"/>
  <c r="M5" i="42"/>
  <c r="M16" i="42" s="1"/>
  <c r="H27" i="42" s="1"/>
  <c r="M8" i="42"/>
  <c r="M19" i="42" s="1"/>
  <c r="H30" i="42" s="1"/>
  <c r="M6" i="42"/>
  <c r="M17" i="42" s="1"/>
  <c r="H28" i="42" s="1"/>
  <c r="N6" i="42"/>
  <c r="N17" i="42" s="1"/>
  <c r="I28" i="42" s="1"/>
  <c r="M4" i="42"/>
  <c r="N4" i="42"/>
  <c r="N15" i="42" l="1"/>
  <c r="I26" i="42" s="1"/>
  <c r="N10" i="42"/>
  <c r="M10" i="42"/>
  <c r="O10" i="42"/>
  <c r="O9" i="42"/>
  <c r="O7" i="42"/>
  <c r="O8" i="42"/>
  <c r="O6" i="42"/>
  <c r="O5" i="42"/>
  <c r="O17" i="42"/>
  <c r="M15" i="42"/>
  <c r="H26" i="42" s="1"/>
  <c r="I32" i="42" s="1"/>
  <c r="O4" i="42"/>
  <c r="O16" i="42"/>
  <c r="M21" i="42" l="1"/>
  <c r="O21" i="42"/>
  <c r="N21" i="42"/>
  <c r="O20" i="42"/>
  <c r="O19" i="42"/>
  <c r="O18" i="42"/>
  <c r="O15" i="42"/>
  <c r="K35" i="42" l="1"/>
  <c r="K39" i="42"/>
  <c r="BL36" i="40" l="1"/>
  <c r="BH59" i="41"/>
  <c r="BG59" i="41"/>
  <c r="BF59" i="41"/>
  <c r="BE59" i="41"/>
  <c r="BD59" i="41"/>
  <c r="BC59" i="41"/>
  <c r="BB59" i="41"/>
  <c r="BA59" i="41"/>
  <c r="AZ59" i="41"/>
  <c r="AY59" i="41"/>
  <c r="AX59" i="41"/>
  <c r="AW59" i="41"/>
  <c r="AV59" i="41"/>
  <c r="AU59" i="41"/>
  <c r="AT59" i="41"/>
  <c r="AS59" i="41"/>
  <c r="AR59" i="41"/>
  <c r="AQ59" i="41"/>
  <c r="AP59" i="41"/>
  <c r="AO59" i="41"/>
  <c r="AN59" i="41"/>
  <c r="AM59" i="41"/>
  <c r="AL59" i="41"/>
  <c r="AK59" i="41"/>
  <c r="AJ59" i="41"/>
  <c r="AI59" i="41"/>
  <c r="AH59" i="41"/>
  <c r="BH58" i="41"/>
  <c r="BG58" i="41"/>
  <c r="BF58" i="41"/>
  <c r="BE58" i="41"/>
  <c r="BD58" i="41"/>
  <c r="BC58" i="41"/>
  <c r="BB58" i="41"/>
  <c r="BA58" i="41"/>
  <c r="AZ58" i="41"/>
  <c r="AY58" i="41"/>
  <c r="AX58" i="41"/>
  <c r="AW58" i="41"/>
  <c r="AV58" i="41"/>
  <c r="AU58" i="41"/>
  <c r="AT58" i="41"/>
  <c r="AS58" i="41"/>
  <c r="AR58" i="41"/>
  <c r="AQ58" i="41"/>
  <c r="AP58" i="41"/>
  <c r="AO58" i="41"/>
  <c r="AN58" i="41"/>
  <c r="AM58" i="41"/>
  <c r="AL58" i="41"/>
  <c r="AK58" i="41"/>
  <c r="AJ58" i="41"/>
  <c r="AI58" i="41"/>
  <c r="AH58" i="41"/>
  <c r="BH57" i="41"/>
  <c r="BG57" i="41"/>
  <c r="BF57" i="41"/>
  <c r="BE57" i="41"/>
  <c r="BD57" i="41"/>
  <c r="BC57" i="41"/>
  <c r="BB57" i="41"/>
  <c r="BA57" i="41"/>
  <c r="AZ57" i="41"/>
  <c r="AY57" i="41"/>
  <c r="AX57" i="41"/>
  <c r="AW57" i="41"/>
  <c r="AV57" i="41"/>
  <c r="AU57" i="41"/>
  <c r="AT57" i="41"/>
  <c r="AS57" i="41"/>
  <c r="AR57" i="41"/>
  <c r="AQ57" i="41"/>
  <c r="AP57" i="41"/>
  <c r="AO57" i="41"/>
  <c r="AN57" i="41"/>
  <c r="AM57" i="41"/>
  <c r="AL57" i="41"/>
  <c r="AK57" i="41"/>
  <c r="AJ57" i="41"/>
  <c r="AI57" i="41"/>
  <c r="AH57" i="41"/>
  <c r="BH56" i="41"/>
  <c r="BG56" i="41"/>
  <c r="BF56" i="41"/>
  <c r="BE56" i="41"/>
  <c r="BD56" i="41"/>
  <c r="BC56" i="41"/>
  <c r="BB56" i="41"/>
  <c r="BA56" i="41"/>
  <c r="AZ56" i="41"/>
  <c r="AY56" i="41"/>
  <c r="AX56" i="41"/>
  <c r="AW56" i="41"/>
  <c r="AV56" i="41"/>
  <c r="AU56" i="41"/>
  <c r="AT56" i="41"/>
  <c r="AS56" i="41"/>
  <c r="AR56" i="41"/>
  <c r="AQ56" i="41"/>
  <c r="AP56" i="41"/>
  <c r="AO56" i="41"/>
  <c r="AN56" i="41"/>
  <c r="AM56" i="41"/>
  <c r="AL56" i="41"/>
  <c r="AK56" i="41"/>
  <c r="AJ56" i="41"/>
  <c r="AI56" i="41"/>
  <c r="AH56" i="41"/>
  <c r="BH55" i="41"/>
  <c r="BG55" i="41"/>
  <c r="BF55" i="41"/>
  <c r="BE55" i="41"/>
  <c r="BD55" i="41"/>
  <c r="BC55" i="41"/>
  <c r="BB55" i="41"/>
  <c r="BA55" i="41"/>
  <c r="AZ55" i="41"/>
  <c r="AY55" i="41"/>
  <c r="AX55" i="41"/>
  <c r="AW55" i="41"/>
  <c r="AV55" i="41"/>
  <c r="AU55" i="41"/>
  <c r="AT55" i="41"/>
  <c r="AS55" i="41"/>
  <c r="AR55" i="41"/>
  <c r="AQ55" i="41"/>
  <c r="AP55" i="41"/>
  <c r="AO55" i="41"/>
  <c r="AN55" i="41"/>
  <c r="AM55" i="41"/>
  <c r="AL55" i="41"/>
  <c r="AK55" i="41"/>
  <c r="AJ55" i="41"/>
  <c r="AI55" i="41"/>
  <c r="AH55" i="41"/>
  <c r="BH54" i="41"/>
  <c r="BG54" i="41"/>
  <c r="BF54" i="41"/>
  <c r="BE54" i="41"/>
  <c r="BD54" i="41"/>
  <c r="BC54" i="41"/>
  <c r="BB54" i="41"/>
  <c r="BA54" i="41"/>
  <c r="AZ54" i="41"/>
  <c r="AY54" i="41"/>
  <c r="AX54" i="41"/>
  <c r="AW54" i="41"/>
  <c r="AV54" i="41"/>
  <c r="AU54" i="41"/>
  <c r="AT54" i="41"/>
  <c r="AS54" i="41"/>
  <c r="AR54" i="41"/>
  <c r="AQ54" i="41"/>
  <c r="AP54" i="41"/>
  <c r="AO54" i="41"/>
  <c r="AN54" i="41"/>
  <c r="AM54" i="41"/>
  <c r="AL54" i="41"/>
  <c r="AK54" i="41"/>
  <c r="AJ54" i="41"/>
  <c r="AJ60" i="41" s="1"/>
  <c r="AI54" i="41"/>
  <c r="AH54" i="41"/>
  <c r="BH53" i="41"/>
  <c r="BG53" i="41"/>
  <c r="BF53" i="41"/>
  <c r="BE53" i="41"/>
  <c r="BD53" i="41"/>
  <c r="BC53" i="41"/>
  <c r="BB53" i="41"/>
  <c r="BA53" i="41"/>
  <c r="AZ53" i="41"/>
  <c r="AY53" i="41"/>
  <c r="AX53" i="41"/>
  <c r="AW53" i="41"/>
  <c r="AV53" i="41"/>
  <c r="AU53" i="41"/>
  <c r="AT53" i="41"/>
  <c r="AS53" i="41"/>
  <c r="AR53" i="41"/>
  <c r="AQ53" i="41"/>
  <c r="AP53" i="41"/>
  <c r="AO53" i="41"/>
  <c r="AN53" i="41"/>
  <c r="AM53" i="41"/>
  <c r="AL53" i="41"/>
  <c r="AK53" i="41"/>
  <c r="AJ53" i="41"/>
  <c r="AI53" i="41"/>
  <c r="AH53" i="41"/>
  <c r="BH52" i="41"/>
  <c r="BG52" i="41"/>
  <c r="BF52" i="41"/>
  <c r="BE52" i="41"/>
  <c r="BD52" i="41"/>
  <c r="BC52" i="41"/>
  <c r="BB52" i="41"/>
  <c r="BA52" i="41"/>
  <c r="AZ52" i="41"/>
  <c r="AY52" i="41"/>
  <c r="AX52" i="41"/>
  <c r="AW52" i="41"/>
  <c r="AV52" i="41"/>
  <c r="AU52" i="41"/>
  <c r="AT52" i="41"/>
  <c r="AS52" i="41"/>
  <c r="AR52" i="41"/>
  <c r="AQ52" i="41"/>
  <c r="AP52" i="41"/>
  <c r="AO52" i="41"/>
  <c r="AN52" i="41"/>
  <c r="AM52" i="41"/>
  <c r="AL52" i="41"/>
  <c r="AK52" i="41"/>
  <c r="AJ52" i="41"/>
  <c r="AI52" i="41"/>
  <c r="AH52" i="41"/>
  <c r="BH51" i="41"/>
  <c r="BG51" i="41"/>
  <c r="BF51" i="41"/>
  <c r="BE51" i="41"/>
  <c r="BD51" i="41"/>
  <c r="BC51" i="41"/>
  <c r="BB51" i="41"/>
  <c r="BA51" i="41"/>
  <c r="AZ51" i="41"/>
  <c r="AZ60" i="41" s="1"/>
  <c r="AY51" i="41"/>
  <c r="AX51" i="41"/>
  <c r="AW51" i="41"/>
  <c r="AV51" i="41"/>
  <c r="AU51" i="41"/>
  <c r="AT51" i="41"/>
  <c r="AS51" i="41"/>
  <c r="AR51" i="41"/>
  <c r="AQ51" i="41"/>
  <c r="AP51" i="41"/>
  <c r="AO51" i="41"/>
  <c r="AN51" i="41"/>
  <c r="AM51" i="41"/>
  <c r="AL51" i="41"/>
  <c r="AK51" i="41"/>
  <c r="AJ51" i="41"/>
  <c r="AI51" i="41"/>
  <c r="AH51" i="41"/>
  <c r="BH50" i="41"/>
  <c r="BH60" i="41" s="1"/>
  <c r="BG50" i="41"/>
  <c r="BF50" i="41"/>
  <c r="BE50" i="41"/>
  <c r="BD50" i="41"/>
  <c r="BD60" i="41" s="1"/>
  <c r="BC50" i="41"/>
  <c r="BB50" i="41"/>
  <c r="BA50" i="41"/>
  <c r="AZ50" i="41"/>
  <c r="AY50" i="41"/>
  <c r="AX50" i="41"/>
  <c r="AW50" i="41"/>
  <c r="AV50" i="41"/>
  <c r="AU50" i="41"/>
  <c r="AT50" i="41"/>
  <c r="AS50" i="41"/>
  <c r="AR50" i="41"/>
  <c r="AR60" i="41" s="1"/>
  <c r="AQ50" i="41"/>
  <c r="AP50" i="41"/>
  <c r="AO50" i="41"/>
  <c r="AN50" i="41"/>
  <c r="AN60" i="41" s="1"/>
  <c r="AM50" i="41"/>
  <c r="AL50" i="41"/>
  <c r="AK50" i="41"/>
  <c r="AJ50" i="41"/>
  <c r="AI50" i="41"/>
  <c r="AH50" i="41"/>
  <c r="AV60" i="41"/>
  <c r="N31" i="41"/>
  <c r="T30" i="41" s="1"/>
  <c r="AB30" i="41"/>
  <c r="AA30" i="41"/>
  <c r="Z30" i="41"/>
  <c r="Y30" i="41"/>
  <c r="X30" i="41"/>
  <c r="W30" i="41"/>
  <c r="V30" i="41"/>
  <c r="U30" i="41"/>
  <c r="S30" i="41"/>
  <c r="AB29" i="41"/>
  <c r="Z29" i="41"/>
  <c r="Y29" i="41"/>
  <c r="X29" i="41"/>
  <c r="V29" i="41"/>
  <c r="U29" i="41"/>
  <c r="T29" i="41"/>
  <c r="S29" i="41"/>
  <c r="BH28" i="41"/>
  <c r="BH46" i="41" s="1"/>
  <c r="BG28" i="41"/>
  <c r="BG46" i="41" s="1"/>
  <c r="BE28" i="41"/>
  <c r="BE46" i="41" s="1"/>
  <c r="BD28" i="41"/>
  <c r="BD46" i="41" s="1"/>
  <c r="BC28" i="41"/>
  <c r="BC46" i="41" s="1"/>
  <c r="BB28" i="41"/>
  <c r="BB46" i="41" s="1"/>
  <c r="BA28" i="41"/>
  <c r="BA46" i="41" s="1"/>
  <c r="AZ28" i="41"/>
  <c r="AZ46" i="41" s="1"/>
  <c r="AY28" i="41"/>
  <c r="AY46" i="41" s="1"/>
  <c r="AX28" i="41"/>
  <c r="AX46" i="41" s="1"/>
  <c r="AW28" i="41"/>
  <c r="AW46" i="41" s="1"/>
  <c r="AV28" i="41"/>
  <c r="AV46" i="41" s="1"/>
  <c r="AU28" i="41"/>
  <c r="AU46" i="41" s="1"/>
  <c r="AT28" i="41"/>
  <c r="AT46" i="41" s="1"/>
  <c r="AS28" i="41"/>
  <c r="AS46" i="41" s="1"/>
  <c r="AR28" i="41"/>
  <c r="AR46" i="41" s="1"/>
  <c r="AQ28" i="41"/>
  <c r="AQ46" i="41" s="1"/>
  <c r="AP28" i="41"/>
  <c r="AP46" i="41" s="1"/>
  <c r="AN28" i="41"/>
  <c r="AN46" i="41" s="1"/>
  <c r="AM28" i="41"/>
  <c r="AM46" i="41" s="1"/>
  <c r="AL28" i="41"/>
  <c r="AL46" i="41" s="1"/>
  <c r="AK28" i="41"/>
  <c r="AK46" i="41" s="1"/>
  <c r="AJ28" i="41"/>
  <c r="AJ46" i="41" s="1"/>
  <c r="AI28" i="41"/>
  <c r="AI46" i="41" s="1"/>
  <c r="AH28" i="41"/>
  <c r="AH46" i="41" s="1"/>
  <c r="AA28" i="41"/>
  <c r="Z28" i="41"/>
  <c r="Y28" i="41"/>
  <c r="X28" i="41"/>
  <c r="W28" i="41"/>
  <c r="V28" i="41"/>
  <c r="U28" i="41"/>
  <c r="T28" i="41"/>
  <c r="S28" i="41"/>
  <c r="BH27" i="41"/>
  <c r="BH45" i="41" s="1"/>
  <c r="BF27" i="41"/>
  <c r="BF45" i="41" s="1"/>
  <c r="BE27" i="41"/>
  <c r="BE45" i="41" s="1"/>
  <c r="BD27" i="41"/>
  <c r="BD45" i="41" s="1"/>
  <c r="BC27" i="41"/>
  <c r="BC45" i="41" s="1"/>
  <c r="BB27" i="41"/>
  <c r="BB45" i="41" s="1"/>
  <c r="BA27" i="41"/>
  <c r="BA45" i="41" s="1"/>
  <c r="AZ27" i="41"/>
  <c r="AZ45" i="41" s="1"/>
  <c r="AY27" i="41"/>
  <c r="AY45" i="41" s="1"/>
  <c r="AX27" i="41"/>
  <c r="AX45" i="41" s="1"/>
  <c r="AW27" i="41"/>
  <c r="AW45" i="41" s="1"/>
  <c r="AV27" i="41"/>
  <c r="AV45" i="41" s="1"/>
  <c r="AU27" i="41"/>
  <c r="AU45" i="41" s="1"/>
  <c r="AT27" i="41"/>
  <c r="AT45" i="41" s="1"/>
  <c r="AS27" i="41"/>
  <c r="AS45" i="41" s="1"/>
  <c r="AR27" i="41"/>
  <c r="AR45" i="41" s="1"/>
  <c r="AQ27" i="41"/>
  <c r="AQ45" i="41" s="1"/>
  <c r="AP27" i="41"/>
  <c r="AP45" i="41" s="1"/>
  <c r="AO27" i="41"/>
  <c r="AO45" i="41" s="1"/>
  <c r="AN27" i="41"/>
  <c r="AN45" i="41" s="1"/>
  <c r="AM27" i="41"/>
  <c r="AM45" i="41" s="1"/>
  <c r="AL27" i="41"/>
  <c r="AL45" i="41" s="1"/>
  <c r="AK27" i="41"/>
  <c r="AK45" i="41" s="1"/>
  <c r="AJ27" i="41"/>
  <c r="AJ45" i="41" s="1"/>
  <c r="AI27" i="41"/>
  <c r="AI45" i="41" s="1"/>
  <c r="AH27" i="41"/>
  <c r="AH45" i="41" s="1"/>
  <c r="AB27" i="41"/>
  <c r="AA27" i="41"/>
  <c r="Z27" i="41"/>
  <c r="Y27" i="41"/>
  <c r="X27" i="41"/>
  <c r="V27" i="41"/>
  <c r="U27" i="41"/>
  <c r="T27" i="41"/>
  <c r="S27" i="41"/>
  <c r="BH26" i="41"/>
  <c r="BH44" i="41" s="1"/>
  <c r="BG26" i="41"/>
  <c r="BG44" i="41" s="1"/>
  <c r="BF26" i="41"/>
  <c r="BF44" i="41" s="1"/>
  <c r="BE26" i="41"/>
  <c r="BE44" i="41" s="1"/>
  <c r="BD26" i="41"/>
  <c r="BD44" i="41" s="1"/>
  <c r="BC26" i="41"/>
  <c r="BC44" i="41" s="1"/>
  <c r="AZ26" i="41"/>
  <c r="AZ44" i="41" s="1"/>
  <c r="AX26" i="41"/>
  <c r="AX44" i="41" s="1"/>
  <c r="AW26" i="41"/>
  <c r="AW44" i="41" s="1"/>
  <c r="AV26" i="41"/>
  <c r="AV44" i="41" s="1"/>
  <c r="AT26" i="41"/>
  <c r="AT44" i="41" s="1"/>
  <c r="AS26" i="41"/>
  <c r="AS44" i="41" s="1"/>
  <c r="AR26" i="41"/>
  <c r="AR44" i="41" s="1"/>
  <c r="AQ26" i="41"/>
  <c r="AQ44" i="41" s="1"/>
  <c r="AP26" i="41"/>
  <c r="AP44" i="41" s="1"/>
  <c r="AO26" i="41"/>
  <c r="AO44" i="41" s="1"/>
  <c r="AN26" i="41"/>
  <c r="AN44" i="41" s="1"/>
  <c r="AM26" i="41"/>
  <c r="AM44" i="41" s="1"/>
  <c r="AK26" i="41"/>
  <c r="AK44" i="41" s="1"/>
  <c r="AJ26" i="41"/>
  <c r="AJ44" i="41" s="1"/>
  <c r="AI26" i="41"/>
  <c r="AI44" i="41" s="1"/>
  <c r="AH26" i="41"/>
  <c r="AH44" i="41" s="1"/>
  <c r="AB26" i="41"/>
  <c r="AA26" i="41"/>
  <c r="Z26" i="41"/>
  <c r="Y26" i="41"/>
  <c r="X26" i="41"/>
  <c r="W26" i="41"/>
  <c r="U26" i="41"/>
  <c r="T26" i="41"/>
  <c r="S26" i="41"/>
  <c r="BH25" i="41"/>
  <c r="BH43" i="41" s="1"/>
  <c r="BG25" i="41"/>
  <c r="BG43" i="41" s="1"/>
  <c r="BF25" i="41"/>
  <c r="BF43" i="41" s="1"/>
  <c r="BE25" i="41"/>
  <c r="BE43" i="41" s="1"/>
  <c r="BD25" i="41"/>
  <c r="BD43" i="41" s="1"/>
  <c r="BB25" i="41"/>
  <c r="BB43" i="41" s="1"/>
  <c r="BA25" i="41"/>
  <c r="BA43" i="41" s="1"/>
  <c r="AY25" i="41"/>
  <c r="AY43" i="41" s="1"/>
  <c r="AU25" i="41"/>
  <c r="AU43" i="41" s="1"/>
  <c r="AT25" i="41"/>
  <c r="AT43" i="41" s="1"/>
  <c r="AS25" i="41"/>
  <c r="AS43" i="41" s="1"/>
  <c r="AQ25" i="41"/>
  <c r="AQ43" i="41" s="1"/>
  <c r="AO25" i="41"/>
  <c r="AO43" i="41" s="1"/>
  <c r="AN25" i="41"/>
  <c r="AN43" i="41" s="1"/>
  <c r="AM25" i="41"/>
  <c r="AM43" i="41" s="1"/>
  <c r="AL25" i="41"/>
  <c r="AL43" i="41" s="1"/>
  <c r="AK25" i="41"/>
  <c r="AK43" i="41" s="1"/>
  <c r="AJ25" i="41"/>
  <c r="AJ43" i="41" s="1"/>
  <c r="AI25" i="41"/>
  <c r="AI43" i="41" s="1"/>
  <c r="AH25" i="41"/>
  <c r="AH43" i="41" s="1"/>
  <c r="AB25" i="41"/>
  <c r="AA25" i="41"/>
  <c r="Z25" i="41"/>
  <c r="X25" i="41"/>
  <c r="W25" i="41"/>
  <c r="U25" i="41"/>
  <c r="T25" i="41"/>
  <c r="S25" i="41"/>
  <c r="BH24" i="41"/>
  <c r="BH42" i="41" s="1"/>
  <c r="BG24" i="41"/>
  <c r="BG42" i="41" s="1"/>
  <c r="BF24" i="41"/>
  <c r="BF42" i="41" s="1"/>
  <c r="BE24" i="41"/>
  <c r="BE42" i="41" s="1"/>
  <c r="BD24" i="41"/>
  <c r="BD42" i="41" s="1"/>
  <c r="BC24" i="41"/>
  <c r="BC42" i="41" s="1"/>
  <c r="BB24" i="41"/>
  <c r="BB42" i="41" s="1"/>
  <c r="BA24" i="41"/>
  <c r="BA42" i="41" s="1"/>
  <c r="AX24" i="41"/>
  <c r="AX42" i="41" s="1"/>
  <c r="AW24" i="41"/>
  <c r="AW42" i="41" s="1"/>
  <c r="AV24" i="41"/>
  <c r="AV42" i="41" s="1"/>
  <c r="AU24" i="41"/>
  <c r="AU42" i="41" s="1"/>
  <c r="AT24" i="41"/>
  <c r="AT42" i="41" s="1"/>
  <c r="AS24" i="41"/>
  <c r="AS42" i="41" s="1"/>
  <c r="AR24" i="41"/>
  <c r="AR42" i="41" s="1"/>
  <c r="AO24" i="41"/>
  <c r="AO42" i="41" s="1"/>
  <c r="AN24" i="41"/>
  <c r="AN42" i="41" s="1"/>
  <c r="AM24" i="41"/>
  <c r="AM42" i="41" s="1"/>
  <c r="AL24" i="41"/>
  <c r="AL42" i="41" s="1"/>
  <c r="AK24" i="41"/>
  <c r="AK42" i="41" s="1"/>
  <c r="AJ24" i="41"/>
  <c r="AJ42" i="41" s="1"/>
  <c r="AH24" i="41"/>
  <c r="AH42" i="41" s="1"/>
  <c r="AB24" i="41"/>
  <c r="AA24" i="41"/>
  <c r="Y24" i="41"/>
  <c r="X24" i="41"/>
  <c r="W24" i="41"/>
  <c r="S24" i="41"/>
  <c r="BH23" i="41"/>
  <c r="BH41" i="41" s="1"/>
  <c r="BF23" i="41"/>
  <c r="BF41" i="41" s="1"/>
  <c r="BD23" i="41"/>
  <c r="BD41" i="41" s="1"/>
  <c r="BC23" i="41"/>
  <c r="BC41" i="41" s="1"/>
  <c r="BA23" i="41"/>
  <c r="BA41" i="41" s="1"/>
  <c r="AZ23" i="41"/>
  <c r="AZ41" i="41" s="1"/>
  <c r="AY23" i="41"/>
  <c r="AY41" i="41" s="1"/>
  <c r="AX23" i="41"/>
  <c r="AX41" i="41" s="1"/>
  <c r="AU23" i="41"/>
  <c r="AU41" i="41" s="1"/>
  <c r="AT23" i="41"/>
  <c r="AT41" i="41" s="1"/>
  <c r="AS23" i="41"/>
  <c r="AS41" i="41" s="1"/>
  <c r="AR23" i="41"/>
  <c r="AR41" i="41" s="1"/>
  <c r="AQ23" i="41"/>
  <c r="AQ41" i="41" s="1"/>
  <c r="AO23" i="41"/>
  <c r="AO41" i="41" s="1"/>
  <c r="AN23" i="41"/>
  <c r="AN41" i="41" s="1"/>
  <c r="AM23" i="41"/>
  <c r="AM41" i="41" s="1"/>
  <c r="AL23" i="41"/>
  <c r="AL41" i="41" s="1"/>
  <c r="AK23" i="41"/>
  <c r="AK41" i="41" s="1"/>
  <c r="AJ23" i="41"/>
  <c r="AJ41" i="41" s="1"/>
  <c r="AB23" i="41"/>
  <c r="AA23" i="41"/>
  <c r="Y23" i="41"/>
  <c r="X23" i="41"/>
  <c r="W23" i="41"/>
  <c r="T23" i="41"/>
  <c r="S23" i="41"/>
  <c r="BH22" i="41"/>
  <c r="BH40" i="41" s="1"/>
  <c r="BG22" i="41"/>
  <c r="BG40" i="41" s="1"/>
  <c r="BF22" i="41"/>
  <c r="BF40" i="41" s="1"/>
  <c r="BE22" i="41"/>
  <c r="BE40" i="41" s="1"/>
  <c r="AZ22" i="41"/>
  <c r="AZ40" i="41" s="1"/>
  <c r="AY22" i="41"/>
  <c r="AY40" i="41" s="1"/>
  <c r="AW22" i="41"/>
  <c r="AW40" i="41" s="1"/>
  <c r="AV22" i="41"/>
  <c r="AV40" i="41" s="1"/>
  <c r="AU22" i="41"/>
  <c r="AU40" i="41" s="1"/>
  <c r="AS22" i="41"/>
  <c r="AS40" i="41" s="1"/>
  <c r="AR22" i="41"/>
  <c r="AR40" i="41" s="1"/>
  <c r="AQ22" i="41"/>
  <c r="AQ40" i="41" s="1"/>
  <c r="AO22" i="41"/>
  <c r="AO40" i="41" s="1"/>
  <c r="AN22" i="41"/>
  <c r="AN40" i="41" s="1"/>
  <c r="AL22" i="41"/>
  <c r="AL40" i="41" s="1"/>
  <c r="AK22" i="41"/>
  <c r="AK40" i="41" s="1"/>
  <c r="AH22" i="41"/>
  <c r="AH40" i="41" s="1"/>
  <c r="AB22" i="41"/>
  <c r="AA22" i="41"/>
  <c r="Z22" i="41"/>
  <c r="W22" i="41"/>
  <c r="V22" i="41"/>
  <c r="U22" i="41"/>
  <c r="S22" i="41"/>
  <c r="BH21" i="41"/>
  <c r="BH39" i="41" s="1"/>
  <c r="BG21" i="41"/>
  <c r="BG39" i="41" s="1"/>
  <c r="BF21" i="41"/>
  <c r="BF39" i="41" s="1"/>
  <c r="BE21" i="41"/>
  <c r="BE39" i="41" s="1"/>
  <c r="BD21" i="41"/>
  <c r="BD39" i="41" s="1"/>
  <c r="BC21" i="41"/>
  <c r="BC39" i="41" s="1"/>
  <c r="AZ21" i="41"/>
  <c r="AZ39" i="41" s="1"/>
  <c r="AY21" i="41"/>
  <c r="AY39" i="41" s="1"/>
  <c r="AX21" i="41"/>
  <c r="AX39" i="41" s="1"/>
  <c r="AU21" i="41"/>
  <c r="AU39" i="41" s="1"/>
  <c r="AR21" i="41"/>
  <c r="AR39" i="41" s="1"/>
  <c r="AQ21" i="41"/>
  <c r="AQ39" i="41" s="1"/>
  <c r="AP21" i="41"/>
  <c r="AP39" i="41" s="1"/>
  <c r="AO21" i="41"/>
  <c r="AO39" i="41" s="1"/>
  <c r="AN21" i="41"/>
  <c r="AN39" i="41" s="1"/>
  <c r="AL21" i="41"/>
  <c r="AL39" i="41" s="1"/>
  <c r="AJ21" i="41"/>
  <c r="AJ39" i="41" s="1"/>
  <c r="AH21" i="41"/>
  <c r="AH39" i="41" s="1"/>
  <c r="AB21" i="41"/>
  <c r="AA21" i="41"/>
  <c r="Y21" i="41"/>
  <c r="W21" i="41"/>
  <c r="V21" i="41"/>
  <c r="U21" i="41"/>
  <c r="S21" i="41"/>
  <c r="BG20" i="41"/>
  <c r="BG38" i="41" s="1"/>
  <c r="BF20" i="41"/>
  <c r="BF38" i="41" s="1"/>
  <c r="BE20" i="41"/>
  <c r="BE38" i="41" s="1"/>
  <c r="BD20" i="41"/>
  <c r="BD38" i="41" s="1"/>
  <c r="BC20" i="41"/>
  <c r="BC38" i="41" s="1"/>
  <c r="BA20" i="41"/>
  <c r="BA38" i="41" s="1"/>
  <c r="AW20" i="41"/>
  <c r="AW38" i="41" s="1"/>
  <c r="AV20" i="41"/>
  <c r="AV38" i="41" s="1"/>
  <c r="AU20" i="41"/>
  <c r="AU38" i="41" s="1"/>
  <c r="AS20" i="41"/>
  <c r="AS38" i="41" s="1"/>
  <c r="AR20" i="41"/>
  <c r="AR38" i="41" s="1"/>
  <c r="AQ20" i="41"/>
  <c r="AQ38" i="41" s="1"/>
  <c r="AO20" i="41"/>
  <c r="AO38" i="41" s="1"/>
  <c r="AN20" i="41"/>
  <c r="AN38" i="41" s="1"/>
  <c r="AM20" i="41"/>
  <c r="AM38" i="41" s="1"/>
  <c r="AL20" i="41"/>
  <c r="AL38" i="41" s="1"/>
  <c r="AJ20" i="41"/>
  <c r="AJ38" i="41" s="1"/>
  <c r="AI20" i="41"/>
  <c r="AI38" i="41" s="1"/>
  <c r="AH20" i="41"/>
  <c r="AH38" i="41" s="1"/>
  <c r="AB20" i="41"/>
  <c r="AA20" i="41"/>
  <c r="Z20" i="41"/>
  <c r="X20" i="41"/>
  <c r="W20" i="41"/>
  <c r="U20" i="41"/>
  <c r="T20" i="41"/>
  <c r="S20" i="41"/>
  <c r="BH19" i="41"/>
  <c r="BH37" i="41" s="1"/>
  <c r="BG19" i="41"/>
  <c r="BG37" i="41" s="1"/>
  <c r="BF19" i="41"/>
  <c r="BF37" i="41" s="1"/>
  <c r="BE19" i="41"/>
  <c r="BE37" i="41" s="1"/>
  <c r="BD19" i="41"/>
  <c r="BD37" i="41" s="1"/>
  <c r="BC19" i="41"/>
  <c r="BC37" i="41" s="1"/>
  <c r="BB19" i="41"/>
  <c r="BB37" i="41" s="1"/>
  <c r="BA19" i="41"/>
  <c r="BA37" i="41" s="1"/>
  <c r="AZ19" i="41"/>
  <c r="AZ37" i="41" s="1"/>
  <c r="AX19" i="41"/>
  <c r="AX37" i="41" s="1"/>
  <c r="AW19" i="41"/>
  <c r="AW37" i="41" s="1"/>
  <c r="AV19" i="41"/>
  <c r="AV37" i="41" s="1"/>
  <c r="AU19" i="41"/>
  <c r="AU37" i="41" s="1"/>
  <c r="AT19" i="41"/>
  <c r="AT37" i="41" s="1"/>
  <c r="AS19" i="41"/>
  <c r="AS37" i="41" s="1"/>
  <c r="AR19" i="41"/>
  <c r="AR37" i="41" s="1"/>
  <c r="AQ19" i="41"/>
  <c r="AQ37" i="41" s="1"/>
  <c r="AP19" i="41"/>
  <c r="AP37" i="41" s="1"/>
  <c r="AO19" i="41"/>
  <c r="AO37" i="41" s="1"/>
  <c r="AM19" i="41"/>
  <c r="AM37" i="41" s="1"/>
  <c r="AL19" i="41"/>
  <c r="AL37" i="41" s="1"/>
  <c r="AK19" i="41"/>
  <c r="AK37" i="41" s="1"/>
  <c r="AJ19" i="41"/>
  <c r="AJ37" i="41" s="1"/>
  <c r="AH19" i="41"/>
  <c r="AH37" i="41" s="1"/>
  <c r="AB19" i="41"/>
  <c r="AA19" i="41"/>
  <c r="Z19" i="41"/>
  <c r="X19" i="41"/>
  <c r="V19" i="41"/>
  <c r="T19" i="41"/>
  <c r="S19" i="41"/>
  <c r="AB18" i="41"/>
  <c r="AA18" i="41"/>
  <c r="Z18" i="41"/>
  <c r="X18" i="41"/>
  <c r="V18" i="41"/>
  <c r="T18" i="41"/>
  <c r="S18" i="41"/>
  <c r="AB17" i="41"/>
  <c r="AA17" i="41"/>
  <c r="Z17" i="41"/>
  <c r="Y17" i="41"/>
  <c r="X17" i="41"/>
  <c r="W17" i="41"/>
  <c r="V17" i="41"/>
  <c r="U17" i="41"/>
  <c r="T17" i="41"/>
  <c r="S17" i="41"/>
  <c r="AB16" i="41"/>
  <c r="AA16" i="41"/>
  <c r="Z16" i="41"/>
  <c r="Y16" i="41"/>
  <c r="X16" i="41"/>
  <c r="W16" i="41"/>
  <c r="T16" i="41"/>
  <c r="S16" i="41"/>
  <c r="AB15" i="41"/>
  <c r="AA15" i="41"/>
  <c r="Z15" i="41"/>
  <c r="Y15" i="41"/>
  <c r="X15" i="41"/>
  <c r="W15" i="41"/>
  <c r="V15" i="41"/>
  <c r="T15" i="41"/>
  <c r="S15" i="41"/>
  <c r="BI14" i="41"/>
  <c r="BF28" i="41" s="1"/>
  <c r="AB14" i="41"/>
  <c r="AA14" i="41"/>
  <c r="Z14" i="41"/>
  <c r="Y14" i="41"/>
  <c r="X14" i="41"/>
  <c r="W14" i="41"/>
  <c r="V14" i="41"/>
  <c r="U14" i="41"/>
  <c r="T14" i="41"/>
  <c r="S14" i="41"/>
  <c r="AB13" i="41"/>
  <c r="AA13" i="41"/>
  <c r="Z13" i="41"/>
  <c r="Y13" i="41"/>
  <c r="W13" i="41"/>
  <c r="V13" i="41"/>
  <c r="U13" i="41"/>
  <c r="T13" i="41"/>
  <c r="S13" i="41"/>
  <c r="AB12" i="41"/>
  <c r="AA12" i="41"/>
  <c r="Z12" i="41"/>
  <c r="Y12" i="41"/>
  <c r="U12" i="41"/>
  <c r="S12" i="41"/>
  <c r="AA11" i="41"/>
  <c r="Z11" i="41"/>
  <c r="Y11" i="41"/>
  <c r="X11" i="41"/>
  <c r="W11" i="41"/>
  <c r="V11" i="41"/>
  <c r="U11" i="41"/>
  <c r="T11" i="41"/>
  <c r="S11" i="41"/>
  <c r="AB10" i="41"/>
  <c r="AA10" i="41"/>
  <c r="Z10" i="41"/>
  <c r="Y10" i="41"/>
  <c r="X10" i="41"/>
  <c r="W10" i="41"/>
  <c r="V10" i="41"/>
  <c r="U10" i="41"/>
  <c r="T10" i="41"/>
  <c r="AB9" i="41"/>
  <c r="AA9" i="41"/>
  <c r="Z9" i="41"/>
  <c r="Y9" i="41"/>
  <c r="X9" i="41"/>
  <c r="W9" i="41"/>
  <c r="T9" i="41"/>
  <c r="S9" i="41"/>
  <c r="AB8" i="41"/>
  <c r="AA8" i="41"/>
  <c r="Y8" i="41"/>
  <c r="X8" i="41"/>
  <c r="W8" i="41"/>
  <c r="V8" i="41"/>
  <c r="U8" i="41"/>
  <c r="T8" i="41"/>
  <c r="S8" i="41"/>
  <c r="AB7" i="41"/>
  <c r="AA7" i="41"/>
  <c r="Z7" i="41"/>
  <c r="Y7" i="41"/>
  <c r="X7" i="41"/>
  <c r="W7" i="41"/>
  <c r="V7" i="41"/>
  <c r="S7" i="41"/>
  <c r="AB6" i="41"/>
  <c r="AA6" i="41"/>
  <c r="Z6" i="41"/>
  <c r="Y6" i="41"/>
  <c r="X6" i="41"/>
  <c r="W6" i="41"/>
  <c r="U6" i="41"/>
  <c r="T6" i="41"/>
  <c r="S6" i="41"/>
  <c r="AB5" i="41"/>
  <c r="AA5" i="41"/>
  <c r="Z5" i="41"/>
  <c r="Y5" i="41"/>
  <c r="W5" i="41"/>
  <c r="T5" i="41"/>
  <c r="S5" i="41"/>
  <c r="AB4" i="41"/>
  <c r="AA4" i="41"/>
  <c r="Z4" i="41"/>
  <c r="Y4" i="41"/>
  <c r="X4" i="41"/>
  <c r="V4" i="41"/>
  <c r="U4" i="41"/>
  <c r="T4" i="41"/>
  <c r="S4" i="41"/>
  <c r="G37" i="32"/>
  <c r="G38" i="32" s="1"/>
  <c r="G39" i="32" s="1"/>
  <c r="G40" i="32" s="1"/>
  <c r="G41" i="32" s="1"/>
  <c r="G42" i="32" s="1"/>
  <c r="G9" i="32"/>
  <c r="G8" i="32"/>
  <c r="G7" i="32"/>
  <c r="G6" i="32"/>
  <c r="G5" i="32"/>
  <c r="X5" i="41" l="1"/>
  <c r="V6" i="41"/>
  <c r="T7" i="41"/>
  <c r="Z8" i="41"/>
  <c r="AC8" i="41" s="1"/>
  <c r="AB11" i="41"/>
  <c r="V12" i="41"/>
  <c r="X13" i="41"/>
  <c r="U16" i="41"/>
  <c r="U18" i="41"/>
  <c r="Y18" i="41"/>
  <c r="W19" i="41"/>
  <c r="Y20" i="41"/>
  <c r="AC20" i="41" s="1"/>
  <c r="T21" i="41"/>
  <c r="X21" i="41"/>
  <c r="T22" i="41"/>
  <c r="X22" i="41"/>
  <c r="U23" i="41"/>
  <c r="T24" i="41"/>
  <c r="V26" i="41"/>
  <c r="W29" i="41"/>
  <c r="W31" i="41" s="1"/>
  <c r="AA29" i="41"/>
  <c r="AK60" i="41"/>
  <c r="AO60" i="41"/>
  <c r="AS60" i="41"/>
  <c r="AW60" i="41"/>
  <c r="BA60" i="41"/>
  <c r="BE60" i="41"/>
  <c r="U7" i="41"/>
  <c r="AC7" i="41" s="1"/>
  <c r="U9" i="41"/>
  <c r="S10" i="41"/>
  <c r="W12" i="41"/>
  <c r="V16" i="41"/>
  <c r="V20" i="41"/>
  <c r="Y22" i="41"/>
  <c r="V23" i="41"/>
  <c r="Z23" i="41"/>
  <c r="U24" i="41"/>
  <c r="Y25" i="41"/>
  <c r="W27" i="41"/>
  <c r="AH60" i="41"/>
  <c r="AL60" i="41"/>
  <c r="AP60" i="41"/>
  <c r="AT60" i="41"/>
  <c r="AX60" i="41"/>
  <c r="BB60" i="41"/>
  <c r="BF60" i="41"/>
  <c r="W4" i="41"/>
  <c r="U5" i="41"/>
  <c r="AC5" i="41" s="1"/>
  <c r="V5" i="41"/>
  <c r="V9" i="41"/>
  <c r="T12" i="41"/>
  <c r="X12" i="41"/>
  <c r="X31" i="41" s="1"/>
  <c r="U15" i="41"/>
  <c r="W18" i="41"/>
  <c r="U19" i="41"/>
  <c r="Y19" i="41"/>
  <c r="AC19" i="41" s="1"/>
  <c r="Z21" i="41"/>
  <c r="V24" i="41"/>
  <c r="Z24" i="41"/>
  <c r="V25" i="41"/>
  <c r="AB28" i="41"/>
  <c r="AI60" i="41"/>
  <c r="AM60" i="41"/>
  <c r="AQ60" i="41"/>
  <c r="AU60" i="41"/>
  <c r="AY60" i="41"/>
  <c r="BC60" i="41"/>
  <c r="BG60" i="41"/>
  <c r="BB20" i="41"/>
  <c r="BD22" i="41"/>
  <c r="AC28" i="41"/>
  <c r="S31" i="41"/>
  <c r="AA31" i="41"/>
  <c r="AM21" i="41"/>
  <c r="T31" i="41"/>
  <c r="AB31" i="41"/>
  <c r="AC15" i="41"/>
  <c r="AC16" i="41"/>
  <c r="AI21" i="41"/>
  <c r="AC22" i="41"/>
  <c r="AC26" i="41"/>
  <c r="AC10" i="41"/>
  <c r="AC11" i="41"/>
  <c r="AC14" i="41"/>
  <c r="AC18" i="41"/>
  <c r="AP20" i="41"/>
  <c r="AT20" i="41"/>
  <c r="AX20" i="41"/>
  <c r="AC21" i="41"/>
  <c r="AC24" i="41"/>
  <c r="AC25" i="41"/>
  <c r="AC27" i="41"/>
  <c r="AC30" i="41"/>
  <c r="AC6" i="41"/>
  <c r="V31" i="41"/>
  <c r="AC9" i="41"/>
  <c r="AC13" i="41"/>
  <c r="AC17" i="41"/>
  <c r="BD29" i="41"/>
  <c r="AJ22" i="41"/>
  <c r="AJ29" i="41" s="1"/>
  <c r="AC23" i="41"/>
  <c r="BF29" i="41"/>
  <c r="AY20" i="41"/>
  <c r="AI24" i="41"/>
  <c r="AQ24" i="41"/>
  <c r="AY24" i="41"/>
  <c r="AR25" i="41"/>
  <c r="AV25" i="41"/>
  <c r="AZ25" i="41"/>
  <c r="BA26" i="41"/>
  <c r="AC4" i="41"/>
  <c r="AI19" i="41"/>
  <c r="AY19" i="41"/>
  <c r="AZ20" i="41"/>
  <c r="BH20" i="41"/>
  <c r="AK21" i="41"/>
  <c r="AS21" i="41"/>
  <c r="AW21" i="41"/>
  <c r="BA21" i="41"/>
  <c r="AP22" i="41"/>
  <c r="AT22" i="41"/>
  <c r="AX22" i="41"/>
  <c r="BB22" i="41"/>
  <c r="AI23" i="41"/>
  <c r="BG23" i="41"/>
  <c r="AZ24" i="41"/>
  <c r="AW25" i="41"/>
  <c r="AL26" i="41"/>
  <c r="BB26" i="41"/>
  <c r="BG27" i="41"/>
  <c r="AV21" i="41"/>
  <c r="BA22" i="41"/>
  <c r="AH23" i="41"/>
  <c r="AP23" i="41"/>
  <c r="BB23" i="41"/>
  <c r="AN19" i="41"/>
  <c r="AK20" i="41"/>
  <c r="AT21" i="41"/>
  <c r="BB21" i="41"/>
  <c r="AI22" i="41"/>
  <c r="AM22" i="41"/>
  <c r="BC22" i="41"/>
  <c r="AV23" i="41"/>
  <c r="AP25" i="41"/>
  <c r="AX25" i="41"/>
  <c r="AU26" i="41"/>
  <c r="AY26" i="41"/>
  <c r="AO28" i="41"/>
  <c r="AW23" i="41"/>
  <c r="BE23" i="41"/>
  <c r="AP24" i="41"/>
  <c r="BC25" i="41"/>
  <c r="Y31" i="41" l="1"/>
  <c r="AC31" i="41"/>
  <c r="U31" i="41"/>
  <c r="AC12" i="41"/>
  <c r="AC29" i="41"/>
  <c r="Z31" i="41"/>
  <c r="AW29" i="41"/>
  <c r="BA29" i="41"/>
  <c r="AU29" i="41"/>
  <c r="BC29" i="41"/>
  <c r="AX29" i="41"/>
  <c r="BI27" i="41"/>
  <c r="BG45" i="41" s="1"/>
  <c r="BI45" i="41" s="1"/>
  <c r="BB29" i="41"/>
  <c r="BI24" i="41"/>
  <c r="AP42" i="41" s="1"/>
  <c r="AK29" i="41"/>
  <c r="BG29" i="41"/>
  <c r="AS29" i="41"/>
  <c r="AY42" i="41"/>
  <c r="AM29" i="41"/>
  <c r="AR29" i="41"/>
  <c r="BH29" i="41"/>
  <c r="AO29" i="41"/>
  <c r="AN29" i="41"/>
  <c r="BI26" i="41"/>
  <c r="AY44" i="41" s="1"/>
  <c r="AP29" i="41"/>
  <c r="BI21" i="41"/>
  <c r="AM39" i="41" s="1"/>
  <c r="BI25" i="41"/>
  <c r="AR43" i="41" s="1"/>
  <c r="AQ29" i="41"/>
  <c r="AT29" i="41"/>
  <c r="BE29" i="41"/>
  <c r="AI29" i="41"/>
  <c r="BI19" i="41"/>
  <c r="AY37" i="41" s="1"/>
  <c r="BI29" i="41"/>
  <c r="AL29" i="41"/>
  <c r="BI23" i="41"/>
  <c r="BE41" i="41" s="1"/>
  <c r="AZ29" i="41"/>
  <c r="BI20" i="41"/>
  <c r="BB38" i="41" s="1"/>
  <c r="BI28" i="41"/>
  <c r="BF46" i="41" s="1"/>
  <c r="AH29" i="41"/>
  <c r="AV29" i="41"/>
  <c r="BI22" i="41"/>
  <c r="BD40" i="41" s="1"/>
  <c r="AY29" i="41"/>
  <c r="AZ43" i="41" l="1"/>
  <c r="AL44" i="41"/>
  <c r="AQ42" i="41"/>
  <c r="AW43" i="41"/>
  <c r="AS39" i="41"/>
  <c r="AW39" i="41"/>
  <c r="AP40" i="41"/>
  <c r="AI40" i="41"/>
  <c r="BC43" i="41"/>
  <c r="AV41" i="41"/>
  <c r="BB44" i="41"/>
  <c r="AM40" i="41"/>
  <c r="AI42" i="41"/>
  <c r="AY38" i="41"/>
  <c r="AX40" i="41"/>
  <c r="AP41" i="41"/>
  <c r="AU44" i="41"/>
  <c r="AV43" i="41"/>
  <c r="AV39" i="41"/>
  <c r="AJ40" i="41"/>
  <c r="BB39" i="41"/>
  <c r="AP38" i="41"/>
  <c r="AI37" i="41"/>
  <c r="BA40" i="41"/>
  <c r="AP43" i="41"/>
  <c r="BH38" i="41"/>
  <c r="AX38" i="41"/>
  <c r="BA44" i="41"/>
  <c r="AT40" i="41"/>
  <c r="AH41" i="41"/>
  <c r="AX43" i="41"/>
  <c r="AT39" i="41"/>
  <c r="BA39" i="41"/>
  <c r="BB41" i="41"/>
  <c r="AT38" i="41"/>
  <c r="AK39" i="41"/>
  <c r="AI41" i="41"/>
  <c r="AN37" i="41"/>
  <c r="AO46" i="41"/>
  <c r="BG41" i="41"/>
  <c r="AK38" i="41"/>
  <c r="AW41" i="41"/>
  <c r="BB40" i="41"/>
  <c r="AI39" i="41"/>
  <c r="AZ38" i="41"/>
  <c r="AZ42" i="41"/>
  <c r="BC40" i="41"/>
  <c r="BI43" i="41" l="1"/>
  <c r="BI42" i="41"/>
  <c r="BI38" i="41"/>
  <c r="BI40" i="41"/>
  <c r="BI39" i="41"/>
  <c r="BI46" i="41"/>
  <c r="BI37" i="41"/>
  <c r="BI44" i="41"/>
  <c r="BI41" i="41"/>
  <c r="F42" i="32" l="1"/>
  <c r="E44" i="32"/>
  <c r="E42" i="32"/>
  <c r="E41" i="32"/>
  <c r="E40" i="32"/>
  <c r="E39" i="32"/>
  <c r="E38" i="32"/>
  <c r="E37" i="32"/>
  <c r="C42" i="32"/>
  <c r="F41" i="32"/>
  <c r="F40" i="32"/>
  <c r="F39" i="32"/>
  <c r="F38" i="32"/>
  <c r="F37" i="32"/>
  <c r="D42" i="32"/>
  <c r="D41" i="32"/>
  <c r="D40" i="32"/>
  <c r="D39" i="32"/>
  <c r="D38" i="32"/>
  <c r="D37" i="32"/>
  <c r="C41" i="32"/>
  <c r="C40" i="32"/>
  <c r="C39" i="32"/>
  <c r="C38" i="32"/>
  <c r="C37" i="32"/>
  <c r="D44" i="32" l="1"/>
  <c r="AH20" i="40"/>
  <c r="BO6" i="40" s="1"/>
  <c r="AI20" i="40"/>
  <c r="BP6" i="40" s="1"/>
  <c r="AJ20" i="40"/>
  <c r="BQ6" i="40" s="1"/>
  <c r="AL20" i="40"/>
  <c r="BS6" i="40" s="1"/>
  <c r="AM20" i="40"/>
  <c r="BT6" i="40" s="1"/>
  <c r="AN20" i="40"/>
  <c r="BU6" i="40" s="1"/>
  <c r="AO20" i="40"/>
  <c r="BV6" i="40" s="1"/>
  <c r="AQ20" i="40"/>
  <c r="BX6" i="40" s="1"/>
  <c r="AR20" i="40"/>
  <c r="BY6" i="40" s="1"/>
  <c r="AS20" i="40"/>
  <c r="BZ6" i="40" s="1"/>
  <c r="AU20" i="40"/>
  <c r="CB6" i="40" s="1"/>
  <c r="AV20" i="40"/>
  <c r="BO22" i="40" s="1"/>
  <c r="AW20" i="40"/>
  <c r="BP22" i="40" s="1"/>
  <c r="BA20" i="40"/>
  <c r="BT22" i="40" s="1"/>
  <c r="BC20" i="40"/>
  <c r="BV22" i="40" s="1"/>
  <c r="BD20" i="40"/>
  <c r="BW22" i="40" s="1"/>
  <c r="BE20" i="40"/>
  <c r="BX22" i="40" s="1"/>
  <c r="BF20" i="40"/>
  <c r="BY22" i="40" s="1"/>
  <c r="BG20" i="40"/>
  <c r="BZ22" i="40" s="1"/>
  <c r="AH21" i="40"/>
  <c r="BO7" i="40" s="1"/>
  <c r="AJ21" i="40"/>
  <c r="BQ7" i="40" s="1"/>
  <c r="AL21" i="40"/>
  <c r="BS7" i="40" s="1"/>
  <c r="AN21" i="40"/>
  <c r="BU7" i="40" s="1"/>
  <c r="AO21" i="40"/>
  <c r="BV7" i="40" s="1"/>
  <c r="AP21" i="40"/>
  <c r="BW7" i="40" s="1"/>
  <c r="AQ21" i="40"/>
  <c r="BX7" i="40" s="1"/>
  <c r="AR21" i="40"/>
  <c r="BY7" i="40" s="1"/>
  <c r="AU21" i="40"/>
  <c r="CB7" i="40" s="1"/>
  <c r="AX21" i="40"/>
  <c r="BQ23" i="40" s="1"/>
  <c r="AY21" i="40"/>
  <c r="BR23" i="40" s="1"/>
  <c r="AZ21" i="40"/>
  <c r="BS23" i="40" s="1"/>
  <c r="BC21" i="40"/>
  <c r="BV23" i="40" s="1"/>
  <c r="BD21" i="40"/>
  <c r="BW23" i="40" s="1"/>
  <c r="BE21" i="40"/>
  <c r="BX23" i="40" s="1"/>
  <c r="BF21" i="40"/>
  <c r="BY23" i="40" s="1"/>
  <c r="BG21" i="40"/>
  <c r="BZ23" i="40" s="1"/>
  <c r="BH21" i="40"/>
  <c r="CA23" i="40" s="1"/>
  <c r="AH22" i="40"/>
  <c r="BO8" i="40" s="1"/>
  <c r="AK22" i="40"/>
  <c r="BR8" i="40" s="1"/>
  <c r="AL22" i="40"/>
  <c r="BS8" i="40" s="1"/>
  <c r="AN22" i="40"/>
  <c r="BU8" i="40" s="1"/>
  <c r="AO22" i="40"/>
  <c r="BV8" i="40" s="1"/>
  <c r="AQ22" i="40"/>
  <c r="BX8" i="40" s="1"/>
  <c r="AR22" i="40"/>
  <c r="BY8" i="40" s="1"/>
  <c r="AS22" i="40"/>
  <c r="BZ8" i="40" s="1"/>
  <c r="AU22" i="40"/>
  <c r="CB8" i="40" s="1"/>
  <c r="AV22" i="40"/>
  <c r="BO24" i="40" s="1"/>
  <c r="AW22" i="40"/>
  <c r="BP24" i="40" s="1"/>
  <c r="AY22" i="40"/>
  <c r="BR24" i="40" s="1"/>
  <c r="AZ22" i="40"/>
  <c r="BS24" i="40" s="1"/>
  <c r="BE22" i="40"/>
  <c r="BX24" i="40" s="1"/>
  <c r="BF22" i="40"/>
  <c r="BY24" i="40" s="1"/>
  <c r="BG22" i="40"/>
  <c r="BZ24" i="40" s="1"/>
  <c r="BH22" i="40"/>
  <c r="CA24" i="40" s="1"/>
  <c r="AJ23" i="40"/>
  <c r="BQ9" i="40" s="1"/>
  <c r="AK23" i="40"/>
  <c r="BR9" i="40" s="1"/>
  <c r="AL23" i="40"/>
  <c r="BS9" i="40" s="1"/>
  <c r="AM23" i="40"/>
  <c r="BT9" i="40" s="1"/>
  <c r="AN23" i="40"/>
  <c r="BU9" i="40" s="1"/>
  <c r="AO23" i="40"/>
  <c r="BV9" i="40" s="1"/>
  <c r="AQ23" i="40"/>
  <c r="BX9" i="40" s="1"/>
  <c r="AR23" i="40"/>
  <c r="BY9" i="40" s="1"/>
  <c r="AS23" i="40"/>
  <c r="BZ9" i="40" s="1"/>
  <c r="AT23" i="40"/>
  <c r="CA9" i="40" s="1"/>
  <c r="AU23" i="40"/>
  <c r="CB9" i="40" s="1"/>
  <c r="AX23" i="40"/>
  <c r="BQ25" i="40" s="1"/>
  <c r="AY23" i="40"/>
  <c r="BR25" i="40" s="1"/>
  <c r="AZ23" i="40"/>
  <c r="BS25" i="40" s="1"/>
  <c r="BA23" i="40"/>
  <c r="BT25" i="40" s="1"/>
  <c r="BC23" i="40"/>
  <c r="BV25" i="40" s="1"/>
  <c r="BD23" i="40"/>
  <c r="BW25" i="40" s="1"/>
  <c r="BF23" i="40"/>
  <c r="BY25" i="40" s="1"/>
  <c r="BH23" i="40"/>
  <c r="CA25" i="40" s="1"/>
  <c r="AH24" i="40"/>
  <c r="BO10" i="40" s="1"/>
  <c r="AJ24" i="40"/>
  <c r="BQ10" i="40" s="1"/>
  <c r="AK24" i="40"/>
  <c r="BR10" i="40" s="1"/>
  <c r="AL24" i="40"/>
  <c r="BS10" i="40" s="1"/>
  <c r="AM24" i="40"/>
  <c r="BT10" i="40" s="1"/>
  <c r="AN24" i="40"/>
  <c r="BU10" i="40" s="1"/>
  <c r="AO24" i="40"/>
  <c r="BV10" i="40" s="1"/>
  <c r="AR24" i="40"/>
  <c r="BY10" i="40" s="1"/>
  <c r="AS24" i="40"/>
  <c r="BZ10" i="40" s="1"/>
  <c r="AT24" i="40"/>
  <c r="CA10" i="40" s="1"/>
  <c r="AU24" i="40"/>
  <c r="CB10" i="40" s="1"/>
  <c r="AV24" i="40"/>
  <c r="BO26" i="40" s="1"/>
  <c r="AW24" i="40"/>
  <c r="BP26" i="40" s="1"/>
  <c r="AX24" i="40"/>
  <c r="BQ26" i="40" s="1"/>
  <c r="BA24" i="40"/>
  <c r="BT26" i="40" s="1"/>
  <c r="BB24" i="40"/>
  <c r="BU26" i="40" s="1"/>
  <c r="BC24" i="40"/>
  <c r="BV26" i="40" s="1"/>
  <c r="BD24" i="40"/>
  <c r="BW26" i="40" s="1"/>
  <c r="BE24" i="40"/>
  <c r="BX26" i="40" s="1"/>
  <c r="BF24" i="40"/>
  <c r="BY26" i="40" s="1"/>
  <c r="BG24" i="40"/>
  <c r="BZ26" i="40" s="1"/>
  <c r="BH24" i="40"/>
  <c r="CA26" i="40" s="1"/>
  <c r="AH25" i="40"/>
  <c r="BO11" i="40" s="1"/>
  <c r="AI25" i="40"/>
  <c r="BP11" i="40" s="1"/>
  <c r="AJ25" i="40"/>
  <c r="BQ11" i="40" s="1"/>
  <c r="AK25" i="40"/>
  <c r="BR11" i="40" s="1"/>
  <c r="AL25" i="40"/>
  <c r="BS11" i="40" s="1"/>
  <c r="AM25" i="40"/>
  <c r="BT11" i="40" s="1"/>
  <c r="AN25" i="40"/>
  <c r="BU11" i="40" s="1"/>
  <c r="AO25" i="40"/>
  <c r="BV11" i="40" s="1"/>
  <c r="AQ25" i="40"/>
  <c r="BX11" i="40" s="1"/>
  <c r="AS25" i="40"/>
  <c r="BZ11" i="40" s="1"/>
  <c r="AT25" i="40"/>
  <c r="CA11" i="40" s="1"/>
  <c r="AU25" i="40"/>
  <c r="CB11" i="40" s="1"/>
  <c r="AY25" i="40"/>
  <c r="BR27" i="40" s="1"/>
  <c r="BA25" i="40"/>
  <c r="BT27" i="40" s="1"/>
  <c r="BB25" i="40"/>
  <c r="BU27" i="40" s="1"/>
  <c r="BD25" i="40"/>
  <c r="BW27" i="40" s="1"/>
  <c r="BE25" i="40"/>
  <c r="BX27" i="40" s="1"/>
  <c r="BF25" i="40"/>
  <c r="BY27" i="40" s="1"/>
  <c r="BG25" i="40"/>
  <c r="BZ27" i="40" s="1"/>
  <c r="BH25" i="40"/>
  <c r="CA27" i="40" s="1"/>
  <c r="AH26" i="40"/>
  <c r="BO12" i="40" s="1"/>
  <c r="AI26" i="40"/>
  <c r="BP12" i="40" s="1"/>
  <c r="AJ26" i="40"/>
  <c r="BQ12" i="40" s="1"/>
  <c r="AK26" i="40"/>
  <c r="BR12" i="40" s="1"/>
  <c r="AM26" i="40"/>
  <c r="BT12" i="40" s="1"/>
  <c r="AN26" i="40"/>
  <c r="BU12" i="40" s="1"/>
  <c r="AO26" i="40"/>
  <c r="BV12" i="40" s="1"/>
  <c r="AP26" i="40"/>
  <c r="BW12" i="40" s="1"/>
  <c r="AQ26" i="40"/>
  <c r="BX12" i="40" s="1"/>
  <c r="AR26" i="40"/>
  <c r="BY12" i="40" s="1"/>
  <c r="AS26" i="40"/>
  <c r="BZ12" i="40" s="1"/>
  <c r="AT26" i="40"/>
  <c r="CA12" i="40" s="1"/>
  <c r="AV26" i="40"/>
  <c r="BO28" i="40" s="1"/>
  <c r="AW26" i="40"/>
  <c r="BP28" i="40" s="1"/>
  <c r="AX26" i="40"/>
  <c r="BQ28" i="40" s="1"/>
  <c r="AZ26" i="40"/>
  <c r="BS28" i="40" s="1"/>
  <c r="BC26" i="40"/>
  <c r="BV28" i="40" s="1"/>
  <c r="BD26" i="40"/>
  <c r="BW28" i="40" s="1"/>
  <c r="BE26" i="40"/>
  <c r="BX28" i="40" s="1"/>
  <c r="BF26" i="40"/>
  <c r="BY28" i="40" s="1"/>
  <c r="BG26" i="40"/>
  <c r="BZ28" i="40" s="1"/>
  <c r="BH26" i="40"/>
  <c r="CA28" i="40" s="1"/>
  <c r="AH27" i="40"/>
  <c r="BO13" i="40" s="1"/>
  <c r="AI27" i="40"/>
  <c r="BP13" i="40" s="1"/>
  <c r="AJ27" i="40"/>
  <c r="BQ13" i="40" s="1"/>
  <c r="AK27" i="40"/>
  <c r="BR13" i="40" s="1"/>
  <c r="AL27" i="40"/>
  <c r="BS13" i="40" s="1"/>
  <c r="AM27" i="40"/>
  <c r="BT13" i="40" s="1"/>
  <c r="AN27" i="40"/>
  <c r="BU13" i="40" s="1"/>
  <c r="AO27" i="40"/>
  <c r="BV13" i="40" s="1"/>
  <c r="AP27" i="40"/>
  <c r="BW13" i="40" s="1"/>
  <c r="AQ27" i="40"/>
  <c r="BX13" i="40" s="1"/>
  <c r="AR27" i="40"/>
  <c r="BY13" i="40" s="1"/>
  <c r="AS27" i="40"/>
  <c r="BZ13" i="40" s="1"/>
  <c r="AT27" i="40"/>
  <c r="CA13" i="40" s="1"/>
  <c r="AU27" i="40"/>
  <c r="CB13" i="40" s="1"/>
  <c r="AV27" i="40"/>
  <c r="BO29" i="40" s="1"/>
  <c r="AW27" i="40"/>
  <c r="BP29" i="40" s="1"/>
  <c r="AX27" i="40"/>
  <c r="BQ29" i="40" s="1"/>
  <c r="AY27" i="40"/>
  <c r="BR29" i="40" s="1"/>
  <c r="AZ27" i="40"/>
  <c r="BS29" i="40" s="1"/>
  <c r="BA27" i="40"/>
  <c r="BT29" i="40" s="1"/>
  <c r="BB27" i="40"/>
  <c r="BU29" i="40" s="1"/>
  <c r="BC27" i="40"/>
  <c r="BV29" i="40" s="1"/>
  <c r="BD27" i="40"/>
  <c r="BW29" i="40" s="1"/>
  <c r="BE27" i="40"/>
  <c r="BX29" i="40" s="1"/>
  <c r="BF27" i="40"/>
  <c r="BY29" i="40" s="1"/>
  <c r="BH27" i="40"/>
  <c r="CA29" i="40" s="1"/>
  <c r="AH28" i="40"/>
  <c r="BO14" i="40" s="1"/>
  <c r="AI28" i="40"/>
  <c r="BP14" i="40" s="1"/>
  <c r="AJ28" i="40"/>
  <c r="BQ14" i="40" s="1"/>
  <c r="AK28" i="40"/>
  <c r="BR14" i="40" s="1"/>
  <c r="AL28" i="40"/>
  <c r="BS14" i="40" s="1"/>
  <c r="AM28" i="40"/>
  <c r="BT14" i="40" s="1"/>
  <c r="AN28" i="40"/>
  <c r="BU14" i="40" s="1"/>
  <c r="AP28" i="40"/>
  <c r="BW14" i="40" s="1"/>
  <c r="AQ28" i="40"/>
  <c r="BX14" i="40" s="1"/>
  <c r="AR28" i="40"/>
  <c r="BY14" i="40" s="1"/>
  <c r="AS28" i="40"/>
  <c r="BZ14" i="40" s="1"/>
  <c r="AT28" i="40"/>
  <c r="CA14" i="40" s="1"/>
  <c r="AU28" i="40"/>
  <c r="CB14" i="40" s="1"/>
  <c r="AV28" i="40"/>
  <c r="BO30" i="40" s="1"/>
  <c r="AW28" i="40"/>
  <c r="BP30" i="40" s="1"/>
  <c r="AX28" i="40"/>
  <c r="BQ30" i="40" s="1"/>
  <c r="AY28" i="40"/>
  <c r="BR30" i="40" s="1"/>
  <c r="AZ28" i="40"/>
  <c r="BS30" i="40" s="1"/>
  <c r="BA28" i="40"/>
  <c r="BT30" i="40" s="1"/>
  <c r="BB28" i="40"/>
  <c r="BU30" i="40" s="1"/>
  <c r="BC28" i="40"/>
  <c r="BV30" i="40" s="1"/>
  <c r="BD28" i="40"/>
  <c r="BW30" i="40" s="1"/>
  <c r="BE28" i="40"/>
  <c r="BX30" i="40" s="1"/>
  <c r="BG28" i="40"/>
  <c r="BZ30" i="40" s="1"/>
  <c r="BH28" i="40"/>
  <c r="CA30" i="40" s="1"/>
  <c r="AJ19" i="40"/>
  <c r="BQ5" i="40" s="1"/>
  <c r="AK19" i="40"/>
  <c r="BR5" i="40" s="1"/>
  <c r="AL19" i="40"/>
  <c r="BS5" i="40" s="1"/>
  <c r="AM19" i="40"/>
  <c r="BT5" i="40" s="1"/>
  <c r="AO19" i="40"/>
  <c r="BV5" i="40" s="1"/>
  <c r="AP19" i="40"/>
  <c r="BW5" i="40" s="1"/>
  <c r="AQ19" i="40"/>
  <c r="BX5" i="40" s="1"/>
  <c r="AR19" i="40"/>
  <c r="BY5" i="40" s="1"/>
  <c r="AS19" i="40"/>
  <c r="BZ5" i="40" s="1"/>
  <c r="AT19" i="40"/>
  <c r="CA5" i="40" s="1"/>
  <c r="AU19" i="40"/>
  <c r="CB5" i="40" s="1"/>
  <c r="AV19" i="40"/>
  <c r="BO21" i="40" s="1"/>
  <c r="AW19" i="40"/>
  <c r="BP21" i="40" s="1"/>
  <c r="AX19" i="40"/>
  <c r="BQ21" i="40" s="1"/>
  <c r="AZ19" i="40"/>
  <c r="BS21" i="40" s="1"/>
  <c r="BA19" i="40"/>
  <c r="BT21" i="40" s="1"/>
  <c r="BB19" i="40"/>
  <c r="BU21" i="40" s="1"/>
  <c r="BC19" i="40"/>
  <c r="BV21" i="40" s="1"/>
  <c r="BD19" i="40"/>
  <c r="BW21" i="40" s="1"/>
  <c r="BE19" i="40"/>
  <c r="BX21" i="40" s="1"/>
  <c r="BF19" i="40"/>
  <c r="BY21" i="40" s="1"/>
  <c r="BG19" i="40"/>
  <c r="BZ21" i="40" s="1"/>
  <c r="BH19" i="40"/>
  <c r="CA21" i="40" s="1"/>
  <c r="AH19" i="40"/>
  <c r="BO5" i="40" s="1"/>
  <c r="BI14" i="40"/>
  <c r="AP20" i="40" s="1"/>
  <c r="BW6" i="40" s="1"/>
  <c r="N31" i="40"/>
  <c r="T30" i="40" s="1"/>
  <c r="AB30" i="40"/>
  <c r="AA30" i="40"/>
  <c r="Z30" i="40"/>
  <c r="Y30" i="40"/>
  <c r="X30" i="40"/>
  <c r="W30" i="40"/>
  <c r="V30" i="40"/>
  <c r="U30" i="40"/>
  <c r="S30" i="40"/>
  <c r="AB29" i="40"/>
  <c r="Z29" i="40"/>
  <c r="Y29" i="40"/>
  <c r="X29" i="40"/>
  <c r="V29" i="40"/>
  <c r="U29" i="40"/>
  <c r="T29" i="40"/>
  <c r="S29" i="40"/>
  <c r="AA28" i="40"/>
  <c r="Z28" i="40"/>
  <c r="Y28" i="40"/>
  <c r="X28" i="40"/>
  <c r="W28" i="40"/>
  <c r="V28" i="40"/>
  <c r="U28" i="40"/>
  <c r="T28" i="40"/>
  <c r="S28" i="40"/>
  <c r="AB27" i="40"/>
  <c r="AA27" i="40"/>
  <c r="Z27" i="40"/>
  <c r="Y27" i="40"/>
  <c r="X27" i="40"/>
  <c r="V27" i="40"/>
  <c r="U27" i="40"/>
  <c r="T27" i="40"/>
  <c r="S27" i="40"/>
  <c r="AB26" i="40"/>
  <c r="AA26" i="40"/>
  <c r="Z26" i="40"/>
  <c r="Y26" i="40"/>
  <c r="X26" i="40"/>
  <c r="W26" i="40"/>
  <c r="U26" i="40"/>
  <c r="T26" i="40"/>
  <c r="S26" i="40"/>
  <c r="AB25" i="40"/>
  <c r="AA25" i="40"/>
  <c r="Z25" i="40"/>
  <c r="X25" i="40"/>
  <c r="W25" i="40"/>
  <c r="U25" i="40"/>
  <c r="T25" i="40"/>
  <c r="S25" i="40"/>
  <c r="AB24" i="40"/>
  <c r="AA24" i="40"/>
  <c r="Y24" i="40"/>
  <c r="X24" i="40"/>
  <c r="S24" i="40"/>
  <c r="AB23" i="40"/>
  <c r="AA23" i="40"/>
  <c r="Y23" i="40"/>
  <c r="X23" i="40"/>
  <c r="W23" i="40"/>
  <c r="T23" i="40"/>
  <c r="S23" i="40"/>
  <c r="AB22" i="40"/>
  <c r="AA22" i="40"/>
  <c r="Z22" i="40"/>
  <c r="W22" i="40"/>
  <c r="V22" i="40"/>
  <c r="U22" i="40"/>
  <c r="S22" i="40"/>
  <c r="AB21" i="40"/>
  <c r="AA21" i="40"/>
  <c r="Y21" i="40"/>
  <c r="W21" i="40"/>
  <c r="V21" i="40"/>
  <c r="U21" i="40"/>
  <c r="AB20" i="40"/>
  <c r="AA20" i="40"/>
  <c r="Z20" i="40"/>
  <c r="X20" i="40"/>
  <c r="W20" i="40"/>
  <c r="U20" i="40"/>
  <c r="S20" i="40"/>
  <c r="AB19" i="40"/>
  <c r="AA19" i="40"/>
  <c r="Z19" i="40"/>
  <c r="X19" i="40"/>
  <c r="V19" i="40"/>
  <c r="T19" i="40"/>
  <c r="S19" i="40"/>
  <c r="AB18" i="40"/>
  <c r="AA18" i="40"/>
  <c r="Z18" i="40"/>
  <c r="X18" i="40"/>
  <c r="V18" i="40"/>
  <c r="T18" i="40"/>
  <c r="S18" i="40"/>
  <c r="AB17" i="40"/>
  <c r="AA17" i="40"/>
  <c r="Y17" i="40"/>
  <c r="X17" i="40"/>
  <c r="W17" i="40"/>
  <c r="V17" i="40"/>
  <c r="U17" i="40"/>
  <c r="T17" i="40"/>
  <c r="S17" i="40"/>
  <c r="AB16" i="40"/>
  <c r="AA16" i="40"/>
  <c r="Z16" i="40"/>
  <c r="Y16" i="40"/>
  <c r="X16" i="40"/>
  <c r="W16" i="40"/>
  <c r="S16" i="40"/>
  <c r="AB15" i="40"/>
  <c r="AA15" i="40"/>
  <c r="Z15" i="40"/>
  <c r="Y15" i="40"/>
  <c r="X15" i="40"/>
  <c r="W15" i="40"/>
  <c r="V15" i="40"/>
  <c r="T15" i="40"/>
  <c r="S15" i="40"/>
  <c r="AB14" i="40"/>
  <c r="AA14" i="40"/>
  <c r="Z14" i="40"/>
  <c r="X14" i="40"/>
  <c r="W14" i="40"/>
  <c r="V14" i="40"/>
  <c r="U14" i="40"/>
  <c r="T14" i="40"/>
  <c r="S14" i="40"/>
  <c r="AB13" i="40"/>
  <c r="AA13" i="40"/>
  <c r="Z13" i="40"/>
  <c r="Y13" i="40"/>
  <c r="W13" i="40"/>
  <c r="V13" i="40"/>
  <c r="U13" i="40"/>
  <c r="T13" i="40"/>
  <c r="S13" i="40"/>
  <c r="AB12" i="40"/>
  <c r="AA12" i="40"/>
  <c r="Z12" i="40"/>
  <c r="U12" i="40"/>
  <c r="S12" i="40"/>
  <c r="AA11" i="40"/>
  <c r="Z11" i="40"/>
  <c r="Y11" i="40"/>
  <c r="X11" i="40"/>
  <c r="W11" i="40"/>
  <c r="V11" i="40"/>
  <c r="U11" i="40"/>
  <c r="T11" i="40"/>
  <c r="S11" i="40"/>
  <c r="AB10" i="40"/>
  <c r="AA10" i="40"/>
  <c r="Z10" i="40"/>
  <c r="Y10" i="40"/>
  <c r="X10" i="40"/>
  <c r="W10" i="40"/>
  <c r="V10" i="40"/>
  <c r="U10" i="40"/>
  <c r="T10" i="40"/>
  <c r="AB9" i="40"/>
  <c r="AA9" i="40"/>
  <c r="Z9" i="40"/>
  <c r="Y9" i="40"/>
  <c r="X9" i="40"/>
  <c r="W9" i="40"/>
  <c r="T9" i="40"/>
  <c r="S9" i="40"/>
  <c r="AB8" i="40"/>
  <c r="AA8" i="40"/>
  <c r="Y8" i="40"/>
  <c r="X8" i="40"/>
  <c r="W8" i="40"/>
  <c r="V8" i="40"/>
  <c r="U8" i="40"/>
  <c r="T8" i="40"/>
  <c r="S8" i="40"/>
  <c r="AB7" i="40"/>
  <c r="AA7" i="40"/>
  <c r="Z7" i="40"/>
  <c r="Y7" i="40"/>
  <c r="X7" i="40"/>
  <c r="W7" i="40"/>
  <c r="V7" i="40"/>
  <c r="S7" i="40"/>
  <c r="AB6" i="40"/>
  <c r="AA6" i="40"/>
  <c r="Z6" i="40"/>
  <c r="Y6" i="40"/>
  <c r="X6" i="40"/>
  <c r="W6" i="40"/>
  <c r="U6" i="40"/>
  <c r="T6" i="40"/>
  <c r="S6" i="40"/>
  <c r="AB5" i="40"/>
  <c r="AA5" i="40"/>
  <c r="Z5" i="40"/>
  <c r="Y5" i="40"/>
  <c r="T5" i="40"/>
  <c r="AB4" i="40"/>
  <c r="AA4" i="40"/>
  <c r="Z4" i="40"/>
  <c r="Y4" i="40"/>
  <c r="X4" i="40"/>
  <c r="V4" i="40"/>
  <c r="U4" i="40"/>
  <c r="T4" i="40"/>
  <c r="S4" i="40"/>
  <c r="N31" i="38"/>
  <c r="E36" i="39"/>
  <c r="Z4" i="39"/>
  <c r="AP4" i="39"/>
  <c r="AT4" i="39"/>
  <c r="Y20" i="40" l="1"/>
  <c r="S21" i="40"/>
  <c r="Y18" i="40"/>
  <c r="AT21" i="40"/>
  <c r="CA7" i="40" s="1"/>
  <c r="AY26" i="40"/>
  <c r="BR28" i="40" s="1"/>
  <c r="AU26" i="40"/>
  <c r="CB12" i="40" s="1"/>
  <c r="AM22" i="40"/>
  <c r="BT8" i="40" s="1"/>
  <c r="AI19" i="40"/>
  <c r="BP5" i="40" s="1"/>
  <c r="AY19" i="40"/>
  <c r="BR21" i="40" s="1"/>
  <c r="AX25" i="40"/>
  <c r="BQ27" i="40" s="1"/>
  <c r="AV23" i="40"/>
  <c r="BC22" i="40"/>
  <c r="BV24" i="40" s="1"/>
  <c r="AK20" i="40"/>
  <c r="BR6" i="40" s="1"/>
  <c r="AP25" i="40"/>
  <c r="BW11" i="40" s="1"/>
  <c r="AO28" i="40"/>
  <c r="BV14" i="40" s="1"/>
  <c r="AI22" i="40"/>
  <c r="BP8" i="40" s="1"/>
  <c r="BB21" i="40"/>
  <c r="BU23" i="40" s="1"/>
  <c r="S5" i="40"/>
  <c r="Y14" i="40"/>
  <c r="AC14" i="40" s="1"/>
  <c r="U18" i="40"/>
  <c r="Y12" i="40"/>
  <c r="W5" i="40"/>
  <c r="U16" i="40"/>
  <c r="W19" i="40"/>
  <c r="Y22" i="40"/>
  <c r="U24" i="40"/>
  <c r="X5" i="40"/>
  <c r="V6" i="40"/>
  <c r="T7" i="40"/>
  <c r="Z8" i="40"/>
  <c r="AB11" i="40"/>
  <c r="AC11" i="40" s="1"/>
  <c r="V12" i="40"/>
  <c r="X13" i="40"/>
  <c r="AC13" i="40" s="1"/>
  <c r="V16" i="40"/>
  <c r="V20" i="40"/>
  <c r="T21" i="40"/>
  <c r="X21" i="40"/>
  <c r="V24" i="40"/>
  <c r="Z24" i="40"/>
  <c r="V26" i="40"/>
  <c r="AC26" i="40" s="1"/>
  <c r="W29" i="40"/>
  <c r="AA29" i="40"/>
  <c r="AA31" i="40" s="1"/>
  <c r="W4" i="40"/>
  <c r="U5" i="40"/>
  <c r="U7" i="40"/>
  <c r="U9" i="40"/>
  <c r="S10" i="40"/>
  <c r="AC10" i="40" s="1"/>
  <c r="W12" i="40"/>
  <c r="U15" i="40"/>
  <c r="AC15" i="40" s="1"/>
  <c r="W18" i="40"/>
  <c r="U19" i="40"/>
  <c r="Y19" i="40"/>
  <c r="U23" i="40"/>
  <c r="W24" i="40"/>
  <c r="Y25" i="40"/>
  <c r="W27" i="40"/>
  <c r="AC27" i="40" s="1"/>
  <c r="V5" i="40"/>
  <c r="V9" i="40"/>
  <c r="T12" i="40"/>
  <c r="X12" i="40"/>
  <c r="T16" i="40"/>
  <c r="Z17" i="40"/>
  <c r="AC17" i="40" s="1"/>
  <c r="T20" i="40"/>
  <c r="AC20" i="40" s="1"/>
  <c r="Z21" i="40"/>
  <c r="T22" i="40"/>
  <c r="X22" i="40"/>
  <c r="V23" i="40"/>
  <c r="Z23" i="40"/>
  <c r="T24" i="40"/>
  <c r="V25" i="40"/>
  <c r="AB28" i="40"/>
  <c r="AC28" i="40" s="1"/>
  <c r="BG27" i="40"/>
  <c r="BB26" i="40"/>
  <c r="BU28" i="40" s="1"/>
  <c r="AL26" i="40"/>
  <c r="BS12" i="40" s="1"/>
  <c r="AW25" i="40"/>
  <c r="BP27" i="40" s="1"/>
  <c r="AZ24" i="40"/>
  <c r="BS26" i="40" s="1"/>
  <c r="BG23" i="40"/>
  <c r="BZ25" i="40" s="1"/>
  <c r="AI23" i="40"/>
  <c r="BP9" i="40" s="1"/>
  <c r="BB22" i="40"/>
  <c r="AX22" i="40"/>
  <c r="BQ24" i="40" s="1"/>
  <c r="AT22" i="40"/>
  <c r="CA8" i="40" s="1"/>
  <c r="AP22" i="40"/>
  <c r="BW8" i="40" s="1"/>
  <c r="BA21" i="40"/>
  <c r="BT23" i="40" s="1"/>
  <c r="AW21" i="40"/>
  <c r="BP23" i="40" s="1"/>
  <c r="AS21" i="40"/>
  <c r="BZ7" i="40" s="1"/>
  <c r="AK21" i="40"/>
  <c r="BR7" i="40" s="1"/>
  <c r="BH20" i="40"/>
  <c r="AZ20" i="40"/>
  <c r="BS22" i="40" s="1"/>
  <c r="BA26" i="40"/>
  <c r="BT28" i="40" s="1"/>
  <c r="AZ25" i="40"/>
  <c r="BS27" i="40" s="1"/>
  <c r="AV25" i="40"/>
  <c r="BO27" i="40" s="1"/>
  <c r="AR25" i="40"/>
  <c r="BY11" i="40" s="1"/>
  <c r="AY24" i="40"/>
  <c r="BR26" i="40" s="1"/>
  <c r="AQ24" i="40"/>
  <c r="BX10" i="40" s="1"/>
  <c r="AI24" i="40"/>
  <c r="BP10" i="40" s="1"/>
  <c r="BB23" i="40"/>
  <c r="BU25" i="40" s="1"/>
  <c r="AP23" i="40"/>
  <c r="BW9" i="40" s="1"/>
  <c r="AH23" i="40"/>
  <c r="BO9" i="40" s="1"/>
  <c r="BA22" i="40"/>
  <c r="BT24" i="40" s="1"/>
  <c r="AV21" i="40"/>
  <c r="BO23" i="40" s="1"/>
  <c r="AY20" i="40"/>
  <c r="AS29" i="40"/>
  <c r="AN19" i="40"/>
  <c r="BU5" i="40" s="1"/>
  <c r="BF28" i="40"/>
  <c r="BY30" i="40" s="1"/>
  <c r="BC25" i="40"/>
  <c r="BV27" i="40" s="1"/>
  <c r="AP24" i="40"/>
  <c r="BW10" i="40" s="1"/>
  <c r="BE23" i="40"/>
  <c r="AW23" i="40"/>
  <c r="BP25" i="40" s="1"/>
  <c r="BD22" i="40"/>
  <c r="AJ22" i="40"/>
  <c r="BQ8" i="40" s="1"/>
  <c r="AM21" i="40"/>
  <c r="BT7" i="40" s="1"/>
  <c r="AI21" i="40"/>
  <c r="BP7" i="40" s="1"/>
  <c r="BB20" i="40"/>
  <c r="BU22" i="40" s="1"/>
  <c r="AX20" i="40"/>
  <c r="BQ22" i="40" s="1"/>
  <c r="AT20" i="40"/>
  <c r="CA6" i="40" s="1"/>
  <c r="BF29" i="40"/>
  <c r="AC6" i="40"/>
  <c r="AC30" i="40"/>
  <c r="AC4" i="40"/>
  <c r="N4" i="39"/>
  <c r="AD4" i="39"/>
  <c r="J4" i="39"/>
  <c r="AU4" i="39"/>
  <c r="AQ4" i="39"/>
  <c r="AA4" i="39"/>
  <c r="Y4" i="38"/>
  <c r="V4" i="38"/>
  <c r="Z4" i="38"/>
  <c r="AA4" i="38"/>
  <c r="S4" i="38"/>
  <c r="T4" i="38"/>
  <c r="X4" i="38"/>
  <c r="AB4" i="38"/>
  <c r="U4" i="38"/>
  <c r="D24" i="27"/>
  <c r="BI19" i="40" l="1"/>
  <c r="BI26" i="40"/>
  <c r="AU29" i="40"/>
  <c r="AQ29" i="40"/>
  <c r="AM29" i="40"/>
  <c r="BE29" i="40"/>
  <c r="BX25" i="40"/>
  <c r="AY29" i="40"/>
  <c r="BR22" i="40"/>
  <c r="AL29" i="40"/>
  <c r="AJ29" i="40"/>
  <c r="AR29" i="40"/>
  <c r="BI27" i="40"/>
  <c r="BZ29" i="40"/>
  <c r="AK29" i="40"/>
  <c r="AP29" i="40"/>
  <c r="BD29" i="40"/>
  <c r="BW24" i="40"/>
  <c r="BH29" i="40"/>
  <c r="CA22" i="40"/>
  <c r="BB29" i="40"/>
  <c r="BU24" i="40"/>
  <c r="AO29" i="40"/>
  <c r="AV29" i="40"/>
  <c r="BO25" i="40"/>
  <c r="BI28" i="40"/>
  <c r="BI24" i="40"/>
  <c r="Y31" i="40"/>
  <c r="AC5" i="40"/>
  <c r="AB31" i="40"/>
  <c r="W31" i="40"/>
  <c r="AC19" i="40"/>
  <c r="S31" i="40"/>
  <c r="AC25" i="40"/>
  <c r="AC29" i="40"/>
  <c r="BI20" i="40"/>
  <c r="BA29" i="40"/>
  <c r="AW29" i="40"/>
  <c r="AC18" i="40"/>
  <c r="BC29" i="40"/>
  <c r="V31" i="40"/>
  <c r="AC23" i="40"/>
  <c r="AC21" i="40"/>
  <c r="AC7" i="40"/>
  <c r="AC12" i="40"/>
  <c r="T31" i="40"/>
  <c r="AC22" i="40"/>
  <c r="AC9" i="40"/>
  <c r="AC24" i="40"/>
  <c r="AC16" i="40"/>
  <c r="Z31" i="40"/>
  <c r="U31" i="40"/>
  <c r="AC8" i="40"/>
  <c r="AX29" i="40"/>
  <c r="BI23" i="40"/>
  <c r="AZ29" i="40"/>
  <c r="X31" i="40"/>
  <c r="AI29" i="40"/>
  <c r="BI29" i="40"/>
  <c r="AC31" i="40"/>
  <c r="BI21" i="40"/>
  <c r="BG29" i="40"/>
  <c r="AN29" i="40"/>
  <c r="AH29" i="40"/>
  <c r="AT29" i="40"/>
  <c r="BI22" i="40"/>
  <c r="BI25" i="40"/>
  <c r="O4" i="39"/>
  <c r="AE4" i="39"/>
  <c r="K4" i="39"/>
  <c r="M72" i="38"/>
  <c r="E72" i="38"/>
  <c r="G72" i="38"/>
  <c r="F72" i="38"/>
  <c r="J72" i="38"/>
  <c r="I72" i="38"/>
  <c r="K72" i="38"/>
  <c r="D72" i="38"/>
  <c r="L72" i="38"/>
  <c r="F37" i="34"/>
  <c r="F29" i="34"/>
  <c r="F12" i="34"/>
  <c r="R8" i="34"/>
  <c r="O8" i="34"/>
  <c r="R7" i="34"/>
  <c r="O7" i="34"/>
  <c r="F37" i="33"/>
  <c r="F29" i="33"/>
  <c r="F12" i="33"/>
  <c r="R8" i="33"/>
  <c r="O8" i="33"/>
  <c r="R7" i="33"/>
  <c r="O7" i="33"/>
  <c r="M12" i="32"/>
  <c r="F9" i="32"/>
  <c r="C27" i="32" s="1"/>
  <c r="F8" i="32"/>
  <c r="C24" i="32" s="1"/>
  <c r="F5" i="32"/>
  <c r="F7" i="32"/>
  <c r="F6" i="32"/>
  <c r="C28" i="32"/>
  <c r="F17" i="32"/>
  <c r="J15" i="32"/>
  <c r="D11" i="32"/>
  <c r="E9" i="32"/>
  <c r="D9" i="32"/>
  <c r="C9" i="32"/>
  <c r="E8" i="32"/>
  <c r="D8" i="32"/>
  <c r="C8" i="32"/>
  <c r="C23" i="32"/>
  <c r="E7" i="32"/>
  <c r="D7" i="32"/>
  <c r="C7" i="32"/>
  <c r="C21" i="32"/>
  <c r="E6" i="32"/>
  <c r="D6" i="32"/>
  <c r="C6" i="32"/>
  <c r="E5" i="32"/>
  <c r="F18" i="32" s="1"/>
  <c r="F19" i="32" s="1"/>
  <c r="D5" i="32"/>
  <c r="C5" i="32"/>
  <c r="BK34" i="40" l="1"/>
  <c r="C19" i="32"/>
  <c r="F20" i="32"/>
  <c r="F21" i="32" s="1"/>
  <c r="F22" i="32" s="1"/>
  <c r="C18" i="32"/>
  <c r="C20" i="32"/>
  <c r="C22" i="32"/>
  <c r="C25" i="32"/>
  <c r="E11" i="32"/>
  <c r="C26" i="32"/>
  <c r="A7" i="19" a="1"/>
  <c r="A7" i="19" s="1"/>
  <c r="J15" i="25"/>
  <c r="I22" i="29"/>
  <c r="D6" i="29" l="1"/>
  <c r="E6" i="29"/>
  <c r="F6" i="29"/>
  <c r="G6" i="29"/>
  <c r="G10" i="29" s="1"/>
  <c r="H6" i="29"/>
  <c r="I6" i="29"/>
  <c r="J6" i="29"/>
  <c r="K6" i="29"/>
  <c r="K10" i="29" s="1"/>
  <c r="L6" i="29"/>
  <c r="M6" i="29"/>
  <c r="N6" i="29"/>
  <c r="O6" i="29"/>
  <c r="O10" i="29" s="1"/>
  <c r="P6" i="29"/>
  <c r="Q6" i="29"/>
  <c r="R6" i="29"/>
  <c r="S6" i="29"/>
  <c r="S10" i="29" s="1"/>
  <c r="T6" i="29"/>
  <c r="U6" i="29"/>
  <c r="V6" i="29"/>
  <c r="W6" i="29"/>
  <c r="W10" i="29" s="1"/>
  <c r="X6" i="29"/>
  <c r="Y6" i="29"/>
  <c r="Z6" i="29"/>
  <c r="AA6" i="29"/>
  <c r="AA10" i="29" s="1"/>
  <c r="AB6" i="29"/>
  <c r="AC6" i="29"/>
  <c r="AD6" i="29"/>
  <c r="AE6" i="29"/>
  <c r="AE10" i="29" s="1"/>
  <c r="AF6" i="29"/>
  <c r="AG6" i="29"/>
  <c r="AH6" i="29"/>
  <c r="AI6" i="29"/>
  <c r="AI10" i="29" s="1"/>
  <c r="AJ6" i="29"/>
  <c r="AK6" i="29"/>
  <c r="AL6" i="29"/>
  <c r="AM6" i="29"/>
  <c r="AM10" i="29" s="1"/>
  <c r="AN6" i="29"/>
  <c r="AO6" i="29"/>
  <c r="AP6" i="29"/>
  <c r="AQ6" i="29"/>
  <c r="AQ10" i="29" s="1"/>
  <c r="AR6" i="29"/>
  <c r="AS6" i="29"/>
  <c r="AT6" i="29"/>
  <c r="AU6" i="29"/>
  <c r="AU10" i="29" s="1"/>
  <c r="AV6" i="29"/>
  <c r="AW6" i="29"/>
  <c r="AX6" i="29"/>
  <c r="AY6" i="29"/>
  <c r="AY10" i="29" s="1"/>
  <c r="AZ6" i="29"/>
  <c r="BA6" i="29"/>
  <c r="BB6" i="29"/>
  <c r="BC6" i="29"/>
  <c r="BC10" i="29" s="1"/>
  <c r="BD6" i="29"/>
  <c r="BE6" i="29"/>
  <c r="BF6" i="29"/>
  <c r="BG6" i="29"/>
  <c r="BG10" i="29" s="1"/>
  <c r="BH6" i="29"/>
  <c r="BI6" i="29"/>
  <c r="BJ6" i="29"/>
  <c r="BK6" i="29"/>
  <c r="BK10" i="29" s="1"/>
  <c r="BL6" i="29"/>
  <c r="BM6" i="29"/>
  <c r="BN6" i="29"/>
  <c r="BO6" i="29"/>
  <c r="BO10" i="29" s="1"/>
  <c r="BP6" i="29"/>
  <c r="BQ6" i="29"/>
  <c r="BR6" i="29"/>
  <c r="BS6" i="29"/>
  <c r="BS10" i="29" s="1"/>
  <c r="BT6" i="29"/>
  <c r="D7" i="29"/>
  <c r="E7" i="29"/>
  <c r="F7" i="29"/>
  <c r="F11" i="29" s="1"/>
  <c r="G7" i="29"/>
  <c r="H7" i="29"/>
  <c r="I7" i="29"/>
  <c r="J7" i="29"/>
  <c r="J11" i="29" s="1"/>
  <c r="K7" i="29"/>
  <c r="L7" i="29"/>
  <c r="M7" i="29"/>
  <c r="N7" i="29"/>
  <c r="N11" i="29" s="1"/>
  <c r="O7" i="29"/>
  <c r="P7" i="29"/>
  <c r="Q7" i="29"/>
  <c r="R7" i="29"/>
  <c r="R11" i="29" s="1"/>
  <c r="S7" i="29"/>
  <c r="T7" i="29"/>
  <c r="U7" i="29"/>
  <c r="V7" i="29"/>
  <c r="V11" i="29" s="1"/>
  <c r="W7" i="29"/>
  <c r="X7" i="29"/>
  <c r="Y7" i="29"/>
  <c r="Z7" i="29"/>
  <c r="Z11" i="29" s="1"/>
  <c r="AA7" i="29"/>
  <c r="AB7" i="29"/>
  <c r="AC7" i="29"/>
  <c r="AD7" i="29"/>
  <c r="AD11" i="29" s="1"/>
  <c r="AE7" i="29"/>
  <c r="AF7" i="29"/>
  <c r="AG7" i="29"/>
  <c r="AH7" i="29"/>
  <c r="AH11" i="29" s="1"/>
  <c r="AI7" i="29"/>
  <c r="AJ7" i="29"/>
  <c r="AK7" i="29"/>
  <c r="AL7" i="29"/>
  <c r="AL11" i="29" s="1"/>
  <c r="AM7" i="29"/>
  <c r="AN7" i="29"/>
  <c r="AO7" i="29"/>
  <c r="AP7" i="29"/>
  <c r="AP11" i="29" s="1"/>
  <c r="AQ7" i="29"/>
  <c r="AR7" i="29"/>
  <c r="AS7" i="29"/>
  <c r="AT7" i="29"/>
  <c r="AT11" i="29" s="1"/>
  <c r="AU7" i="29"/>
  <c r="AV7" i="29"/>
  <c r="AW7" i="29"/>
  <c r="AX7" i="29"/>
  <c r="AX11" i="29" s="1"/>
  <c r="AY7" i="29"/>
  <c r="AZ7" i="29"/>
  <c r="BA7" i="29"/>
  <c r="BB7" i="29"/>
  <c r="BB11" i="29" s="1"/>
  <c r="BC7" i="29"/>
  <c r="BD7" i="29"/>
  <c r="BE7" i="29"/>
  <c r="BF7" i="29"/>
  <c r="BF11" i="29" s="1"/>
  <c r="BG7" i="29"/>
  <c r="BH7" i="29"/>
  <c r="BI7" i="29"/>
  <c r="BJ7" i="29"/>
  <c r="BJ11" i="29" s="1"/>
  <c r="BK7" i="29"/>
  <c r="BL7" i="29"/>
  <c r="BM7" i="29"/>
  <c r="BN7" i="29"/>
  <c r="BN11" i="29" s="1"/>
  <c r="BO7" i="29"/>
  <c r="BP7" i="29"/>
  <c r="BQ7" i="29"/>
  <c r="BR7" i="29"/>
  <c r="BR11" i="29" s="1"/>
  <c r="BS7" i="29"/>
  <c r="BT7" i="29"/>
  <c r="C7" i="29"/>
  <c r="C11" i="29" s="1"/>
  <c r="C6" i="29"/>
  <c r="D9" i="29"/>
  <c r="E9" i="29"/>
  <c r="G9" i="29"/>
  <c r="H9" i="29"/>
  <c r="I9" i="29"/>
  <c r="K9" i="29"/>
  <c r="L9" i="29"/>
  <c r="M9" i="29"/>
  <c r="O9" i="29"/>
  <c r="P9" i="29"/>
  <c r="Q9" i="29"/>
  <c r="S9" i="29"/>
  <c r="T9" i="29"/>
  <c r="U9" i="29"/>
  <c r="W9" i="29"/>
  <c r="X9" i="29"/>
  <c r="Y9" i="29"/>
  <c r="AA9" i="29"/>
  <c r="AB9" i="29"/>
  <c r="AC9" i="29"/>
  <c r="AE9" i="29"/>
  <c r="AF9" i="29"/>
  <c r="AG9" i="29"/>
  <c r="AI9" i="29"/>
  <c r="AJ9" i="29"/>
  <c r="AK9" i="29"/>
  <c r="AM9" i="29"/>
  <c r="AN9" i="29"/>
  <c r="AO9" i="29"/>
  <c r="AQ9" i="29"/>
  <c r="AR9" i="29"/>
  <c r="AS9" i="29"/>
  <c r="AU9" i="29"/>
  <c r="AV9" i="29"/>
  <c r="AW9" i="29"/>
  <c r="AY9" i="29"/>
  <c r="AZ9" i="29"/>
  <c r="BA9" i="29"/>
  <c r="BC9" i="29"/>
  <c r="BD9" i="29"/>
  <c r="BE9" i="29"/>
  <c r="BG9" i="29"/>
  <c r="BH9" i="29"/>
  <c r="BI9" i="29"/>
  <c r="BK9" i="29"/>
  <c r="BL9" i="29"/>
  <c r="BM9" i="29"/>
  <c r="BO9" i="29"/>
  <c r="BP9" i="29"/>
  <c r="BQ9" i="29"/>
  <c r="BS9" i="29"/>
  <c r="BT9" i="29"/>
  <c r="D10" i="29"/>
  <c r="E10" i="29"/>
  <c r="F10" i="29"/>
  <c r="H10" i="29"/>
  <c r="I10" i="29"/>
  <c r="J10" i="29"/>
  <c r="L10" i="29"/>
  <c r="M10" i="29"/>
  <c r="N10" i="29"/>
  <c r="P10" i="29"/>
  <c r="Q10" i="29"/>
  <c r="R10" i="29"/>
  <c r="T10" i="29"/>
  <c r="U10" i="29"/>
  <c r="V10" i="29"/>
  <c r="X10" i="29"/>
  <c r="Y10" i="29"/>
  <c r="Z10" i="29"/>
  <c r="AB10" i="29"/>
  <c r="AC10" i="29"/>
  <c r="AD10" i="29"/>
  <c r="AF10" i="29"/>
  <c r="AG10" i="29"/>
  <c r="AH10" i="29"/>
  <c r="AJ10" i="29"/>
  <c r="AK10" i="29"/>
  <c r="AL10" i="29"/>
  <c r="AN10" i="29"/>
  <c r="AO10" i="29"/>
  <c r="AP10" i="29"/>
  <c r="AR10" i="29"/>
  <c r="AS10" i="29"/>
  <c r="AT10" i="29"/>
  <c r="AV10" i="29"/>
  <c r="AW10" i="29"/>
  <c r="AX10" i="29"/>
  <c r="AZ10" i="29"/>
  <c r="BA10" i="29"/>
  <c r="BB10" i="29"/>
  <c r="BD10" i="29"/>
  <c r="BE10" i="29"/>
  <c r="BF10" i="29"/>
  <c r="BH10" i="29"/>
  <c r="BI10" i="29"/>
  <c r="BJ10" i="29"/>
  <c r="BL10" i="29"/>
  <c r="BM10" i="29"/>
  <c r="BN10" i="29"/>
  <c r="BP10" i="29"/>
  <c r="BQ10" i="29"/>
  <c r="BR10" i="29"/>
  <c r="BT10" i="29"/>
  <c r="D11" i="29"/>
  <c r="E11" i="29"/>
  <c r="H11" i="29"/>
  <c r="I11" i="29"/>
  <c r="L11" i="29"/>
  <c r="M11" i="29"/>
  <c r="P11" i="29"/>
  <c r="Q11" i="29"/>
  <c r="T11" i="29"/>
  <c r="U11" i="29"/>
  <c r="X11" i="29"/>
  <c r="Y11" i="29"/>
  <c r="AB11" i="29"/>
  <c r="AC11" i="29"/>
  <c r="AF11" i="29"/>
  <c r="AG11" i="29"/>
  <c r="AJ11" i="29"/>
  <c r="AK11" i="29"/>
  <c r="AN11" i="29"/>
  <c r="AO11" i="29"/>
  <c r="AR11" i="29"/>
  <c r="AS11" i="29"/>
  <c r="AV11" i="29"/>
  <c r="AW11" i="29"/>
  <c r="AZ11" i="29"/>
  <c r="BA11" i="29"/>
  <c r="BD11" i="29"/>
  <c r="BE11" i="29"/>
  <c r="BH11" i="29"/>
  <c r="BI11" i="29"/>
  <c r="BL11" i="29"/>
  <c r="BM11" i="29"/>
  <c r="BP11" i="29"/>
  <c r="BQ11" i="29"/>
  <c r="BT11" i="29"/>
  <c r="D12" i="29"/>
  <c r="E12" i="29"/>
  <c r="H12" i="29"/>
  <c r="I12" i="29"/>
  <c r="L12" i="29"/>
  <c r="M12" i="29"/>
  <c r="P12" i="29"/>
  <c r="Q12" i="29"/>
  <c r="T12" i="29"/>
  <c r="U12" i="29"/>
  <c r="X12" i="29"/>
  <c r="Y12" i="29"/>
  <c r="AB12" i="29"/>
  <c r="AC12" i="29"/>
  <c r="AF12" i="29"/>
  <c r="AG12" i="29"/>
  <c r="AJ12" i="29"/>
  <c r="AK12" i="29"/>
  <c r="AN12" i="29"/>
  <c r="AO12" i="29"/>
  <c r="AR12" i="29"/>
  <c r="AS12" i="29"/>
  <c r="AV12" i="29"/>
  <c r="AW12" i="29"/>
  <c r="AZ12" i="29"/>
  <c r="BA12" i="29"/>
  <c r="BD12" i="29"/>
  <c r="BE12" i="29"/>
  <c r="BH12" i="29"/>
  <c r="BI12" i="29"/>
  <c r="BL12" i="29"/>
  <c r="BM12" i="29"/>
  <c r="BP12" i="29"/>
  <c r="BQ12" i="29"/>
  <c r="BT12" i="29"/>
  <c r="C10" i="29"/>
  <c r="D4" i="27"/>
  <c r="E4" i="27"/>
  <c r="F4" i="27"/>
  <c r="G4" i="27"/>
  <c r="H4" i="27"/>
  <c r="D5" i="27"/>
  <c r="E5" i="27"/>
  <c r="F5" i="27"/>
  <c r="G5" i="27"/>
  <c r="H5" i="27"/>
  <c r="D6" i="27"/>
  <c r="E6" i="27"/>
  <c r="F6" i="27"/>
  <c r="G6" i="27"/>
  <c r="H6" i="27"/>
  <c r="D7" i="27"/>
  <c r="E7" i="27"/>
  <c r="F7" i="27"/>
  <c r="G7" i="27"/>
  <c r="H7" i="27"/>
  <c r="D8" i="27"/>
  <c r="E8" i="27"/>
  <c r="F8" i="27"/>
  <c r="G8" i="27"/>
  <c r="H8" i="27"/>
  <c r="D9" i="27"/>
  <c r="E9" i="27"/>
  <c r="F9" i="27"/>
  <c r="G9" i="27"/>
  <c r="H9" i="27"/>
  <c r="D10" i="27"/>
  <c r="E10" i="27"/>
  <c r="F10" i="27"/>
  <c r="G10" i="27"/>
  <c r="H10" i="27"/>
  <c r="D11" i="27"/>
  <c r="E11" i="27"/>
  <c r="F11" i="27"/>
  <c r="G11" i="27"/>
  <c r="H11" i="27"/>
  <c r="D12" i="27"/>
  <c r="E12" i="27"/>
  <c r="F12" i="27"/>
  <c r="G12" i="27"/>
  <c r="H12" i="27"/>
  <c r="D13" i="27"/>
  <c r="E13" i="27"/>
  <c r="F13" i="27"/>
  <c r="G13" i="27"/>
  <c r="H13" i="27"/>
  <c r="D14" i="27"/>
  <c r="E14" i="27"/>
  <c r="F14" i="27"/>
  <c r="G14" i="27"/>
  <c r="H14" i="27"/>
  <c r="D15" i="27"/>
  <c r="F15" i="27"/>
  <c r="G15" i="27"/>
  <c r="H15" i="27"/>
  <c r="D16" i="27"/>
  <c r="F16" i="27"/>
  <c r="G16" i="27"/>
  <c r="H16" i="27"/>
  <c r="F17" i="27"/>
  <c r="G17" i="27"/>
  <c r="H17" i="27"/>
  <c r="G18" i="27"/>
  <c r="H18" i="27"/>
  <c r="H19" i="27"/>
  <c r="H20" i="27"/>
  <c r="D1" i="27" l="1"/>
  <c r="G1" i="27"/>
  <c r="F1" i="27"/>
  <c r="H1" i="27"/>
  <c r="E1" i="27"/>
  <c r="BS12" i="29"/>
  <c r="BO12" i="29"/>
  <c r="BK12" i="29"/>
  <c r="BG12" i="29"/>
  <c r="BC12" i="29"/>
  <c r="AY12" i="29"/>
  <c r="AU12" i="29"/>
  <c r="AQ12" i="29"/>
  <c r="AM12" i="29"/>
  <c r="AI12" i="29"/>
  <c r="AE12" i="29"/>
  <c r="AA12" i="29"/>
  <c r="W12" i="29"/>
  <c r="S12" i="29"/>
  <c r="O12" i="29"/>
  <c r="K12" i="29"/>
  <c r="G12" i="29"/>
  <c r="BR9" i="29"/>
  <c r="BN9" i="29"/>
  <c r="BJ9" i="29"/>
  <c r="BF9" i="29"/>
  <c r="BB9" i="29"/>
  <c r="AX9" i="29"/>
  <c r="AT9" i="29"/>
  <c r="AP9" i="29"/>
  <c r="AL9" i="29"/>
  <c r="AH9" i="29"/>
  <c r="AD9" i="29"/>
  <c r="Z9" i="29"/>
  <c r="V9" i="29"/>
  <c r="R9" i="29"/>
  <c r="N9" i="29"/>
  <c r="J9" i="29"/>
  <c r="F9" i="29"/>
  <c r="BN12" i="29"/>
  <c r="BF12" i="29"/>
  <c r="AX12" i="29"/>
  <c r="AP12" i="29"/>
  <c r="AH12" i="29"/>
  <c r="Z12" i="29"/>
  <c r="V12" i="29"/>
  <c r="N12" i="29"/>
  <c r="J12" i="29"/>
  <c r="F12" i="29"/>
  <c r="BS11" i="29"/>
  <c r="BO11" i="29"/>
  <c r="BK11" i="29"/>
  <c r="BG11" i="29"/>
  <c r="BC11" i="29"/>
  <c r="AY11" i="29"/>
  <c r="AU11" i="29"/>
  <c r="AQ11" i="29"/>
  <c r="AM11" i="29"/>
  <c r="AI11" i="29"/>
  <c r="AE11" i="29"/>
  <c r="AA11" i="29"/>
  <c r="W11" i="29"/>
  <c r="S11" i="29"/>
  <c r="O11" i="29"/>
  <c r="K11" i="29"/>
  <c r="G11" i="29"/>
  <c r="B11" i="29" s="1"/>
  <c r="BR12" i="29"/>
  <c r="BJ12" i="29"/>
  <c r="BB12" i="29"/>
  <c r="AT12" i="29"/>
  <c r="AL12" i="29"/>
  <c r="AD12" i="29"/>
  <c r="R12" i="29"/>
  <c r="B10" i="29"/>
  <c r="C9" i="29"/>
  <c r="C12" i="29"/>
  <c r="B12" i="29" s="1"/>
  <c r="I1" i="27" l="1"/>
  <c r="B9" i="29"/>
  <c r="B14" i="29"/>
  <c r="L1" i="11" l="1"/>
  <c r="E1" i="11"/>
  <c r="H27" i="27"/>
  <c r="G27" i="27"/>
  <c r="F27" i="27"/>
  <c r="E27" i="27"/>
  <c r="D27" i="27"/>
  <c r="H26" i="27"/>
  <c r="G26" i="27"/>
  <c r="F26" i="27"/>
  <c r="E26" i="27"/>
  <c r="D26" i="27"/>
  <c r="H25" i="27"/>
  <c r="G25" i="27"/>
  <c r="F25" i="27"/>
  <c r="E25" i="27"/>
  <c r="D25" i="27"/>
  <c r="H24" i="27"/>
  <c r="G24" i="27"/>
  <c r="F24" i="27"/>
  <c r="E24" i="27"/>
  <c r="H23" i="27"/>
  <c r="G23" i="27"/>
  <c r="F23" i="27"/>
  <c r="E23" i="27"/>
  <c r="D23" i="27"/>
  <c r="O8" i="27" l="1"/>
  <c r="O7" i="27"/>
  <c r="O6" i="27"/>
  <c r="O5" i="27"/>
  <c r="O4" i="27"/>
  <c r="N8" i="27"/>
  <c r="N7" i="27"/>
  <c r="N6" i="27"/>
  <c r="N5" i="27"/>
  <c r="N4" i="27"/>
  <c r="M8" i="27"/>
  <c r="M7" i="27"/>
  <c r="M6" i="27"/>
  <c r="M5" i="27"/>
  <c r="M12" i="27" s="1"/>
  <c r="M4" i="27"/>
  <c r="L8" i="27"/>
  <c r="L7" i="27"/>
  <c r="L6" i="27"/>
  <c r="L4" i="27"/>
  <c r="L5" i="27"/>
  <c r="K8" i="27"/>
  <c r="K7" i="27"/>
  <c r="K6" i="27"/>
  <c r="K5" i="27"/>
  <c r="K12" i="27" s="1"/>
  <c r="K4" i="27"/>
  <c r="F17" i="25"/>
  <c r="C6" i="25"/>
  <c r="C7" i="25"/>
  <c r="C8" i="25"/>
  <c r="C9" i="25"/>
  <c r="F9" i="25" s="1"/>
  <c r="C27" i="25" s="1"/>
  <c r="C5" i="25"/>
  <c r="E9" i="25"/>
  <c r="E8" i="25"/>
  <c r="E7" i="25"/>
  <c r="E6" i="25"/>
  <c r="E5" i="25"/>
  <c r="F18" i="25" s="1"/>
  <c r="F19" i="25" s="1"/>
  <c r="C28" i="25"/>
  <c r="D9" i="25"/>
  <c r="D8" i="25"/>
  <c r="D7" i="25"/>
  <c r="D6" i="25"/>
  <c r="D5" i="25"/>
  <c r="D11" i="25" s="1"/>
  <c r="F20" i="25" l="1"/>
  <c r="F21" i="25" s="1"/>
  <c r="F22" i="25" s="1"/>
  <c r="E11" i="25"/>
  <c r="F8" i="25"/>
  <c r="F7" i="25"/>
  <c r="C22" i="25" s="1"/>
  <c r="F5" i="25"/>
  <c r="C18" i="25" s="1"/>
  <c r="F6" i="25"/>
  <c r="C20" i="25" s="1"/>
  <c r="K13" i="27"/>
  <c r="M15" i="27"/>
  <c r="N14" i="27"/>
  <c r="O13" i="27"/>
  <c r="K15" i="27"/>
  <c r="L14" i="27"/>
  <c r="M13" i="27"/>
  <c r="N11" i="27"/>
  <c r="O15" i="27"/>
  <c r="L15" i="27"/>
  <c r="M14" i="27"/>
  <c r="N13" i="27"/>
  <c r="O11" i="27"/>
  <c r="L11" i="27"/>
  <c r="O12" i="27"/>
  <c r="K14" i="27"/>
  <c r="M11" i="27"/>
  <c r="O14" i="27"/>
  <c r="N15" i="27"/>
  <c r="N12" i="27"/>
  <c r="K11" i="27"/>
  <c r="L13" i="27"/>
  <c r="L12" i="27"/>
  <c r="C24" i="25"/>
  <c r="C25" i="25"/>
  <c r="C21" i="25"/>
  <c r="C26" i="25"/>
  <c r="C19" i="25"/>
  <c r="F31" i="1"/>
  <c r="F23" i="1"/>
  <c r="F12" i="1"/>
  <c r="R8" i="1"/>
  <c r="O8" i="1"/>
  <c r="R7" i="1"/>
  <c r="O7" i="1"/>
  <c r="J4" i="19"/>
  <c r="AT4" i="19"/>
  <c r="AD4" i="19"/>
  <c r="N4" i="19"/>
  <c r="D7" i="6"/>
  <c r="E7" i="6"/>
  <c r="E6" i="6"/>
  <c r="D6" i="6"/>
  <c r="S6" i="5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AG6" i="5"/>
  <c r="AG7" i="5" s="1"/>
  <c r="AG8" i="5" s="1"/>
  <c r="AG9" i="5" s="1"/>
  <c r="AG10" i="5" s="1"/>
  <c r="AG11" i="5" s="1"/>
  <c r="AG12" i="5" s="1"/>
  <c r="AG13" i="5" s="1"/>
  <c r="AG14" i="5" s="1"/>
  <c r="AG15" i="5" s="1"/>
  <c r="AG16" i="5" s="1"/>
  <c r="AG17" i="5" s="1"/>
  <c r="AG18" i="5" s="1"/>
  <c r="AG19" i="5" s="1"/>
  <c r="AG20" i="5" s="1"/>
  <c r="AG21" i="5" s="1"/>
  <c r="AG22" i="5" s="1"/>
  <c r="AG23" i="5" s="1"/>
  <c r="AG24" i="5" s="1"/>
  <c r="AG25" i="5" s="1"/>
  <c r="AG26" i="5" s="1"/>
  <c r="AG27" i="5" s="1"/>
  <c r="AG28" i="5" s="1"/>
  <c r="AG29" i="5" s="1"/>
  <c r="AG30" i="5" s="1"/>
  <c r="AG31" i="5" s="1"/>
  <c r="AG32" i="5" s="1"/>
  <c r="AG33" i="5" s="1"/>
  <c r="AG34" i="5" s="1"/>
  <c r="AG35" i="5" s="1"/>
  <c r="AG36" i="5" s="1"/>
  <c r="AG37" i="5" s="1"/>
  <c r="AG38" i="5" s="1"/>
  <c r="AG39" i="5" s="1"/>
  <c r="AG40" i="5" s="1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Z6" i="5"/>
  <c r="J6" i="5"/>
  <c r="C6" i="5"/>
  <c r="D6" i="5" s="1"/>
  <c r="K6" i="5" s="1"/>
  <c r="D107" i="4"/>
  <c r="E107" i="4" s="1"/>
  <c r="F107" i="4" s="1"/>
  <c r="G107" i="4" s="1"/>
  <c r="H107" i="4" s="1"/>
  <c r="I107" i="4" s="1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W107" i="4" s="1"/>
  <c r="X107" i="4" s="1"/>
  <c r="Y107" i="4" s="1"/>
  <c r="Z107" i="4" s="1"/>
  <c r="AA107" i="4" s="1"/>
  <c r="AB107" i="4" s="1"/>
  <c r="C108" i="4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D55" i="4"/>
  <c r="E55" i="4" s="1"/>
  <c r="F55" i="4" s="1"/>
  <c r="G55" i="4" s="1"/>
  <c r="H55" i="4" s="1"/>
  <c r="I55" i="4" s="1"/>
  <c r="J55" i="4" s="1"/>
  <c r="K55" i="4" s="1"/>
  <c r="L55" i="4" s="1"/>
  <c r="M55" i="4" s="1"/>
  <c r="N55" i="4" s="1"/>
  <c r="O55" i="4" s="1"/>
  <c r="P55" i="4" s="1"/>
  <c r="Q55" i="4" s="1"/>
  <c r="R55" i="4" s="1"/>
  <c r="S55" i="4" s="1"/>
  <c r="T55" i="4" s="1"/>
  <c r="U55" i="4" s="1"/>
  <c r="V55" i="4" s="1"/>
  <c r="W55" i="4" s="1"/>
  <c r="X55" i="4" s="1"/>
  <c r="Y55" i="4" s="1"/>
  <c r="Z55" i="4" s="1"/>
  <c r="AA55" i="4" s="1"/>
  <c r="AB55" i="4" s="1"/>
  <c r="C56" i="4"/>
  <c r="C57" i="4" s="1"/>
  <c r="D3" i="4"/>
  <c r="C4" i="4"/>
  <c r="C23" i="25" l="1"/>
  <c r="Z4" i="19"/>
  <c r="AA4" i="19"/>
  <c r="AP4" i="19"/>
  <c r="K4" i="19"/>
  <c r="O4" i="19"/>
  <c r="AU4" i="19"/>
  <c r="AE4" i="19"/>
  <c r="E6" i="5"/>
  <c r="C7" i="5"/>
  <c r="C58" i="4"/>
  <c r="AQ4" i="19" l="1"/>
  <c r="E7" i="5"/>
  <c r="D7" i="5"/>
  <c r="F6" i="5"/>
  <c r="C8" i="5"/>
  <c r="C59" i="4"/>
  <c r="E8" i="5" l="1"/>
  <c r="L8" i="5" s="1"/>
  <c r="D8" i="5"/>
  <c r="K8" i="5" s="1"/>
  <c r="C9" i="5"/>
  <c r="F7" i="5"/>
  <c r="C60" i="4"/>
  <c r="E9" i="5" l="1"/>
  <c r="D9" i="5"/>
  <c r="K9" i="5" s="1"/>
  <c r="F8" i="5"/>
  <c r="C10" i="5"/>
  <c r="C61" i="4"/>
  <c r="E10" i="5" l="1"/>
  <c r="L10" i="5" s="1"/>
  <c r="D10" i="5"/>
  <c r="U8" i="5"/>
  <c r="T8" i="5"/>
  <c r="C11" i="5"/>
  <c r="F9" i="5"/>
  <c r="C62" i="4"/>
  <c r="E11" i="5" l="1"/>
  <c r="D11" i="5"/>
  <c r="F10" i="5"/>
  <c r="C12" i="5"/>
  <c r="C63" i="4"/>
  <c r="E12" i="5" l="1"/>
  <c r="D12" i="5"/>
  <c r="K12" i="5" s="1"/>
  <c r="C13" i="5"/>
  <c r="F11" i="5"/>
  <c r="C64" i="4"/>
  <c r="E13" i="5" l="1"/>
  <c r="L13" i="5" s="1"/>
  <c r="D13" i="5"/>
  <c r="K13" i="5" s="1"/>
  <c r="C14" i="5"/>
  <c r="F12" i="5"/>
  <c r="C65" i="4"/>
  <c r="E14" i="5" l="1"/>
  <c r="D14" i="5"/>
  <c r="K14" i="5" s="1"/>
  <c r="C15" i="5"/>
  <c r="F13" i="5"/>
  <c r="C66" i="4"/>
  <c r="E15" i="5" l="1"/>
  <c r="D15" i="5"/>
  <c r="U13" i="5"/>
  <c r="T13" i="5"/>
  <c r="C16" i="5"/>
  <c r="F14" i="5"/>
  <c r="C67" i="4"/>
  <c r="E16" i="5" l="1"/>
  <c r="D16" i="5"/>
  <c r="C17" i="5"/>
  <c r="F15" i="5"/>
  <c r="C68" i="4"/>
  <c r="E17" i="5" l="1"/>
  <c r="D17" i="5"/>
  <c r="C18" i="5"/>
  <c r="F16" i="5"/>
  <c r="C69" i="4"/>
  <c r="E18" i="5" l="1"/>
  <c r="D18" i="5"/>
  <c r="C19" i="5"/>
  <c r="F17" i="5"/>
  <c r="C70" i="4"/>
  <c r="B4" i="39" l="1"/>
  <c r="E19" i="5"/>
  <c r="D19" i="5"/>
  <c r="C20" i="5"/>
  <c r="F18" i="5"/>
  <c r="C71" i="4"/>
  <c r="R4" i="39" l="1"/>
  <c r="D20" i="5"/>
  <c r="E20" i="5"/>
  <c r="C21" i="5"/>
  <c r="F19" i="5"/>
  <c r="C72" i="4"/>
  <c r="C4" i="39" l="1"/>
  <c r="AH4" i="39"/>
  <c r="E21" i="5"/>
  <c r="D21" i="5"/>
  <c r="C22" i="5"/>
  <c r="F20" i="5"/>
  <c r="C73" i="4"/>
  <c r="AK7" i="3"/>
  <c r="U7" i="3"/>
  <c r="AG7" i="3"/>
  <c r="Q7" i="3"/>
  <c r="W10" i="2"/>
  <c r="S10" i="2"/>
  <c r="O10" i="2"/>
  <c r="K10" i="2"/>
  <c r="G10" i="2"/>
  <c r="C10" i="2"/>
  <c r="W5" i="2"/>
  <c r="S5" i="2"/>
  <c r="O5" i="2"/>
  <c r="K5" i="2"/>
  <c r="G5" i="2"/>
  <c r="C5" i="2"/>
  <c r="S4" i="39" l="1"/>
  <c r="E22" i="5"/>
  <c r="D22" i="5"/>
  <c r="C23" i="5"/>
  <c r="F21" i="5"/>
  <c r="E3" i="4"/>
  <c r="D4" i="4"/>
  <c r="D56" i="4" s="1"/>
  <c r="C74" i="4"/>
  <c r="C5" i="4"/>
  <c r="AL7" i="3"/>
  <c r="AK8" i="3"/>
  <c r="AK9" i="3" s="1"/>
  <c r="AG8" i="3"/>
  <c r="AH8" i="3" s="1"/>
  <c r="AH7" i="3"/>
  <c r="AT8" i="3"/>
  <c r="AT7" i="3"/>
  <c r="AP8" i="3"/>
  <c r="AP7" i="3"/>
  <c r="U8" i="3"/>
  <c r="V8" i="3" s="1"/>
  <c r="Q9" i="3"/>
  <c r="R9" i="3" s="1"/>
  <c r="Q8" i="3"/>
  <c r="E8" i="3"/>
  <c r="F8" i="3" s="1"/>
  <c r="A8" i="3"/>
  <c r="A9" i="3" s="1"/>
  <c r="AD8" i="3"/>
  <c r="AD7" i="3"/>
  <c r="Z8" i="3"/>
  <c r="Z7" i="3"/>
  <c r="V7" i="3"/>
  <c r="N8" i="3"/>
  <c r="N7" i="3"/>
  <c r="J8" i="3"/>
  <c r="J7" i="3"/>
  <c r="R8" i="3"/>
  <c r="R7" i="3"/>
  <c r="F7" i="3"/>
  <c r="B7" i="3"/>
  <c r="AI4" i="39" l="1"/>
  <c r="C6" i="4"/>
  <c r="B8" i="3"/>
  <c r="Q10" i="3"/>
  <c r="R10" i="3" s="1"/>
  <c r="Z4" i="3"/>
  <c r="AT4" i="3"/>
  <c r="AD4" i="3"/>
  <c r="AP4" i="3"/>
  <c r="D5" i="4"/>
  <c r="D57" i="4" s="1"/>
  <c r="D109" i="4" s="1"/>
  <c r="E23" i="5"/>
  <c r="D23" i="5"/>
  <c r="C24" i="5"/>
  <c r="F22" i="5"/>
  <c r="E4" i="4"/>
  <c r="D108" i="4"/>
  <c r="E6" i="4"/>
  <c r="E58" i="4" s="1"/>
  <c r="E110" i="4" s="1"/>
  <c r="F3" i="4"/>
  <c r="E5" i="4"/>
  <c r="E57" i="4" s="1"/>
  <c r="E109" i="4" s="1"/>
  <c r="D6" i="4"/>
  <c r="D58" i="4" s="1"/>
  <c r="D110" i="4" s="1"/>
  <c r="C75" i="4"/>
  <c r="U9" i="3"/>
  <c r="U10" i="3" s="1"/>
  <c r="V10" i="3" s="1"/>
  <c r="E9" i="3"/>
  <c r="AK10" i="3"/>
  <c r="AL10" i="3" s="1"/>
  <c r="AL9" i="3"/>
  <c r="AL8" i="3"/>
  <c r="AG9" i="3"/>
  <c r="Q11" i="3"/>
  <c r="B9" i="3"/>
  <c r="A10" i="3"/>
  <c r="C7" i="4" l="1"/>
  <c r="U11" i="3"/>
  <c r="U12" i="3" s="1"/>
  <c r="V9" i="3"/>
  <c r="F7" i="4"/>
  <c r="F6" i="4"/>
  <c r="F58" i="4" s="1"/>
  <c r="F110" i="4" s="1"/>
  <c r="F5" i="4"/>
  <c r="F57" i="4" s="1"/>
  <c r="F109" i="4" s="1"/>
  <c r="G3" i="4"/>
  <c r="F4" i="4"/>
  <c r="F56" i="4" s="1"/>
  <c r="F108" i="4" s="1"/>
  <c r="E24" i="5"/>
  <c r="D24" i="5"/>
  <c r="F23" i="5"/>
  <c r="C25" i="5"/>
  <c r="C76" i="4"/>
  <c r="E10" i="3"/>
  <c r="F9" i="3"/>
  <c r="G5" i="4"/>
  <c r="G7" i="4"/>
  <c r="G6" i="4"/>
  <c r="G58" i="4" s="1"/>
  <c r="G110" i="4" s="1"/>
  <c r="G4" i="4"/>
  <c r="H3" i="4"/>
  <c r="AK11" i="3"/>
  <c r="AL11" i="3" s="1"/>
  <c r="AH9" i="3"/>
  <c r="AG10" i="3"/>
  <c r="R11" i="3"/>
  <c r="Q12" i="3"/>
  <c r="AK12" i="3"/>
  <c r="AL12" i="3" s="1"/>
  <c r="B10" i="3"/>
  <c r="A11" i="3"/>
  <c r="C8" i="4" l="1"/>
  <c r="E7" i="4"/>
  <c r="E59" i="4" s="1"/>
  <c r="E111" i="4" s="1"/>
  <c r="D7" i="4"/>
  <c r="D59" i="4" s="1"/>
  <c r="D111" i="4" s="1"/>
  <c r="V11" i="3"/>
  <c r="E25" i="5"/>
  <c r="D25" i="5"/>
  <c r="F24" i="5"/>
  <c r="C26" i="5"/>
  <c r="C77" i="4"/>
  <c r="E11" i="3"/>
  <c r="F10" i="3"/>
  <c r="H7" i="4"/>
  <c r="H59" i="4" s="1"/>
  <c r="H111" i="4" s="1"/>
  <c r="H4" i="4"/>
  <c r="I3" i="4"/>
  <c r="H5" i="4"/>
  <c r="H6" i="4"/>
  <c r="H58" i="4" s="1"/>
  <c r="H110" i="4" s="1"/>
  <c r="U13" i="3"/>
  <c r="V12" i="3"/>
  <c r="AH10" i="3"/>
  <c r="AG11" i="3"/>
  <c r="Q13" i="3"/>
  <c r="R12" i="3"/>
  <c r="AK13" i="3"/>
  <c r="AL13" i="3" s="1"/>
  <c r="B11" i="3"/>
  <c r="A12" i="3"/>
  <c r="C9" i="4" l="1"/>
  <c r="D8" i="4"/>
  <c r="D60" i="4" s="1"/>
  <c r="D112" i="4" s="1"/>
  <c r="E8" i="4"/>
  <c r="E60" i="4" s="1"/>
  <c r="E112" i="4" s="1"/>
  <c r="F8" i="4"/>
  <c r="F60" i="4" s="1"/>
  <c r="F112" i="4" s="1"/>
  <c r="G8" i="4"/>
  <c r="G60" i="4" s="1"/>
  <c r="G112" i="4" s="1"/>
  <c r="H8" i="4"/>
  <c r="H60" i="4" s="1"/>
  <c r="H112" i="4" s="1"/>
  <c r="D26" i="5"/>
  <c r="E26" i="5"/>
  <c r="F25" i="5"/>
  <c r="C27" i="5"/>
  <c r="C78" i="4"/>
  <c r="F11" i="3"/>
  <c r="E12" i="3"/>
  <c r="I7" i="4"/>
  <c r="I59" i="4" s="1"/>
  <c r="I111" i="4" s="1"/>
  <c r="J3" i="4"/>
  <c r="I4" i="4"/>
  <c r="I8" i="4"/>
  <c r="I60" i="4" s="1"/>
  <c r="I112" i="4" s="1"/>
  <c r="I6" i="4"/>
  <c r="I58" i="4" s="1"/>
  <c r="I110" i="4" s="1"/>
  <c r="I5" i="4"/>
  <c r="I57" i="4" s="1"/>
  <c r="I109" i="4" s="1"/>
  <c r="V13" i="3"/>
  <c r="U14" i="3"/>
  <c r="AH11" i="3"/>
  <c r="AG12" i="3"/>
  <c r="R13" i="3"/>
  <c r="Q14" i="3"/>
  <c r="AK14" i="3"/>
  <c r="AL14" i="3" s="1"/>
  <c r="A13" i="3"/>
  <c r="B12" i="3"/>
  <c r="C10" i="4" l="1"/>
  <c r="Z5" i="38"/>
  <c r="K73" i="38" s="1"/>
  <c r="AB5" i="38"/>
  <c r="M73" i="38" s="1"/>
  <c r="E9" i="4"/>
  <c r="D9" i="4"/>
  <c r="D61" i="4" s="1"/>
  <c r="D113" i="4" s="1"/>
  <c r="F9" i="4"/>
  <c r="F61" i="4" s="1"/>
  <c r="F113" i="4" s="1"/>
  <c r="G9" i="4"/>
  <c r="H9" i="4"/>
  <c r="I9" i="4"/>
  <c r="E27" i="5"/>
  <c r="D27" i="5"/>
  <c r="F26" i="5"/>
  <c r="C28" i="5"/>
  <c r="C79" i="4"/>
  <c r="E13" i="3"/>
  <c r="F12" i="3"/>
  <c r="J6" i="4"/>
  <c r="J58" i="4" s="1"/>
  <c r="J110" i="4" s="1"/>
  <c r="K3" i="4"/>
  <c r="J8" i="4"/>
  <c r="J60" i="4" s="1"/>
  <c r="J112" i="4" s="1"/>
  <c r="J4" i="4"/>
  <c r="J9" i="4"/>
  <c r="J5" i="4"/>
  <c r="J10" i="4"/>
  <c r="J7" i="4"/>
  <c r="J59" i="4" s="1"/>
  <c r="J111" i="4" s="1"/>
  <c r="V14" i="3"/>
  <c r="U15" i="3"/>
  <c r="AG13" i="3"/>
  <c r="AH12" i="3"/>
  <c r="R14" i="3"/>
  <c r="Q15" i="3"/>
  <c r="AK15" i="3"/>
  <c r="AL15" i="3" s="1"/>
  <c r="B13" i="3"/>
  <c r="A14" i="3"/>
  <c r="T5" i="38" l="1"/>
  <c r="C11" i="4"/>
  <c r="Y6" i="38"/>
  <c r="J74" i="38" s="1"/>
  <c r="U6" i="38"/>
  <c r="F74" i="38" s="1"/>
  <c r="AA6" i="38"/>
  <c r="L74" i="38" s="1"/>
  <c r="S6" i="38"/>
  <c r="AB6" i="38"/>
  <c r="M74" i="38" s="1"/>
  <c r="T6" i="38"/>
  <c r="E74" i="38" s="1"/>
  <c r="D10" i="4"/>
  <c r="D62" i="4" s="1"/>
  <c r="D114" i="4" s="1"/>
  <c r="E10" i="4"/>
  <c r="E62" i="4" s="1"/>
  <c r="E114" i="4" s="1"/>
  <c r="G10" i="4"/>
  <c r="G62" i="4" s="1"/>
  <c r="G114" i="4" s="1"/>
  <c r="F10" i="4"/>
  <c r="F62" i="4" s="1"/>
  <c r="F114" i="4" s="1"/>
  <c r="H10" i="4"/>
  <c r="I10" i="4"/>
  <c r="AA5" i="38"/>
  <c r="Y5" i="38"/>
  <c r="E28" i="5"/>
  <c r="D28" i="5"/>
  <c r="F27" i="5"/>
  <c r="C29" i="5"/>
  <c r="C80" i="4"/>
  <c r="F13" i="3"/>
  <c r="E14" i="3"/>
  <c r="K10" i="4"/>
  <c r="K62" i="4" s="1"/>
  <c r="K114" i="4" s="1"/>
  <c r="K8" i="4"/>
  <c r="K60" i="4" s="1"/>
  <c r="K112" i="4" s="1"/>
  <c r="K9" i="4"/>
  <c r="K61" i="4" s="1"/>
  <c r="K113" i="4" s="1"/>
  <c r="K6" i="4"/>
  <c r="K58" i="4" s="1"/>
  <c r="K110" i="4" s="1"/>
  <c r="K7" i="4"/>
  <c r="K59" i="4" s="1"/>
  <c r="K111" i="4" s="1"/>
  <c r="K4" i="4"/>
  <c r="K56" i="4" s="1"/>
  <c r="K108" i="4" s="1"/>
  <c r="K5" i="4"/>
  <c r="K57" i="4" s="1"/>
  <c r="K109" i="4" s="1"/>
  <c r="L3" i="4"/>
  <c r="V15" i="3"/>
  <c r="U16" i="3"/>
  <c r="AG14" i="3"/>
  <c r="AH13" i="3"/>
  <c r="Q16" i="3"/>
  <c r="R15" i="3"/>
  <c r="AK16" i="3"/>
  <c r="AL16" i="3" s="1"/>
  <c r="B14" i="3"/>
  <c r="A15" i="3"/>
  <c r="D74" i="38" l="1"/>
  <c r="X6" i="38"/>
  <c r="I74" i="38" s="1"/>
  <c r="C12" i="4"/>
  <c r="E11" i="4"/>
  <c r="E63" i="4" s="1"/>
  <c r="E115" i="4" s="1"/>
  <c r="D11" i="4"/>
  <c r="D63" i="4" s="1"/>
  <c r="D115" i="4" s="1"/>
  <c r="G11" i="4"/>
  <c r="G63" i="4" s="1"/>
  <c r="G115" i="4" s="1"/>
  <c r="F11" i="4"/>
  <c r="F63" i="4" s="1"/>
  <c r="F115" i="4" s="1"/>
  <c r="H11" i="4"/>
  <c r="H63" i="4" s="1"/>
  <c r="H115" i="4" s="1"/>
  <c r="I11" i="4"/>
  <c r="I63" i="4" s="1"/>
  <c r="I115" i="4" s="1"/>
  <c r="J11" i="4"/>
  <c r="J63" i="4" s="1"/>
  <c r="J115" i="4" s="1"/>
  <c r="E73" i="38"/>
  <c r="L73" i="38"/>
  <c r="W6" i="38"/>
  <c r="H74" i="38" s="1"/>
  <c r="K11" i="4"/>
  <c r="K63" i="4" s="1"/>
  <c r="K115" i="4" s="1"/>
  <c r="J73" i="38"/>
  <c r="Z6" i="38"/>
  <c r="E29" i="5"/>
  <c r="D29" i="5"/>
  <c r="C30" i="5"/>
  <c r="F28" i="5"/>
  <c r="C81" i="4"/>
  <c r="F14" i="3"/>
  <c r="E15" i="3"/>
  <c r="L7" i="4"/>
  <c r="L59" i="4" s="1"/>
  <c r="L111" i="4" s="1"/>
  <c r="L12" i="4"/>
  <c r="L64" i="4" s="1"/>
  <c r="L116" i="4" s="1"/>
  <c r="M3" i="4"/>
  <c r="L8" i="4"/>
  <c r="L10" i="4"/>
  <c r="L62" i="4" s="1"/>
  <c r="L114" i="4" s="1"/>
  <c r="L5" i="4"/>
  <c r="L57" i="4" s="1"/>
  <c r="L109" i="4" s="1"/>
  <c r="L11" i="4"/>
  <c r="L63" i="4" s="1"/>
  <c r="L115" i="4" s="1"/>
  <c r="L9" i="4"/>
  <c r="L61" i="4" s="1"/>
  <c r="L113" i="4" s="1"/>
  <c r="L4" i="4"/>
  <c r="L56" i="4" s="1"/>
  <c r="L108" i="4" s="1"/>
  <c r="L6" i="4"/>
  <c r="L58" i="4" s="1"/>
  <c r="L110" i="4" s="1"/>
  <c r="V16" i="3"/>
  <c r="U17" i="3"/>
  <c r="AG15" i="3"/>
  <c r="AH14" i="3"/>
  <c r="R16" i="3"/>
  <c r="Q17" i="3"/>
  <c r="AK17" i="3"/>
  <c r="AL17" i="3" s="1"/>
  <c r="B15" i="3"/>
  <c r="A16" i="3"/>
  <c r="K74" i="38" l="1"/>
  <c r="C13" i="4"/>
  <c r="AA7" i="38"/>
  <c r="L75" i="38" s="1"/>
  <c r="S7" i="38"/>
  <c r="Y7" i="38"/>
  <c r="J75" i="38" s="1"/>
  <c r="X7" i="38"/>
  <c r="I75" i="38" s="1"/>
  <c r="V7" i="38"/>
  <c r="G75" i="38" s="1"/>
  <c r="AB7" i="38"/>
  <c r="M75" i="38" s="1"/>
  <c r="E12" i="4"/>
  <c r="D12" i="4"/>
  <c r="D64" i="4" s="1"/>
  <c r="D116" i="4" s="1"/>
  <c r="F12" i="4"/>
  <c r="G12" i="4"/>
  <c r="H12" i="4"/>
  <c r="H64" i="4" s="1"/>
  <c r="H116" i="4" s="1"/>
  <c r="I12" i="4"/>
  <c r="I64" i="4" s="1"/>
  <c r="I116" i="4" s="1"/>
  <c r="J12" i="4"/>
  <c r="J64" i="4" s="1"/>
  <c r="J116" i="4" s="1"/>
  <c r="K12" i="4"/>
  <c r="K64" i="4" s="1"/>
  <c r="K116" i="4" s="1"/>
  <c r="D30" i="5"/>
  <c r="E30" i="5"/>
  <c r="C31" i="5"/>
  <c r="F29" i="5"/>
  <c r="C82" i="4"/>
  <c r="F15" i="3"/>
  <c r="E16" i="3"/>
  <c r="M6" i="4"/>
  <c r="M58" i="4" s="1"/>
  <c r="M110" i="4" s="1"/>
  <c r="M7" i="4"/>
  <c r="M59" i="4" s="1"/>
  <c r="M111" i="4" s="1"/>
  <c r="M5" i="4"/>
  <c r="M57" i="4" s="1"/>
  <c r="M109" i="4" s="1"/>
  <c r="M12" i="4"/>
  <c r="M64" i="4" s="1"/>
  <c r="M116" i="4" s="1"/>
  <c r="N3" i="4"/>
  <c r="M4" i="4"/>
  <c r="M56" i="4" s="1"/>
  <c r="M108" i="4" s="1"/>
  <c r="M9" i="4"/>
  <c r="M61" i="4" s="1"/>
  <c r="M113" i="4" s="1"/>
  <c r="M10" i="4"/>
  <c r="M62" i="4" s="1"/>
  <c r="M114" i="4" s="1"/>
  <c r="M11" i="4"/>
  <c r="M63" i="4" s="1"/>
  <c r="M115" i="4" s="1"/>
  <c r="M8" i="4"/>
  <c r="M60" i="4" s="1"/>
  <c r="M112" i="4" s="1"/>
  <c r="V17" i="3"/>
  <c r="U18" i="3"/>
  <c r="AG16" i="3"/>
  <c r="AH15" i="3"/>
  <c r="R17" i="3"/>
  <c r="Q18" i="3"/>
  <c r="AK18" i="3"/>
  <c r="AL18" i="3" s="1"/>
  <c r="B16" i="3"/>
  <c r="A17" i="3"/>
  <c r="D75" i="38" l="1"/>
  <c r="C14" i="4"/>
  <c r="V8" i="38"/>
  <c r="G76" i="38" s="1"/>
  <c r="Y8" i="38"/>
  <c r="J76" i="38" s="1"/>
  <c r="U8" i="38"/>
  <c r="F76" i="38" s="1"/>
  <c r="W8" i="38"/>
  <c r="H76" i="38" s="1"/>
  <c r="T8" i="38"/>
  <c r="E76" i="38" s="1"/>
  <c r="AB8" i="38"/>
  <c r="M76" i="38" s="1"/>
  <c r="S8" i="38"/>
  <c r="AA8" i="38"/>
  <c r="L76" i="38" s="1"/>
  <c r="X8" i="38"/>
  <c r="I76" i="38" s="1"/>
  <c r="E13" i="4"/>
  <c r="E65" i="4" s="1"/>
  <c r="E117" i="4" s="1"/>
  <c r="D13" i="4"/>
  <c r="D65" i="4" s="1"/>
  <c r="D117" i="4" s="1"/>
  <c r="F13" i="4"/>
  <c r="F65" i="4" s="1"/>
  <c r="F117" i="4" s="1"/>
  <c r="G13" i="4"/>
  <c r="G65" i="4" s="1"/>
  <c r="G117" i="4" s="1"/>
  <c r="H13" i="4"/>
  <c r="H65" i="4" s="1"/>
  <c r="H117" i="4" s="1"/>
  <c r="I13" i="4"/>
  <c r="I65" i="4" s="1"/>
  <c r="I117" i="4" s="1"/>
  <c r="J13" i="4"/>
  <c r="J65" i="4" s="1"/>
  <c r="J117" i="4" s="1"/>
  <c r="K13" i="4"/>
  <c r="K65" i="4" s="1"/>
  <c r="K117" i="4" s="1"/>
  <c r="L13" i="4"/>
  <c r="M13" i="4"/>
  <c r="M65" i="4" s="1"/>
  <c r="M117" i="4" s="1"/>
  <c r="Z7" i="38"/>
  <c r="W7" i="38"/>
  <c r="H75" i="38" s="1"/>
  <c r="E31" i="5"/>
  <c r="L31" i="5" s="1"/>
  <c r="D31" i="5"/>
  <c r="C32" i="5"/>
  <c r="F30" i="5"/>
  <c r="C83" i="4"/>
  <c r="F16" i="3"/>
  <c r="E17" i="3"/>
  <c r="N6" i="4"/>
  <c r="N58" i="4" s="1"/>
  <c r="N110" i="4" s="1"/>
  <c r="N7" i="4"/>
  <c r="N59" i="4" s="1"/>
  <c r="N111" i="4" s="1"/>
  <c r="N11" i="4"/>
  <c r="N63" i="4" s="1"/>
  <c r="N115" i="4" s="1"/>
  <c r="N13" i="4"/>
  <c r="N12" i="4"/>
  <c r="N64" i="4" s="1"/>
  <c r="N116" i="4" s="1"/>
  <c r="N9" i="4"/>
  <c r="N61" i="4" s="1"/>
  <c r="N113" i="4" s="1"/>
  <c r="N14" i="4"/>
  <c r="N66" i="4" s="1"/>
  <c r="N118" i="4" s="1"/>
  <c r="O3" i="4"/>
  <c r="N5" i="4"/>
  <c r="N57" i="4" s="1"/>
  <c r="N109" i="4" s="1"/>
  <c r="N10" i="4"/>
  <c r="N62" i="4" s="1"/>
  <c r="N114" i="4" s="1"/>
  <c r="N8" i="4"/>
  <c r="N60" i="4" s="1"/>
  <c r="N112" i="4" s="1"/>
  <c r="N4" i="4"/>
  <c r="N56" i="4" s="1"/>
  <c r="N108" i="4" s="1"/>
  <c r="V18" i="3"/>
  <c r="U19" i="3"/>
  <c r="AH16" i="3"/>
  <c r="AG17" i="3"/>
  <c r="Q19" i="3"/>
  <c r="R18" i="3"/>
  <c r="AK19" i="3"/>
  <c r="AL19" i="3" s="1"/>
  <c r="B17" i="3"/>
  <c r="A18" i="3"/>
  <c r="D76" i="38" l="1"/>
  <c r="C15" i="4"/>
  <c r="Y9" i="38"/>
  <c r="J77" i="38" s="1"/>
  <c r="AB9" i="38"/>
  <c r="M77" i="38" s="1"/>
  <c r="X9" i="38"/>
  <c r="I77" i="38" s="1"/>
  <c r="T9" i="38"/>
  <c r="E77" i="38" s="1"/>
  <c r="AA9" i="38"/>
  <c r="L77" i="38" s="1"/>
  <c r="Z9" i="38"/>
  <c r="K77" i="38" s="1"/>
  <c r="W9" i="38"/>
  <c r="H77" i="38" s="1"/>
  <c r="S9" i="38"/>
  <c r="D14" i="4"/>
  <c r="D66" i="4" s="1"/>
  <c r="D118" i="4" s="1"/>
  <c r="E14" i="4"/>
  <c r="G14" i="4"/>
  <c r="F14" i="4"/>
  <c r="H14" i="4"/>
  <c r="I14" i="4"/>
  <c r="J14" i="4"/>
  <c r="K14" i="4"/>
  <c r="L14" i="4"/>
  <c r="L66" i="4" s="1"/>
  <c r="L118" i="4" s="1"/>
  <c r="M14" i="4"/>
  <c r="M66" i="4" s="1"/>
  <c r="M118" i="4" s="1"/>
  <c r="K75" i="38"/>
  <c r="E32" i="5"/>
  <c r="D32" i="5"/>
  <c r="C33" i="5"/>
  <c r="F31" i="5"/>
  <c r="C84" i="4"/>
  <c r="E18" i="3"/>
  <c r="F17" i="3"/>
  <c r="O5" i="4"/>
  <c r="O14" i="4"/>
  <c r="O66" i="4" s="1"/>
  <c r="O118" i="4" s="1"/>
  <c r="O10" i="4"/>
  <c r="O62" i="4" s="1"/>
  <c r="O114" i="4" s="1"/>
  <c r="O4" i="4"/>
  <c r="O56" i="4" s="1"/>
  <c r="O108" i="4" s="1"/>
  <c r="O12" i="4"/>
  <c r="O64" i="4" s="1"/>
  <c r="O116" i="4" s="1"/>
  <c r="O13" i="4"/>
  <c r="O65" i="4" s="1"/>
  <c r="O117" i="4" s="1"/>
  <c r="O11" i="4"/>
  <c r="O63" i="4" s="1"/>
  <c r="O115" i="4" s="1"/>
  <c r="P3" i="4"/>
  <c r="O7" i="4"/>
  <c r="O59" i="4" s="1"/>
  <c r="O111" i="4" s="1"/>
  <c r="O8" i="4"/>
  <c r="O60" i="4" s="1"/>
  <c r="O112" i="4" s="1"/>
  <c r="O9" i="4"/>
  <c r="O61" i="4" s="1"/>
  <c r="O113" i="4" s="1"/>
  <c r="O15" i="4"/>
  <c r="O67" i="4" s="1"/>
  <c r="O119" i="4" s="1"/>
  <c r="O6" i="4"/>
  <c r="O58" i="4" s="1"/>
  <c r="O110" i="4" s="1"/>
  <c r="U20" i="3"/>
  <c r="V19" i="3"/>
  <c r="AH17" i="3"/>
  <c r="AG18" i="3"/>
  <c r="R19" i="3"/>
  <c r="Q20" i="3"/>
  <c r="AK20" i="3"/>
  <c r="AL20" i="3" s="1"/>
  <c r="A19" i="3"/>
  <c r="B18" i="3"/>
  <c r="D77" i="38" l="1"/>
  <c r="C16" i="4"/>
  <c r="D15" i="4"/>
  <c r="D67" i="4" s="1"/>
  <c r="D119" i="4" s="1"/>
  <c r="E15" i="4"/>
  <c r="E67" i="4" s="1"/>
  <c r="E119" i="4" s="1"/>
  <c r="F15" i="4"/>
  <c r="F67" i="4" s="1"/>
  <c r="F119" i="4" s="1"/>
  <c r="G15" i="4"/>
  <c r="H15" i="4"/>
  <c r="I15" i="4"/>
  <c r="I67" i="4" s="1"/>
  <c r="I119" i="4" s="1"/>
  <c r="J15" i="4"/>
  <c r="K15" i="4"/>
  <c r="K67" i="4" s="1"/>
  <c r="K119" i="4" s="1"/>
  <c r="L15" i="4"/>
  <c r="L67" i="4" s="1"/>
  <c r="L119" i="4" s="1"/>
  <c r="M15" i="4"/>
  <c r="M67" i="4" s="1"/>
  <c r="M119" i="4" s="1"/>
  <c r="N15" i="4"/>
  <c r="N67" i="4" s="1"/>
  <c r="N119" i="4" s="1"/>
  <c r="E33" i="5"/>
  <c r="D33" i="5"/>
  <c r="C34" i="5"/>
  <c r="F32" i="5"/>
  <c r="C85" i="4"/>
  <c r="E19" i="3"/>
  <c r="F18" i="3"/>
  <c r="P15" i="4"/>
  <c r="P67" i="4" s="1"/>
  <c r="P119" i="4" s="1"/>
  <c r="P13" i="4"/>
  <c r="P9" i="4"/>
  <c r="P61" i="4" s="1"/>
  <c r="P113" i="4" s="1"/>
  <c r="P7" i="4"/>
  <c r="P59" i="4" s="1"/>
  <c r="P111" i="4" s="1"/>
  <c r="P12" i="4"/>
  <c r="P64" i="4" s="1"/>
  <c r="P116" i="4" s="1"/>
  <c r="P14" i="4"/>
  <c r="P66" i="4" s="1"/>
  <c r="P118" i="4" s="1"/>
  <c r="P10" i="4"/>
  <c r="P62" i="4" s="1"/>
  <c r="P114" i="4" s="1"/>
  <c r="Q3" i="4"/>
  <c r="P8" i="4"/>
  <c r="P60" i="4" s="1"/>
  <c r="P112" i="4" s="1"/>
  <c r="P6" i="4"/>
  <c r="P58" i="4" s="1"/>
  <c r="P110" i="4" s="1"/>
  <c r="P11" i="4"/>
  <c r="P63" i="4" s="1"/>
  <c r="P115" i="4" s="1"/>
  <c r="P16" i="4"/>
  <c r="P68" i="4" s="1"/>
  <c r="P120" i="4" s="1"/>
  <c r="P5" i="4"/>
  <c r="P57" i="4" s="1"/>
  <c r="P109" i="4" s="1"/>
  <c r="P4" i="4"/>
  <c r="P56" i="4" s="1"/>
  <c r="P108" i="4" s="1"/>
  <c r="V20" i="3"/>
  <c r="U21" i="3"/>
  <c r="AH18" i="3"/>
  <c r="AG19" i="3"/>
  <c r="R20" i="3"/>
  <c r="Q21" i="3"/>
  <c r="AK21" i="3"/>
  <c r="AL21" i="3" s="1"/>
  <c r="B19" i="3"/>
  <c r="A20" i="3"/>
  <c r="C17" i="4" l="1"/>
  <c r="E16" i="4"/>
  <c r="E68" i="4" s="1"/>
  <c r="E120" i="4" s="1"/>
  <c r="D16" i="4"/>
  <c r="D68" i="4" s="1"/>
  <c r="D120" i="4" s="1"/>
  <c r="F16" i="4"/>
  <c r="F68" i="4" s="1"/>
  <c r="F120" i="4" s="1"/>
  <c r="G16" i="4"/>
  <c r="H16" i="4"/>
  <c r="H68" i="4" s="1"/>
  <c r="H120" i="4" s="1"/>
  <c r="I16" i="4"/>
  <c r="I68" i="4" s="1"/>
  <c r="I120" i="4" s="1"/>
  <c r="J16" i="4"/>
  <c r="J68" i="4" s="1"/>
  <c r="J120" i="4" s="1"/>
  <c r="K16" i="4"/>
  <c r="L16" i="4"/>
  <c r="L68" i="4" s="1"/>
  <c r="L120" i="4" s="1"/>
  <c r="M16" i="4"/>
  <c r="M68" i="4" s="1"/>
  <c r="M120" i="4" s="1"/>
  <c r="N16" i="4"/>
  <c r="N68" i="4" s="1"/>
  <c r="N120" i="4" s="1"/>
  <c r="O16" i="4"/>
  <c r="O68" i="4" s="1"/>
  <c r="O120" i="4" s="1"/>
  <c r="D34" i="5"/>
  <c r="E34" i="5"/>
  <c r="L34" i="5" s="1"/>
  <c r="C35" i="5"/>
  <c r="F33" i="5"/>
  <c r="C86" i="4"/>
  <c r="E20" i="3"/>
  <c r="F19" i="3"/>
  <c r="R3" i="4"/>
  <c r="Q4" i="4"/>
  <c r="Q56" i="4" s="1"/>
  <c r="Q108" i="4" s="1"/>
  <c r="Q16" i="4"/>
  <c r="Q68" i="4" s="1"/>
  <c r="Q120" i="4" s="1"/>
  <c r="Q6" i="4"/>
  <c r="Q58" i="4" s="1"/>
  <c r="Q110" i="4" s="1"/>
  <c r="Q7" i="4"/>
  <c r="Q59" i="4" s="1"/>
  <c r="Q111" i="4" s="1"/>
  <c r="Q9" i="4"/>
  <c r="Q61" i="4" s="1"/>
  <c r="Q113" i="4" s="1"/>
  <c r="Q8" i="4"/>
  <c r="Q13" i="4"/>
  <c r="Q65" i="4" s="1"/>
  <c r="Q117" i="4" s="1"/>
  <c r="Q14" i="4"/>
  <c r="Q66" i="4" s="1"/>
  <c r="Q118" i="4" s="1"/>
  <c r="Q15" i="4"/>
  <c r="Q67" i="4" s="1"/>
  <c r="Q119" i="4" s="1"/>
  <c r="Q17" i="4"/>
  <c r="Q69" i="4" s="1"/>
  <c r="Q121" i="4" s="1"/>
  <c r="Q10" i="4"/>
  <c r="Q62" i="4" s="1"/>
  <c r="Q114" i="4" s="1"/>
  <c r="Q11" i="4"/>
  <c r="Q63" i="4" s="1"/>
  <c r="Q115" i="4" s="1"/>
  <c r="Q12" i="4"/>
  <c r="Q64" i="4" s="1"/>
  <c r="Q116" i="4" s="1"/>
  <c r="Q5" i="4"/>
  <c r="Q57" i="4" s="1"/>
  <c r="Q109" i="4" s="1"/>
  <c r="U22" i="3"/>
  <c r="V21" i="3"/>
  <c r="AG20" i="3"/>
  <c r="AH19" i="3"/>
  <c r="Q22" i="3"/>
  <c r="R21" i="3"/>
  <c r="AK22" i="3"/>
  <c r="AL22" i="3" s="1"/>
  <c r="A21" i="3"/>
  <c r="B20" i="3"/>
  <c r="C18" i="4" l="1"/>
  <c r="AB10" i="38"/>
  <c r="M78" i="38" s="1"/>
  <c r="X10" i="38"/>
  <c r="I78" i="38" s="1"/>
  <c r="T10" i="38"/>
  <c r="E78" i="38" s="1"/>
  <c r="AA10" i="38"/>
  <c r="L78" i="38" s="1"/>
  <c r="V10" i="38"/>
  <c r="G78" i="38" s="1"/>
  <c r="Z10" i="38"/>
  <c r="K78" i="38" s="1"/>
  <c r="U10" i="38"/>
  <c r="F78" i="38" s="1"/>
  <c r="Y10" i="38"/>
  <c r="J78" i="38" s="1"/>
  <c r="W10" i="38"/>
  <c r="H78" i="38" s="1"/>
  <c r="E17" i="4"/>
  <c r="D17" i="4"/>
  <c r="D69" i="4" s="1"/>
  <c r="D121" i="4" s="1"/>
  <c r="F17" i="4"/>
  <c r="G17" i="4"/>
  <c r="H17" i="4"/>
  <c r="H69" i="4" s="1"/>
  <c r="H121" i="4" s="1"/>
  <c r="I17" i="4"/>
  <c r="I69" i="4" s="1"/>
  <c r="I121" i="4" s="1"/>
  <c r="J17" i="4"/>
  <c r="J69" i="4" s="1"/>
  <c r="J121" i="4" s="1"/>
  <c r="K17" i="4"/>
  <c r="K69" i="4" s="1"/>
  <c r="K121" i="4" s="1"/>
  <c r="L17" i="4"/>
  <c r="L69" i="4" s="1"/>
  <c r="L121" i="4" s="1"/>
  <c r="M17" i="4"/>
  <c r="M69" i="4" s="1"/>
  <c r="M121" i="4" s="1"/>
  <c r="N17" i="4"/>
  <c r="N69" i="4" s="1"/>
  <c r="N121" i="4" s="1"/>
  <c r="O17" i="4"/>
  <c r="O69" i="4" s="1"/>
  <c r="O121" i="4" s="1"/>
  <c r="P17" i="4"/>
  <c r="E35" i="5"/>
  <c r="L35" i="5" s="1"/>
  <c r="D35" i="5"/>
  <c r="C36" i="5"/>
  <c r="F34" i="5"/>
  <c r="C87" i="4"/>
  <c r="F20" i="3"/>
  <c r="E21" i="3"/>
  <c r="R17" i="4"/>
  <c r="R69" i="4" s="1"/>
  <c r="R121" i="4" s="1"/>
  <c r="R6" i="4"/>
  <c r="R58" i="4" s="1"/>
  <c r="R110" i="4" s="1"/>
  <c r="S3" i="4"/>
  <c r="R12" i="4"/>
  <c r="R64" i="4" s="1"/>
  <c r="R116" i="4" s="1"/>
  <c r="R5" i="4"/>
  <c r="R57" i="4" s="1"/>
  <c r="R109" i="4" s="1"/>
  <c r="R10" i="4"/>
  <c r="R62" i="4" s="1"/>
  <c r="R114" i="4" s="1"/>
  <c r="R11" i="4"/>
  <c r="R63" i="4" s="1"/>
  <c r="R115" i="4" s="1"/>
  <c r="R8" i="4"/>
  <c r="R60" i="4" s="1"/>
  <c r="R112" i="4" s="1"/>
  <c r="R7" i="4"/>
  <c r="R59" i="4" s="1"/>
  <c r="R111" i="4" s="1"/>
  <c r="R13" i="4"/>
  <c r="R65" i="4" s="1"/>
  <c r="R117" i="4" s="1"/>
  <c r="R15" i="4"/>
  <c r="R67" i="4" s="1"/>
  <c r="R119" i="4" s="1"/>
  <c r="R4" i="4"/>
  <c r="R56" i="4" s="1"/>
  <c r="R108" i="4" s="1"/>
  <c r="R9" i="4"/>
  <c r="R61" i="4" s="1"/>
  <c r="R113" i="4" s="1"/>
  <c r="R14" i="4"/>
  <c r="R66" i="4" s="1"/>
  <c r="R118" i="4" s="1"/>
  <c r="R16" i="4"/>
  <c r="R68" i="4" s="1"/>
  <c r="R120" i="4" s="1"/>
  <c r="V22" i="3"/>
  <c r="U23" i="3"/>
  <c r="AH20" i="3"/>
  <c r="AG21" i="3"/>
  <c r="Q23" i="3"/>
  <c r="R22" i="3"/>
  <c r="AK23" i="3"/>
  <c r="AL23" i="3" s="1"/>
  <c r="A22" i="3"/>
  <c r="B21" i="3"/>
  <c r="C19" i="4" l="1"/>
  <c r="AA11" i="38"/>
  <c r="L79" i="38" s="1"/>
  <c r="W11" i="38"/>
  <c r="H79" i="38" s="1"/>
  <c r="S11" i="38"/>
  <c r="X11" i="38"/>
  <c r="I79" i="38" s="1"/>
  <c r="V11" i="38"/>
  <c r="G79" i="38" s="1"/>
  <c r="Y11" i="38"/>
  <c r="J79" i="38" s="1"/>
  <c r="Z11" i="38"/>
  <c r="K79" i="38" s="1"/>
  <c r="U11" i="38"/>
  <c r="F79" i="38" s="1"/>
  <c r="T11" i="38"/>
  <c r="E79" i="38" s="1"/>
  <c r="E18" i="4"/>
  <c r="E70" i="4" s="1"/>
  <c r="E122" i="4" s="1"/>
  <c r="D18" i="4"/>
  <c r="D70" i="4" s="1"/>
  <c r="D122" i="4" s="1"/>
  <c r="G18" i="4"/>
  <c r="F18" i="4"/>
  <c r="H18" i="4"/>
  <c r="I18" i="4"/>
  <c r="I70" i="4" s="1"/>
  <c r="I122" i="4" s="1"/>
  <c r="J18" i="4"/>
  <c r="J70" i="4" s="1"/>
  <c r="J122" i="4" s="1"/>
  <c r="K18" i="4"/>
  <c r="K70" i="4" s="1"/>
  <c r="K122" i="4" s="1"/>
  <c r="L18" i="4"/>
  <c r="M18" i="4"/>
  <c r="M70" i="4" s="1"/>
  <c r="M122" i="4" s="1"/>
  <c r="N18" i="4"/>
  <c r="O18" i="4"/>
  <c r="O70" i="4" s="1"/>
  <c r="O122" i="4" s="1"/>
  <c r="P18" i="4"/>
  <c r="P70" i="4" s="1"/>
  <c r="P122" i="4" s="1"/>
  <c r="Q18" i="4"/>
  <c r="Q70" i="4" s="1"/>
  <c r="Q122" i="4" s="1"/>
  <c r="R18" i="4"/>
  <c r="R70" i="4" s="1"/>
  <c r="R122" i="4" s="1"/>
  <c r="E36" i="5"/>
  <c r="L36" i="5" s="1"/>
  <c r="D36" i="5"/>
  <c r="C37" i="5"/>
  <c r="F35" i="5"/>
  <c r="C88" i="4"/>
  <c r="E22" i="3"/>
  <c r="F21" i="3"/>
  <c r="S16" i="4"/>
  <c r="S68" i="4" s="1"/>
  <c r="S120" i="4" s="1"/>
  <c r="S17" i="4"/>
  <c r="S69" i="4" s="1"/>
  <c r="S121" i="4" s="1"/>
  <c r="T3" i="4"/>
  <c r="S19" i="4"/>
  <c r="S71" i="4" s="1"/>
  <c r="S123" i="4" s="1"/>
  <c r="S7" i="4"/>
  <c r="S59" i="4" s="1"/>
  <c r="S111" i="4" s="1"/>
  <c r="S12" i="4"/>
  <c r="S64" i="4" s="1"/>
  <c r="S116" i="4" s="1"/>
  <c r="S13" i="4"/>
  <c r="S65" i="4" s="1"/>
  <c r="S117" i="4" s="1"/>
  <c r="S14" i="4"/>
  <c r="S66" i="4" s="1"/>
  <c r="S118" i="4" s="1"/>
  <c r="S8" i="4"/>
  <c r="S60" i="4" s="1"/>
  <c r="S112" i="4" s="1"/>
  <c r="S9" i="4"/>
  <c r="S61" i="4" s="1"/>
  <c r="S113" i="4" s="1"/>
  <c r="S18" i="4"/>
  <c r="S70" i="4" s="1"/>
  <c r="S122" i="4" s="1"/>
  <c r="S11" i="4"/>
  <c r="S63" i="4" s="1"/>
  <c r="S115" i="4" s="1"/>
  <c r="S5" i="4"/>
  <c r="S57" i="4" s="1"/>
  <c r="S109" i="4" s="1"/>
  <c r="S15" i="4"/>
  <c r="S67" i="4" s="1"/>
  <c r="S119" i="4" s="1"/>
  <c r="S6" i="4"/>
  <c r="S58" i="4" s="1"/>
  <c r="S110" i="4" s="1"/>
  <c r="S10" i="4"/>
  <c r="S62" i="4" s="1"/>
  <c r="S114" i="4" s="1"/>
  <c r="S4" i="4"/>
  <c r="S56" i="4" s="1"/>
  <c r="S108" i="4" s="1"/>
  <c r="U24" i="3"/>
  <c r="V23" i="3"/>
  <c r="AG22" i="3"/>
  <c r="AH21" i="3"/>
  <c r="R23" i="3"/>
  <c r="Q24" i="3"/>
  <c r="AK24" i="3"/>
  <c r="AL24" i="3" s="1"/>
  <c r="B22" i="3"/>
  <c r="A23" i="3"/>
  <c r="D79" i="38" l="1"/>
  <c r="C20" i="4"/>
  <c r="T20" i="4" s="1"/>
  <c r="T72" i="4" s="1"/>
  <c r="T124" i="4" s="1"/>
  <c r="Z12" i="38"/>
  <c r="K80" i="38" s="1"/>
  <c r="S12" i="38"/>
  <c r="U12" i="38"/>
  <c r="F80" i="38" s="1"/>
  <c r="AB12" i="38"/>
  <c r="M80" i="38" s="1"/>
  <c r="AA12" i="38"/>
  <c r="L80" i="38" s="1"/>
  <c r="E19" i="4"/>
  <c r="E71" i="4" s="1"/>
  <c r="E123" i="4" s="1"/>
  <c r="D19" i="4"/>
  <c r="F19" i="4"/>
  <c r="G19" i="4"/>
  <c r="H19" i="4"/>
  <c r="I19" i="4"/>
  <c r="J19" i="4"/>
  <c r="K19" i="4"/>
  <c r="L19" i="4"/>
  <c r="M19" i="4"/>
  <c r="N19" i="4"/>
  <c r="N71" i="4" s="1"/>
  <c r="N123" i="4" s="1"/>
  <c r="O19" i="4"/>
  <c r="O71" i="4" s="1"/>
  <c r="O123" i="4" s="1"/>
  <c r="P19" i="4"/>
  <c r="P71" i="4" s="1"/>
  <c r="P123" i="4" s="1"/>
  <c r="Q19" i="4"/>
  <c r="Q71" i="4" s="1"/>
  <c r="Q123" i="4" s="1"/>
  <c r="R19" i="4"/>
  <c r="R71" i="4" s="1"/>
  <c r="R123" i="4" s="1"/>
  <c r="E37" i="5"/>
  <c r="L37" i="5" s="1"/>
  <c r="D37" i="5"/>
  <c r="K37" i="5" s="1"/>
  <c r="C38" i="5"/>
  <c r="F36" i="5"/>
  <c r="C89" i="4"/>
  <c r="F22" i="3"/>
  <c r="E23" i="3"/>
  <c r="T11" i="4"/>
  <c r="T63" i="4" s="1"/>
  <c r="T115" i="4" s="1"/>
  <c r="T16" i="4"/>
  <c r="T68" i="4" s="1"/>
  <c r="T120" i="4" s="1"/>
  <c r="T17" i="4"/>
  <c r="T69" i="4" s="1"/>
  <c r="T121" i="4" s="1"/>
  <c r="T6" i="4"/>
  <c r="T58" i="4" s="1"/>
  <c r="T110" i="4" s="1"/>
  <c r="U3" i="4"/>
  <c r="T19" i="4"/>
  <c r="T71" i="4" s="1"/>
  <c r="T123" i="4" s="1"/>
  <c r="T8" i="4"/>
  <c r="T60" i="4" s="1"/>
  <c r="T112" i="4" s="1"/>
  <c r="T10" i="4"/>
  <c r="T62" i="4" s="1"/>
  <c r="T114" i="4" s="1"/>
  <c r="T5" i="4"/>
  <c r="T57" i="4" s="1"/>
  <c r="T109" i="4" s="1"/>
  <c r="T14" i="4"/>
  <c r="T66" i="4" s="1"/>
  <c r="T118" i="4" s="1"/>
  <c r="T7" i="4"/>
  <c r="T59" i="4" s="1"/>
  <c r="T111" i="4" s="1"/>
  <c r="T12" i="4"/>
  <c r="T64" i="4" s="1"/>
  <c r="T116" i="4" s="1"/>
  <c r="T18" i="4"/>
  <c r="T70" i="4" s="1"/>
  <c r="T122" i="4" s="1"/>
  <c r="T9" i="4"/>
  <c r="T61" i="4" s="1"/>
  <c r="T113" i="4" s="1"/>
  <c r="T15" i="4"/>
  <c r="T67" i="4" s="1"/>
  <c r="T119" i="4" s="1"/>
  <c r="T13" i="4"/>
  <c r="T65" i="4" s="1"/>
  <c r="T117" i="4" s="1"/>
  <c r="T4" i="4"/>
  <c r="T56" i="4" s="1"/>
  <c r="T108" i="4" s="1"/>
  <c r="V24" i="3"/>
  <c r="U25" i="3"/>
  <c r="AG23" i="3"/>
  <c r="AH22" i="3"/>
  <c r="R24" i="3"/>
  <c r="Q25" i="3"/>
  <c r="AK25" i="3"/>
  <c r="AL25" i="3" s="1"/>
  <c r="B23" i="3"/>
  <c r="A24" i="3"/>
  <c r="D80" i="38" l="1"/>
  <c r="C21" i="4"/>
  <c r="Y13" i="38"/>
  <c r="J81" i="38" s="1"/>
  <c r="U13" i="38"/>
  <c r="F81" i="38" s="1"/>
  <c r="AA13" i="38"/>
  <c r="L81" i="38" s="1"/>
  <c r="V13" i="38"/>
  <c r="G81" i="38" s="1"/>
  <c r="Z13" i="38"/>
  <c r="K81" i="38" s="1"/>
  <c r="T13" i="38"/>
  <c r="E81" i="38" s="1"/>
  <c r="AB13" i="38"/>
  <c r="M81" i="38" s="1"/>
  <c r="W13" i="38"/>
  <c r="H81" i="38" s="1"/>
  <c r="S13" i="38"/>
  <c r="E20" i="4"/>
  <c r="E72" i="4" s="1"/>
  <c r="E124" i="4" s="1"/>
  <c r="D20" i="4"/>
  <c r="D72" i="4" s="1"/>
  <c r="D124" i="4" s="1"/>
  <c r="F20" i="4"/>
  <c r="F72" i="4" s="1"/>
  <c r="F124" i="4" s="1"/>
  <c r="G20" i="4"/>
  <c r="H20" i="4"/>
  <c r="I20" i="4"/>
  <c r="J20" i="4"/>
  <c r="K20" i="4"/>
  <c r="L20" i="4"/>
  <c r="L72" i="4" s="1"/>
  <c r="L124" i="4" s="1"/>
  <c r="M20" i="4"/>
  <c r="M72" i="4" s="1"/>
  <c r="M124" i="4" s="1"/>
  <c r="N20" i="4"/>
  <c r="N72" i="4" s="1"/>
  <c r="N124" i="4" s="1"/>
  <c r="O20" i="4"/>
  <c r="O72" i="4" s="1"/>
  <c r="O124" i="4" s="1"/>
  <c r="P20" i="4"/>
  <c r="P72" i="4" s="1"/>
  <c r="P124" i="4" s="1"/>
  <c r="Q20" i="4"/>
  <c r="Q72" i="4" s="1"/>
  <c r="Q124" i="4" s="1"/>
  <c r="R20" i="4"/>
  <c r="R72" i="4" s="1"/>
  <c r="R124" i="4" s="1"/>
  <c r="S20" i="4"/>
  <c r="S72" i="4" s="1"/>
  <c r="S124" i="4" s="1"/>
  <c r="D38" i="5"/>
  <c r="E38" i="5"/>
  <c r="C39" i="5"/>
  <c r="F37" i="5"/>
  <c r="C90" i="4"/>
  <c r="E24" i="3"/>
  <c r="F23" i="3"/>
  <c r="U18" i="4"/>
  <c r="U70" i="4" s="1"/>
  <c r="U122" i="4" s="1"/>
  <c r="V3" i="4"/>
  <c r="U19" i="4"/>
  <c r="U71" i="4" s="1"/>
  <c r="U123" i="4" s="1"/>
  <c r="U16" i="4"/>
  <c r="U68" i="4" s="1"/>
  <c r="U120" i="4" s="1"/>
  <c r="U4" i="4"/>
  <c r="U56" i="4" s="1"/>
  <c r="U108" i="4" s="1"/>
  <c r="U6" i="4"/>
  <c r="U58" i="4" s="1"/>
  <c r="U110" i="4" s="1"/>
  <c r="U7" i="4"/>
  <c r="U59" i="4" s="1"/>
  <c r="U111" i="4" s="1"/>
  <c r="U5" i="4"/>
  <c r="U57" i="4" s="1"/>
  <c r="U109" i="4" s="1"/>
  <c r="U21" i="4"/>
  <c r="U73" i="4" s="1"/>
  <c r="U125" i="4" s="1"/>
  <c r="U14" i="4"/>
  <c r="U66" i="4" s="1"/>
  <c r="U118" i="4" s="1"/>
  <c r="U15" i="4"/>
  <c r="U67" i="4" s="1"/>
  <c r="U119" i="4" s="1"/>
  <c r="U13" i="4"/>
  <c r="U65" i="4" s="1"/>
  <c r="U117" i="4" s="1"/>
  <c r="U17" i="4"/>
  <c r="U69" i="4" s="1"/>
  <c r="U121" i="4" s="1"/>
  <c r="U20" i="4"/>
  <c r="U72" i="4" s="1"/>
  <c r="U124" i="4" s="1"/>
  <c r="U10" i="4"/>
  <c r="U62" i="4" s="1"/>
  <c r="U114" i="4" s="1"/>
  <c r="U11" i="4"/>
  <c r="U63" i="4" s="1"/>
  <c r="U115" i="4" s="1"/>
  <c r="U8" i="4"/>
  <c r="U60" i="4" s="1"/>
  <c r="U112" i="4" s="1"/>
  <c r="U12" i="4"/>
  <c r="U64" i="4" s="1"/>
  <c r="U116" i="4" s="1"/>
  <c r="U9" i="4"/>
  <c r="U61" i="4" s="1"/>
  <c r="U113" i="4" s="1"/>
  <c r="U26" i="3"/>
  <c r="V25" i="3"/>
  <c r="AG24" i="3"/>
  <c r="AH23" i="3"/>
  <c r="Q26" i="3"/>
  <c r="R25" i="3"/>
  <c r="AK26" i="3"/>
  <c r="AL26" i="3" s="1"/>
  <c r="B24" i="3"/>
  <c r="A25" i="3"/>
  <c r="B32" i="15"/>
  <c r="B20" i="15"/>
  <c r="B14" i="15"/>
  <c r="B8" i="15"/>
  <c r="B32" i="14"/>
  <c r="B20" i="14"/>
  <c r="B14" i="14"/>
  <c r="B8" i="14"/>
  <c r="D81" i="38" l="1"/>
  <c r="AL4" i="39"/>
  <c r="C22" i="4"/>
  <c r="AB14" i="38"/>
  <c r="M82" i="38" s="1"/>
  <c r="X14" i="38"/>
  <c r="I82" i="38" s="1"/>
  <c r="T14" i="38"/>
  <c r="E82" i="38" s="1"/>
  <c r="W14" i="38"/>
  <c r="H82" i="38" s="1"/>
  <c r="AA14" i="38"/>
  <c r="L82" i="38" s="1"/>
  <c r="V14" i="38"/>
  <c r="G82" i="38" s="1"/>
  <c r="Z14" i="38"/>
  <c r="K82" i="38" s="1"/>
  <c r="U14" i="38"/>
  <c r="F82" i="38" s="1"/>
  <c r="S14" i="38"/>
  <c r="E21" i="4"/>
  <c r="D21" i="4"/>
  <c r="D73" i="4" s="1"/>
  <c r="D125" i="4" s="1"/>
  <c r="F21" i="4"/>
  <c r="G21" i="4"/>
  <c r="H21" i="4"/>
  <c r="I21" i="4"/>
  <c r="I73" i="4" s="1"/>
  <c r="I125" i="4" s="1"/>
  <c r="J21" i="4"/>
  <c r="K21" i="4"/>
  <c r="L21" i="4"/>
  <c r="M21" i="4"/>
  <c r="N21" i="4"/>
  <c r="N73" i="4" s="1"/>
  <c r="N125" i="4" s="1"/>
  <c r="O21" i="4"/>
  <c r="P21" i="4"/>
  <c r="Q21" i="4"/>
  <c r="Q73" i="4" s="1"/>
  <c r="Q125" i="4" s="1"/>
  <c r="R21" i="4"/>
  <c r="S21" i="4"/>
  <c r="T21" i="4"/>
  <c r="E39" i="5"/>
  <c r="L39" i="5" s="1"/>
  <c r="D39" i="5"/>
  <c r="U37" i="5"/>
  <c r="T37" i="5"/>
  <c r="C40" i="5"/>
  <c r="F38" i="5"/>
  <c r="C91" i="4"/>
  <c r="E25" i="3"/>
  <c r="F24" i="3"/>
  <c r="V13" i="4"/>
  <c r="V65" i="4" s="1"/>
  <c r="V117" i="4" s="1"/>
  <c r="V18" i="4"/>
  <c r="V70" i="4" s="1"/>
  <c r="V122" i="4" s="1"/>
  <c r="V19" i="4"/>
  <c r="V71" i="4" s="1"/>
  <c r="V123" i="4" s="1"/>
  <c r="V5" i="4"/>
  <c r="V57" i="4" s="1"/>
  <c r="V109" i="4" s="1"/>
  <c r="V21" i="4"/>
  <c r="V73" i="4" s="1"/>
  <c r="V125" i="4" s="1"/>
  <c r="V10" i="4"/>
  <c r="V62" i="4" s="1"/>
  <c r="V114" i="4" s="1"/>
  <c r="V15" i="4"/>
  <c r="V67" i="4" s="1"/>
  <c r="V119" i="4" s="1"/>
  <c r="V16" i="4"/>
  <c r="V68" i="4" s="1"/>
  <c r="V120" i="4" s="1"/>
  <c r="V20" i="4"/>
  <c r="V72" i="4" s="1"/>
  <c r="V124" i="4" s="1"/>
  <c r="V4" i="4"/>
  <c r="V56" i="4" s="1"/>
  <c r="V108" i="4" s="1"/>
  <c r="V11" i="4"/>
  <c r="V63" i="4" s="1"/>
  <c r="V115" i="4" s="1"/>
  <c r="V17" i="4"/>
  <c r="V69" i="4" s="1"/>
  <c r="V121" i="4" s="1"/>
  <c r="V6" i="4"/>
  <c r="V58" i="4" s="1"/>
  <c r="V110" i="4" s="1"/>
  <c r="V22" i="4"/>
  <c r="V74" i="4" s="1"/>
  <c r="V126" i="4" s="1"/>
  <c r="V7" i="4"/>
  <c r="V59" i="4" s="1"/>
  <c r="V111" i="4" s="1"/>
  <c r="V8" i="4"/>
  <c r="V60" i="4" s="1"/>
  <c r="V112" i="4" s="1"/>
  <c r="V9" i="4"/>
  <c r="V61" i="4" s="1"/>
  <c r="V113" i="4" s="1"/>
  <c r="V14" i="4"/>
  <c r="V66" i="4" s="1"/>
  <c r="V118" i="4" s="1"/>
  <c r="V12" i="4"/>
  <c r="V64" i="4" s="1"/>
  <c r="V116" i="4" s="1"/>
  <c r="W3" i="4"/>
  <c r="U27" i="3"/>
  <c r="V26" i="3"/>
  <c r="AG25" i="3"/>
  <c r="AH24" i="3"/>
  <c r="R26" i="3"/>
  <c r="Q27" i="3"/>
  <c r="AK27" i="3"/>
  <c r="AL27" i="3" s="1"/>
  <c r="A26" i="3"/>
  <c r="B25" i="3"/>
  <c r="B58" i="13"/>
  <c r="B21" i="13"/>
  <c r="B15" i="13"/>
  <c r="B9" i="13"/>
  <c r="B58" i="12"/>
  <c r="B21" i="12"/>
  <c r="B15" i="12"/>
  <c r="B9" i="12"/>
  <c r="D82" i="38" l="1"/>
  <c r="F4" i="39"/>
  <c r="V4" i="39"/>
  <c r="S73" i="4"/>
  <c r="S125" i="4" s="1"/>
  <c r="O73" i="4"/>
  <c r="O125" i="4" s="1"/>
  <c r="F73" i="4"/>
  <c r="F125" i="4" s="1"/>
  <c r="M73" i="4"/>
  <c r="M125" i="4" s="1"/>
  <c r="G73" i="4"/>
  <c r="G125" i="4" s="1"/>
  <c r="R73" i="4"/>
  <c r="R125" i="4" s="1"/>
  <c r="J73" i="4"/>
  <c r="J125" i="4" s="1"/>
  <c r="C23" i="4"/>
  <c r="AA15" i="38"/>
  <c r="L83" i="38" s="1"/>
  <c r="W15" i="38"/>
  <c r="H83" i="38" s="1"/>
  <c r="S15" i="38"/>
  <c r="Y15" i="38"/>
  <c r="J83" i="38" s="1"/>
  <c r="T15" i="38"/>
  <c r="E83" i="38" s="1"/>
  <c r="X15" i="38"/>
  <c r="I83" i="38" s="1"/>
  <c r="AB15" i="38"/>
  <c r="M83" i="38" s="1"/>
  <c r="Z15" i="38"/>
  <c r="K83" i="38" s="1"/>
  <c r="V15" i="38"/>
  <c r="G83" i="38" s="1"/>
  <c r="F22" i="4"/>
  <c r="F74" i="4" s="1"/>
  <c r="F126" i="4" s="1"/>
  <c r="D22" i="4"/>
  <c r="D74" i="4" s="1"/>
  <c r="D126" i="4" s="1"/>
  <c r="E22" i="4"/>
  <c r="G22" i="4"/>
  <c r="H22" i="4"/>
  <c r="H74" i="4" s="1"/>
  <c r="H126" i="4" s="1"/>
  <c r="I22" i="4"/>
  <c r="J22" i="4"/>
  <c r="J74" i="4" s="1"/>
  <c r="J126" i="4" s="1"/>
  <c r="K22" i="4"/>
  <c r="L22" i="4"/>
  <c r="L74" i="4" s="1"/>
  <c r="L126" i="4" s="1"/>
  <c r="M22" i="4"/>
  <c r="M74" i="4" s="1"/>
  <c r="M126" i="4" s="1"/>
  <c r="N22" i="4"/>
  <c r="N74" i="4" s="1"/>
  <c r="N126" i="4" s="1"/>
  <c r="O22" i="4"/>
  <c r="O74" i="4" s="1"/>
  <c r="O126" i="4" s="1"/>
  <c r="P22" i="4"/>
  <c r="Q22" i="4"/>
  <c r="Q74" i="4" s="1"/>
  <c r="Q126" i="4" s="1"/>
  <c r="R22" i="4"/>
  <c r="R74" i="4" s="1"/>
  <c r="R126" i="4" s="1"/>
  <c r="S22" i="4"/>
  <c r="S74" i="4" s="1"/>
  <c r="S126" i="4" s="1"/>
  <c r="T22" i="4"/>
  <c r="T74" i="4" s="1"/>
  <c r="T126" i="4" s="1"/>
  <c r="U22" i="4"/>
  <c r="T73" i="4"/>
  <c r="T125" i="4" s="1"/>
  <c r="P73" i="4"/>
  <c r="P125" i="4" s="1"/>
  <c r="L73" i="4"/>
  <c r="L125" i="4" s="1"/>
  <c r="E73" i="4"/>
  <c r="E125" i="4" s="1"/>
  <c r="E40" i="5"/>
  <c r="L40" i="5" s="1"/>
  <c r="D40" i="5"/>
  <c r="C41" i="5"/>
  <c r="F39" i="5"/>
  <c r="C92" i="4"/>
  <c r="F25" i="3"/>
  <c r="E26" i="3"/>
  <c r="W20" i="4"/>
  <c r="W72" i="4" s="1"/>
  <c r="W124" i="4" s="1"/>
  <c r="W5" i="4"/>
  <c r="W57" i="4" s="1"/>
  <c r="W109" i="4" s="1"/>
  <c r="W21" i="4"/>
  <c r="W73" i="4" s="1"/>
  <c r="W125" i="4" s="1"/>
  <c r="W14" i="4"/>
  <c r="W66" i="4" s="1"/>
  <c r="W118" i="4" s="1"/>
  <c r="W16" i="4"/>
  <c r="W68" i="4" s="1"/>
  <c r="W120" i="4" s="1"/>
  <c r="W17" i="4"/>
  <c r="W69" i="4" s="1"/>
  <c r="W121" i="4" s="1"/>
  <c r="W7" i="4"/>
  <c r="W59" i="4" s="1"/>
  <c r="W111" i="4" s="1"/>
  <c r="W23" i="4"/>
  <c r="W75" i="4" s="1"/>
  <c r="W127" i="4" s="1"/>
  <c r="W12" i="4"/>
  <c r="W64" i="4" s="1"/>
  <c r="W116" i="4" s="1"/>
  <c r="W13" i="4"/>
  <c r="W65" i="4" s="1"/>
  <c r="W117" i="4" s="1"/>
  <c r="W18" i="4"/>
  <c r="W70" i="4" s="1"/>
  <c r="W122" i="4" s="1"/>
  <c r="W6" i="4"/>
  <c r="W58" i="4" s="1"/>
  <c r="W110" i="4" s="1"/>
  <c r="W8" i="4"/>
  <c r="W60" i="4" s="1"/>
  <c r="W112" i="4" s="1"/>
  <c r="W9" i="4"/>
  <c r="W61" i="4" s="1"/>
  <c r="W113" i="4" s="1"/>
  <c r="W19" i="4"/>
  <c r="W71" i="4" s="1"/>
  <c r="W123" i="4" s="1"/>
  <c r="W15" i="4"/>
  <c r="W67" i="4" s="1"/>
  <c r="W119" i="4" s="1"/>
  <c r="X3" i="4"/>
  <c r="W10" i="4"/>
  <c r="W62" i="4" s="1"/>
  <c r="W114" i="4" s="1"/>
  <c r="W22" i="4"/>
  <c r="W74" i="4" s="1"/>
  <c r="W126" i="4" s="1"/>
  <c r="W4" i="4"/>
  <c r="W56" i="4" s="1"/>
  <c r="W108" i="4" s="1"/>
  <c r="W11" i="4"/>
  <c r="W63" i="4" s="1"/>
  <c r="W115" i="4" s="1"/>
  <c r="V27" i="3"/>
  <c r="U28" i="3"/>
  <c r="AH25" i="3"/>
  <c r="AG26" i="3"/>
  <c r="Q28" i="3"/>
  <c r="R27" i="3"/>
  <c r="AK28" i="3"/>
  <c r="AL28" i="3" s="1"/>
  <c r="A27" i="3"/>
  <c r="B26" i="3"/>
  <c r="L25" i="11"/>
  <c r="J25" i="11"/>
  <c r="C29" i="11"/>
  <c r="D29" i="11" s="1"/>
  <c r="L24" i="11"/>
  <c r="J24" i="11"/>
  <c r="C28" i="11"/>
  <c r="D28" i="11" s="1"/>
  <c r="L23" i="11"/>
  <c r="J23" i="11"/>
  <c r="C27" i="11"/>
  <c r="D27" i="11" s="1"/>
  <c r="C25" i="11"/>
  <c r="D25" i="11" s="1"/>
  <c r="C24" i="11"/>
  <c r="D24" i="11" s="1"/>
  <c r="C23" i="11"/>
  <c r="D23" i="11" s="1"/>
  <c r="J20" i="11"/>
  <c r="C20" i="11"/>
  <c r="D20" i="11" s="1"/>
  <c r="J19" i="11"/>
  <c r="C19" i="11"/>
  <c r="D19" i="11" s="1"/>
  <c r="J18" i="11"/>
  <c r="C18" i="11"/>
  <c r="D18" i="11" s="1"/>
  <c r="D83" i="38" l="1"/>
  <c r="G4" i="39"/>
  <c r="AM4" i="39"/>
  <c r="U74" i="4"/>
  <c r="U126" i="4" s="1"/>
  <c r="C24" i="4"/>
  <c r="Z16" i="38"/>
  <c r="K84" i="38" s="1"/>
  <c r="AA16" i="38"/>
  <c r="L84" i="38" s="1"/>
  <c r="Y16" i="38"/>
  <c r="J84" i="38" s="1"/>
  <c r="AB16" i="38"/>
  <c r="M84" i="38" s="1"/>
  <c r="S16" i="38"/>
  <c r="X16" i="38"/>
  <c r="I84" i="38" s="1"/>
  <c r="W16" i="38"/>
  <c r="H84" i="38" s="1"/>
  <c r="E23" i="4"/>
  <c r="D23" i="4"/>
  <c r="F23" i="4"/>
  <c r="G23" i="4"/>
  <c r="H23" i="4"/>
  <c r="I23" i="4"/>
  <c r="I75" i="4" s="1"/>
  <c r="I127" i="4" s="1"/>
  <c r="J23" i="4"/>
  <c r="K23" i="4"/>
  <c r="K75" i="4" s="1"/>
  <c r="K127" i="4" s="1"/>
  <c r="L23" i="4"/>
  <c r="M23" i="4"/>
  <c r="M75" i="4" s="1"/>
  <c r="M127" i="4" s="1"/>
  <c r="N23" i="4"/>
  <c r="O23" i="4"/>
  <c r="O75" i="4" s="1"/>
  <c r="O127" i="4" s="1"/>
  <c r="P23" i="4"/>
  <c r="P75" i="4" s="1"/>
  <c r="P127" i="4" s="1"/>
  <c r="Q23" i="4"/>
  <c r="Q75" i="4" s="1"/>
  <c r="Q127" i="4" s="1"/>
  <c r="R23" i="4"/>
  <c r="R75" i="4" s="1"/>
  <c r="R127" i="4" s="1"/>
  <c r="S23" i="4"/>
  <c r="T23" i="4"/>
  <c r="T75" i="4" s="1"/>
  <c r="T127" i="4" s="1"/>
  <c r="U23" i="4"/>
  <c r="U75" i="4" s="1"/>
  <c r="U127" i="4" s="1"/>
  <c r="V23" i="4"/>
  <c r="E41" i="5"/>
  <c r="L41" i="5" s="1"/>
  <c r="D41" i="5"/>
  <c r="C42" i="5"/>
  <c r="F40" i="5"/>
  <c r="C93" i="4"/>
  <c r="E27" i="3"/>
  <c r="F26" i="3"/>
  <c r="X11" i="4"/>
  <c r="X63" i="4" s="1"/>
  <c r="X115" i="4" s="1"/>
  <c r="X16" i="4"/>
  <c r="X68" i="4" s="1"/>
  <c r="X120" i="4" s="1"/>
  <c r="X22" i="4"/>
  <c r="X74" i="4" s="1"/>
  <c r="X126" i="4" s="1"/>
  <c r="X17" i="4"/>
  <c r="X69" i="4" s="1"/>
  <c r="X121" i="4" s="1"/>
  <c r="Y3" i="4"/>
  <c r="X19" i="4"/>
  <c r="X71" i="4" s="1"/>
  <c r="X123" i="4" s="1"/>
  <c r="X8" i="4"/>
  <c r="X60" i="4" s="1"/>
  <c r="X112" i="4" s="1"/>
  <c r="X6" i="4"/>
  <c r="X58" i="4" s="1"/>
  <c r="X110" i="4" s="1"/>
  <c r="X13" i="4"/>
  <c r="X65" i="4" s="1"/>
  <c r="X117" i="4" s="1"/>
  <c r="X4" i="4"/>
  <c r="X56" i="4" s="1"/>
  <c r="X108" i="4" s="1"/>
  <c r="X10" i="4"/>
  <c r="X62" i="4" s="1"/>
  <c r="X114" i="4" s="1"/>
  <c r="X15" i="4"/>
  <c r="X67" i="4" s="1"/>
  <c r="X119" i="4" s="1"/>
  <c r="X20" i="4"/>
  <c r="X72" i="4" s="1"/>
  <c r="X124" i="4" s="1"/>
  <c r="X5" i="4"/>
  <c r="X57" i="4" s="1"/>
  <c r="X109" i="4" s="1"/>
  <c r="X18" i="4"/>
  <c r="X70" i="4" s="1"/>
  <c r="X122" i="4" s="1"/>
  <c r="X7" i="4"/>
  <c r="X59" i="4" s="1"/>
  <c r="X111" i="4" s="1"/>
  <c r="X23" i="4"/>
  <c r="X75" i="4" s="1"/>
  <c r="X127" i="4" s="1"/>
  <c r="X12" i="4"/>
  <c r="X64" i="4" s="1"/>
  <c r="X116" i="4" s="1"/>
  <c r="X14" i="4"/>
  <c r="X66" i="4" s="1"/>
  <c r="X118" i="4" s="1"/>
  <c r="X21" i="4"/>
  <c r="X73" i="4" s="1"/>
  <c r="X125" i="4" s="1"/>
  <c r="X9" i="4"/>
  <c r="X61" i="4" s="1"/>
  <c r="X113" i="4" s="1"/>
  <c r="V28" i="3"/>
  <c r="U29" i="3"/>
  <c r="AH26" i="3"/>
  <c r="AG27" i="3"/>
  <c r="Q29" i="3"/>
  <c r="R28" i="3"/>
  <c r="AK29" i="3"/>
  <c r="AL29" i="3" s="1"/>
  <c r="A28" i="3"/>
  <c r="B27" i="3"/>
  <c r="B2" i="7"/>
  <c r="E4" i="11" s="1"/>
  <c r="B2" i="2"/>
  <c r="U13" i="6"/>
  <c r="U14" i="6" s="1"/>
  <c r="F8" i="6"/>
  <c r="K6" i="6" s="1"/>
  <c r="E8" i="6"/>
  <c r="D8" i="6"/>
  <c r="F7" i="6"/>
  <c r="F6" i="6"/>
  <c r="D84" i="38" l="1"/>
  <c r="W4" i="39"/>
  <c r="S75" i="4"/>
  <c r="S127" i="4" s="1"/>
  <c r="V75" i="4"/>
  <c r="V127" i="4" s="1"/>
  <c r="C25" i="4"/>
  <c r="Y17" i="38"/>
  <c r="J85" i="38" s="1"/>
  <c r="U17" i="38"/>
  <c r="F85" i="38" s="1"/>
  <c r="AB17" i="38"/>
  <c r="M85" i="38" s="1"/>
  <c r="W17" i="38"/>
  <c r="H85" i="38" s="1"/>
  <c r="AA17" i="38"/>
  <c r="L85" i="38" s="1"/>
  <c r="V17" i="38"/>
  <c r="G85" i="38" s="1"/>
  <c r="X17" i="38"/>
  <c r="I85" i="38" s="1"/>
  <c r="T17" i="38"/>
  <c r="E85" i="38" s="1"/>
  <c r="S17" i="38"/>
  <c r="E24" i="4"/>
  <c r="E76" i="4" s="1"/>
  <c r="E128" i="4" s="1"/>
  <c r="D24" i="4"/>
  <c r="D76" i="4" s="1"/>
  <c r="D128" i="4" s="1"/>
  <c r="G24" i="4"/>
  <c r="F24" i="4"/>
  <c r="H24" i="4"/>
  <c r="I24" i="4"/>
  <c r="J24" i="4"/>
  <c r="K24" i="4"/>
  <c r="L24" i="4"/>
  <c r="M24" i="4"/>
  <c r="N24" i="4"/>
  <c r="N76" i="4" s="1"/>
  <c r="N128" i="4" s="1"/>
  <c r="O24" i="4"/>
  <c r="O76" i="4" s="1"/>
  <c r="O128" i="4" s="1"/>
  <c r="P24" i="4"/>
  <c r="P76" i="4" s="1"/>
  <c r="P128" i="4" s="1"/>
  <c r="Q24" i="4"/>
  <c r="R24" i="4"/>
  <c r="R76" i="4" s="1"/>
  <c r="R128" i="4" s="1"/>
  <c r="S24" i="4"/>
  <c r="S76" i="4" s="1"/>
  <c r="S128" i="4" s="1"/>
  <c r="T24" i="4"/>
  <c r="T76" i="4" s="1"/>
  <c r="T128" i="4" s="1"/>
  <c r="U24" i="4"/>
  <c r="U76" i="4" s="1"/>
  <c r="U128" i="4" s="1"/>
  <c r="V24" i="4"/>
  <c r="W24" i="4"/>
  <c r="D75" i="4"/>
  <c r="D127" i="4" s="1"/>
  <c r="J75" i="4"/>
  <c r="J127" i="4" s="1"/>
  <c r="X24" i="4"/>
  <c r="X76" i="4" s="1"/>
  <c r="X128" i="4" s="1"/>
  <c r="L75" i="4"/>
  <c r="L127" i="4" s="1"/>
  <c r="E75" i="4"/>
  <c r="E127" i="4" s="1"/>
  <c r="K7" i="6"/>
  <c r="K8" i="6" s="1"/>
  <c r="E42" i="5"/>
  <c r="L42" i="5" s="1"/>
  <c r="D42" i="5"/>
  <c r="F41" i="5"/>
  <c r="C43" i="5"/>
  <c r="C94" i="4"/>
  <c r="F27" i="3"/>
  <c r="E28" i="3"/>
  <c r="Y10" i="4"/>
  <c r="Y62" i="4" s="1"/>
  <c r="Y114" i="4" s="1"/>
  <c r="Y11" i="4"/>
  <c r="Y63" i="4" s="1"/>
  <c r="Y115" i="4" s="1"/>
  <c r="Y12" i="4"/>
  <c r="Y64" i="4" s="1"/>
  <c r="Y116" i="4" s="1"/>
  <c r="Y4" i="4"/>
  <c r="Y56" i="4" s="1"/>
  <c r="Y108" i="4" s="1"/>
  <c r="Y16" i="4"/>
  <c r="Y68" i="4" s="1"/>
  <c r="Y120" i="4" s="1"/>
  <c r="Y21" i="4"/>
  <c r="Y73" i="4" s="1"/>
  <c r="Y125" i="4" s="1"/>
  <c r="Y24" i="4"/>
  <c r="Y76" i="4" s="1"/>
  <c r="Y128" i="4" s="1"/>
  <c r="Y6" i="4"/>
  <c r="Y58" i="4" s="1"/>
  <c r="Y110" i="4" s="1"/>
  <c r="Y22" i="4"/>
  <c r="Y74" i="4" s="1"/>
  <c r="Y126" i="4" s="1"/>
  <c r="Y7" i="4"/>
  <c r="Y59" i="4" s="1"/>
  <c r="Y111" i="4" s="1"/>
  <c r="Y23" i="4"/>
  <c r="Y75" i="4" s="1"/>
  <c r="Y127" i="4" s="1"/>
  <c r="Y9" i="4"/>
  <c r="Y61" i="4" s="1"/>
  <c r="Y113" i="4" s="1"/>
  <c r="Y18" i="4"/>
  <c r="Y70" i="4" s="1"/>
  <c r="Y122" i="4" s="1"/>
  <c r="Z3" i="4"/>
  <c r="Y19" i="4"/>
  <c r="Y71" i="4" s="1"/>
  <c r="Y123" i="4" s="1"/>
  <c r="Y20" i="4"/>
  <c r="Y72" i="4" s="1"/>
  <c r="Y124" i="4" s="1"/>
  <c r="Y5" i="4"/>
  <c r="Y57" i="4" s="1"/>
  <c r="Y109" i="4" s="1"/>
  <c r="Y13" i="4"/>
  <c r="Y65" i="4" s="1"/>
  <c r="Y117" i="4" s="1"/>
  <c r="Y14" i="4"/>
  <c r="Y66" i="4" s="1"/>
  <c r="Y118" i="4" s="1"/>
  <c r="Y15" i="4"/>
  <c r="Y67" i="4" s="1"/>
  <c r="Y119" i="4" s="1"/>
  <c r="Y17" i="4"/>
  <c r="Y69" i="4" s="1"/>
  <c r="Y121" i="4" s="1"/>
  <c r="Y8" i="4"/>
  <c r="Y60" i="4" s="1"/>
  <c r="Y112" i="4" s="1"/>
  <c r="V29" i="3"/>
  <c r="U30" i="3"/>
  <c r="AH27" i="3"/>
  <c r="AG28" i="3"/>
  <c r="R29" i="3"/>
  <c r="Q30" i="3"/>
  <c r="AK30" i="3"/>
  <c r="AL30" i="3" s="1"/>
  <c r="B28" i="3"/>
  <c r="A29" i="3"/>
  <c r="B32" i="13"/>
  <c r="B33" i="12"/>
  <c r="B32" i="12"/>
  <c r="B39" i="13"/>
  <c r="B39" i="12"/>
  <c r="B45" i="13"/>
  <c r="B45" i="12"/>
  <c r="B33" i="13"/>
  <c r="E58" i="12"/>
  <c r="E58" i="13"/>
  <c r="L7" i="6"/>
  <c r="L6" i="6"/>
  <c r="U11" i="6"/>
  <c r="D85" i="38" l="1"/>
  <c r="C26" i="4"/>
  <c r="AB18" i="38"/>
  <c r="M86" i="38" s="1"/>
  <c r="X18" i="38"/>
  <c r="I86" i="38" s="1"/>
  <c r="T18" i="38"/>
  <c r="E86" i="38" s="1"/>
  <c r="S18" i="38"/>
  <c r="Z18" i="38"/>
  <c r="K86" i="38" s="1"/>
  <c r="V18" i="38"/>
  <c r="G86" i="38" s="1"/>
  <c r="AA18" i="38"/>
  <c r="L86" i="38" s="1"/>
  <c r="D25" i="4"/>
  <c r="E25" i="4"/>
  <c r="G25" i="4"/>
  <c r="F25" i="4"/>
  <c r="F77" i="4" s="1"/>
  <c r="F129" i="4" s="1"/>
  <c r="H25" i="4"/>
  <c r="H77" i="4" s="1"/>
  <c r="H129" i="4" s="1"/>
  <c r="I25" i="4"/>
  <c r="J25" i="4"/>
  <c r="K25" i="4"/>
  <c r="L25" i="4"/>
  <c r="M25" i="4"/>
  <c r="M77" i="4" s="1"/>
  <c r="M129" i="4" s="1"/>
  <c r="N25" i="4"/>
  <c r="O25" i="4"/>
  <c r="O77" i="4" s="1"/>
  <c r="O129" i="4" s="1"/>
  <c r="P25" i="4"/>
  <c r="Q25" i="4"/>
  <c r="Q77" i="4" s="1"/>
  <c r="Q129" i="4" s="1"/>
  <c r="R25" i="4"/>
  <c r="S25" i="4"/>
  <c r="S77" i="4" s="1"/>
  <c r="S129" i="4" s="1"/>
  <c r="T25" i="4"/>
  <c r="U25" i="4"/>
  <c r="V25" i="4"/>
  <c r="V77" i="4" s="1"/>
  <c r="V129" i="4" s="1"/>
  <c r="W25" i="4"/>
  <c r="W77" i="4" s="1"/>
  <c r="W129" i="4" s="1"/>
  <c r="X25" i="4"/>
  <c r="X77" i="4" s="1"/>
  <c r="X129" i="4" s="1"/>
  <c r="Q76" i="4"/>
  <c r="Q128" i="4" s="1"/>
  <c r="M76" i="4"/>
  <c r="M128" i="4" s="1"/>
  <c r="W76" i="4"/>
  <c r="W128" i="4" s="1"/>
  <c r="Y25" i="4"/>
  <c r="Y77" i="4" s="1"/>
  <c r="Y129" i="4" s="1"/>
  <c r="M7" i="6"/>
  <c r="AA7" i="6" s="1"/>
  <c r="AH7" i="6" s="1"/>
  <c r="L8" i="6"/>
  <c r="E43" i="5"/>
  <c r="L43" i="5" s="1"/>
  <c r="D43" i="5"/>
  <c r="C44" i="5"/>
  <c r="F42" i="5"/>
  <c r="C95" i="4"/>
  <c r="F28" i="3"/>
  <c r="E29" i="3"/>
  <c r="Z13" i="4"/>
  <c r="Z65" i="4" s="1"/>
  <c r="Z117" i="4" s="1"/>
  <c r="Z18" i="4"/>
  <c r="Z70" i="4" s="1"/>
  <c r="Z122" i="4" s="1"/>
  <c r="Z16" i="4"/>
  <c r="Z68" i="4" s="1"/>
  <c r="Z120" i="4" s="1"/>
  <c r="Z24" i="4"/>
  <c r="Z76" i="4" s="1"/>
  <c r="Z128" i="4" s="1"/>
  <c r="Z15" i="4"/>
  <c r="Z67" i="4" s="1"/>
  <c r="Z119" i="4" s="1"/>
  <c r="Z5" i="4"/>
  <c r="Z57" i="4" s="1"/>
  <c r="Z109" i="4" s="1"/>
  <c r="Z21" i="4"/>
  <c r="Z73" i="4" s="1"/>
  <c r="Z125" i="4" s="1"/>
  <c r="Z10" i="4"/>
  <c r="Z62" i="4" s="1"/>
  <c r="Z114" i="4" s="1"/>
  <c r="Z26" i="4"/>
  <c r="Z78" i="4" s="1"/>
  <c r="Z130" i="4" s="1"/>
  <c r="Z12" i="4"/>
  <c r="Z64" i="4" s="1"/>
  <c r="Z116" i="4" s="1"/>
  <c r="Z17" i="4"/>
  <c r="Z69" i="4" s="1"/>
  <c r="Z121" i="4" s="1"/>
  <c r="Z6" i="4"/>
  <c r="Z58" i="4" s="1"/>
  <c r="Z110" i="4" s="1"/>
  <c r="Z22" i="4"/>
  <c r="Z74" i="4" s="1"/>
  <c r="Z126" i="4" s="1"/>
  <c r="AA3" i="4"/>
  <c r="Z23" i="4"/>
  <c r="Z75" i="4" s="1"/>
  <c r="Z127" i="4" s="1"/>
  <c r="Z9" i="4"/>
  <c r="Z61" i="4" s="1"/>
  <c r="Z113" i="4" s="1"/>
  <c r="Z25" i="4"/>
  <c r="Z77" i="4" s="1"/>
  <c r="Z129" i="4" s="1"/>
  <c r="Z14" i="4"/>
  <c r="Z66" i="4" s="1"/>
  <c r="Z118" i="4" s="1"/>
  <c r="Z19" i="4"/>
  <c r="Z71" i="4" s="1"/>
  <c r="Z123" i="4" s="1"/>
  <c r="Z20" i="4"/>
  <c r="Z72" i="4" s="1"/>
  <c r="Z124" i="4" s="1"/>
  <c r="Z8" i="4"/>
  <c r="Z60" i="4" s="1"/>
  <c r="Z112" i="4" s="1"/>
  <c r="Z7" i="4"/>
  <c r="Z59" i="4" s="1"/>
  <c r="Z111" i="4" s="1"/>
  <c r="Z4" i="4"/>
  <c r="Z56" i="4" s="1"/>
  <c r="Z108" i="4" s="1"/>
  <c r="Z11" i="4"/>
  <c r="Z63" i="4" s="1"/>
  <c r="Z115" i="4" s="1"/>
  <c r="V30" i="3"/>
  <c r="U31" i="3"/>
  <c r="AH28" i="3"/>
  <c r="AG29" i="3"/>
  <c r="R30" i="3"/>
  <c r="Q31" i="3"/>
  <c r="R31" i="3" s="1"/>
  <c r="AK31" i="3"/>
  <c r="AL31" i="3" s="1"/>
  <c r="A30" i="3"/>
  <c r="B29" i="3"/>
  <c r="M8" i="6"/>
  <c r="M6" i="6"/>
  <c r="AA6" i="6" s="1"/>
  <c r="D86" i="38" l="1"/>
  <c r="T77" i="4"/>
  <c r="T129" i="4" s="1"/>
  <c r="L77" i="4"/>
  <c r="L129" i="4" s="1"/>
  <c r="D77" i="4"/>
  <c r="D129" i="4" s="1"/>
  <c r="R77" i="4"/>
  <c r="R129" i="4" s="1"/>
  <c r="C27" i="4"/>
  <c r="D26" i="4"/>
  <c r="D78" i="4" s="1"/>
  <c r="D130" i="4" s="1"/>
  <c r="E26" i="4"/>
  <c r="F26" i="4"/>
  <c r="G26" i="4"/>
  <c r="G78" i="4" s="1"/>
  <c r="G130" i="4" s="1"/>
  <c r="H26" i="4"/>
  <c r="I26" i="4"/>
  <c r="I78" i="4" s="1"/>
  <c r="I130" i="4" s="1"/>
  <c r="J26" i="4"/>
  <c r="K26" i="4"/>
  <c r="L26" i="4"/>
  <c r="M26" i="4"/>
  <c r="N26" i="4"/>
  <c r="O26" i="4"/>
  <c r="O78" i="4" s="1"/>
  <c r="O130" i="4" s="1"/>
  <c r="P26" i="4"/>
  <c r="P78" i="4" s="1"/>
  <c r="P130" i="4" s="1"/>
  <c r="Q26" i="4"/>
  <c r="R26" i="4"/>
  <c r="R78" i="4" s="1"/>
  <c r="R130" i="4" s="1"/>
  <c r="S26" i="4"/>
  <c r="T26" i="4"/>
  <c r="T78" i="4" s="1"/>
  <c r="T130" i="4" s="1"/>
  <c r="U26" i="4"/>
  <c r="U78" i="4" s="1"/>
  <c r="U130" i="4" s="1"/>
  <c r="V26" i="4"/>
  <c r="V78" i="4" s="1"/>
  <c r="V130" i="4" s="1"/>
  <c r="W26" i="4"/>
  <c r="W78" i="4" s="1"/>
  <c r="W130" i="4" s="1"/>
  <c r="X26" i="4"/>
  <c r="X78" i="4" s="1"/>
  <c r="X130" i="4" s="1"/>
  <c r="Y26" i="4"/>
  <c r="Y78" i="4" s="1"/>
  <c r="Y130" i="4" s="1"/>
  <c r="P77" i="4"/>
  <c r="P129" i="4" s="1"/>
  <c r="U77" i="4"/>
  <c r="U129" i="4" s="1"/>
  <c r="E77" i="4"/>
  <c r="E129" i="4" s="1"/>
  <c r="Q29" i="19" a="1"/>
  <c r="Q29" i="19" s="1"/>
  <c r="Q77" i="19" s="1"/>
  <c r="R11" i="19" a="1"/>
  <c r="R11" i="19" s="1"/>
  <c r="Q21" i="19" a="1"/>
  <c r="Q21" i="19" s="1"/>
  <c r="Q17" i="19" a="1"/>
  <c r="Q17" i="19" s="1"/>
  <c r="Q7" i="19" a="1"/>
  <c r="Q7" i="19" s="1"/>
  <c r="R14" i="19" a="1"/>
  <c r="R14" i="19" s="1"/>
  <c r="R19" i="19" a="1"/>
  <c r="R19" i="19" s="1"/>
  <c r="Q30" i="19" a="1"/>
  <c r="Q30" i="19" s="1"/>
  <c r="Q24" i="19" a="1"/>
  <c r="Q24" i="19" s="1"/>
  <c r="Q18" i="19" a="1"/>
  <c r="Q18" i="19" s="1"/>
  <c r="R28" i="19" a="1"/>
  <c r="R28" i="19" s="1"/>
  <c r="R27" i="19" a="1"/>
  <c r="R27" i="19" s="1"/>
  <c r="Q25" i="19" a="1"/>
  <c r="Q25" i="19" s="1"/>
  <c r="R25" i="19" a="1"/>
  <c r="R25" i="19" s="1"/>
  <c r="Q10" i="19" a="1"/>
  <c r="Q10" i="19" s="1"/>
  <c r="R9" i="19" a="1"/>
  <c r="R9" i="19" s="1"/>
  <c r="R16" i="19" a="1"/>
  <c r="R16" i="19" s="1"/>
  <c r="R13" i="19" a="1"/>
  <c r="R13" i="19" s="1"/>
  <c r="Q13" i="19" a="1"/>
  <c r="Q13" i="19" s="1"/>
  <c r="Q22" i="19" a="1"/>
  <c r="Q22" i="19" s="1"/>
  <c r="R23" i="19" a="1"/>
  <c r="R23" i="19" s="1"/>
  <c r="R12" i="19" a="1"/>
  <c r="R12" i="19" s="1"/>
  <c r="R10" i="19" a="1"/>
  <c r="R10" i="19" s="1"/>
  <c r="R18" i="19" a="1"/>
  <c r="R18" i="19" s="1"/>
  <c r="Q27" i="19" a="1"/>
  <c r="Q27" i="19" s="1"/>
  <c r="Q16" i="19" a="1"/>
  <c r="Q16" i="19" s="1"/>
  <c r="Q12" i="19" a="1"/>
  <c r="Q12" i="19" s="1"/>
  <c r="Q28" i="19" a="1"/>
  <c r="Q28" i="19" s="1"/>
  <c r="R17" i="19" a="1"/>
  <c r="R17" i="19" s="1"/>
  <c r="R26" i="19" a="1"/>
  <c r="R26" i="19" s="1"/>
  <c r="R30" i="19" a="1"/>
  <c r="R30" i="19" s="1"/>
  <c r="Q8" i="19" a="1"/>
  <c r="Q8" i="19" s="1"/>
  <c r="R21" i="19" a="1"/>
  <c r="R21" i="19" s="1"/>
  <c r="R24" i="19" a="1"/>
  <c r="R24" i="19" s="1"/>
  <c r="Q26" i="19" a="1"/>
  <c r="Q26" i="19" s="1"/>
  <c r="R22" i="19" a="1"/>
  <c r="R22" i="19" s="1"/>
  <c r="R8" i="19" a="1"/>
  <c r="R8" i="19" s="1"/>
  <c r="Q14" i="19" a="1"/>
  <c r="Q14" i="19" s="1"/>
  <c r="R7" i="19" a="1"/>
  <c r="R7" i="19" s="1"/>
  <c r="R15" i="19" a="1"/>
  <c r="R15" i="19" s="1"/>
  <c r="Q11" i="19" a="1"/>
  <c r="Q11" i="19" s="1"/>
  <c r="R29" i="19" a="1"/>
  <c r="R29" i="19" s="1"/>
  <c r="Q19" i="19" a="1"/>
  <c r="Q19" i="19" s="1"/>
  <c r="Q31" i="19" a="1"/>
  <c r="Q31" i="19" s="1"/>
  <c r="Q15" i="19" a="1"/>
  <c r="Q15" i="19" s="1"/>
  <c r="Q23" i="19" a="1"/>
  <c r="Q23" i="19" s="1"/>
  <c r="R31" i="19" a="1"/>
  <c r="R31" i="19" s="1"/>
  <c r="Q20" i="19" a="1"/>
  <c r="Q20" i="19" s="1"/>
  <c r="Q9" i="19" a="1"/>
  <c r="Q9" i="19" s="1"/>
  <c r="R20" i="19" a="1"/>
  <c r="R20" i="19" s="1"/>
  <c r="AB7" i="6"/>
  <c r="AI7" i="6" s="1"/>
  <c r="D44" i="5"/>
  <c r="E44" i="5"/>
  <c r="L44" i="5" s="1"/>
  <c r="C45" i="5"/>
  <c r="F43" i="5"/>
  <c r="C96" i="4"/>
  <c r="F29" i="3"/>
  <c r="E30" i="3"/>
  <c r="AA6" i="4"/>
  <c r="AA58" i="4" s="1"/>
  <c r="AA110" i="4" s="1"/>
  <c r="AA9" i="4"/>
  <c r="AA61" i="4" s="1"/>
  <c r="AA113" i="4" s="1"/>
  <c r="AB3" i="4"/>
  <c r="AA26" i="4"/>
  <c r="AA78" i="4" s="1"/>
  <c r="AA130" i="4" s="1"/>
  <c r="AA5" i="4"/>
  <c r="AA57" i="4" s="1"/>
  <c r="AA109" i="4" s="1"/>
  <c r="AA14" i="4"/>
  <c r="AA66" i="4" s="1"/>
  <c r="AA118" i="4" s="1"/>
  <c r="AA16" i="4"/>
  <c r="AA68" i="4" s="1"/>
  <c r="AA120" i="4" s="1"/>
  <c r="AA17" i="4"/>
  <c r="AA69" i="4" s="1"/>
  <c r="AA121" i="4" s="1"/>
  <c r="AA18" i="4"/>
  <c r="AA70" i="4" s="1"/>
  <c r="AA122" i="4" s="1"/>
  <c r="AA11" i="4"/>
  <c r="AA63" i="4" s="1"/>
  <c r="AA115" i="4" s="1"/>
  <c r="AA27" i="4"/>
  <c r="AA79" i="4" s="1"/>
  <c r="AA131" i="4" s="1"/>
  <c r="AA10" i="4"/>
  <c r="AA62" i="4" s="1"/>
  <c r="AA114" i="4" s="1"/>
  <c r="AA12" i="4"/>
  <c r="AA64" i="4" s="1"/>
  <c r="AA116" i="4" s="1"/>
  <c r="AA13" i="4"/>
  <c r="AA65" i="4" s="1"/>
  <c r="AA117" i="4" s="1"/>
  <c r="AA15" i="4"/>
  <c r="AA67" i="4" s="1"/>
  <c r="AA119" i="4" s="1"/>
  <c r="AA22" i="4"/>
  <c r="AA74" i="4" s="1"/>
  <c r="AA126" i="4" s="1"/>
  <c r="AA7" i="4"/>
  <c r="AA59" i="4" s="1"/>
  <c r="AA111" i="4" s="1"/>
  <c r="AA8" i="4"/>
  <c r="AA60" i="4" s="1"/>
  <c r="AA112" i="4" s="1"/>
  <c r="AA24" i="4"/>
  <c r="AA76" i="4" s="1"/>
  <c r="AA128" i="4" s="1"/>
  <c r="AA25" i="4"/>
  <c r="AA77" i="4" s="1"/>
  <c r="AA129" i="4" s="1"/>
  <c r="AA19" i="4"/>
  <c r="AA71" i="4" s="1"/>
  <c r="AA123" i="4" s="1"/>
  <c r="AA4" i="4"/>
  <c r="AA56" i="4" s="1"/>
  <c r="AA108" i="4" s="1"/>
  <c r="AA20" i="4"/>
  <c r="AA72" i="4" s="1"/>
  <c r="AA124" i="4" s="1"/>
  <c r="AA21" i="4"/>
  <c r="AA73" i="4" s="1"/>
  <c r="AA125" i="4" s="1"/>
  <c r="AA23" i="4"/>
  <c r="AA75" i="4" s="1"/>
  <c r="AA127" i="4" s="1"/>
  <c r="V31" i="3"/>
  <c r="U32" i="3"/>
  <c r="AG30" i="3"/>
  <c r="AH29" i="3"/>
  <c r="R4" i="3"/>
  <c r="AK32" i="3"/>
  <c r="AL32" i="3" s="1"/>
  <c r="B30" i="3"/>
  <c r="A31" i="3"/>
  <c r="AB6" i="6"/>
  <c r="AC6" i="6" s="1"/>
  <c r="AA8" i="6"/>
  <c r="AH6" i="6"/>
  <c r="T7" i="6"/>
  <c r="Q78" i="4" l="1"/>
  <c r="Q130" i="4" s="1"/>
  <c r="M78" i="4"/>
  <c r="M130" i="4" s="1"/>
  <c r="S78" i="4"/>
  <c r="S130" i="4" s="1"/>
  <c r="C28" i="4"/>
  <c r="Z19" i="38"/>
  <c r="K87" i="38" s="1"/>
  <c r="V19" i="38"/>
  <c r="G87" i="38" s="1"/>
  <c r="AB19" i="38"/>
  <c r="M87" i="38" s="1"/>
  <c r="AA19" i="38"/>
  <c r="L87" i="38" s="1"/>
  <c r="X19" i="38"/>
  <c r="I87" i="38" s="1"/>
  <c r="S19" i="38"/>
  <c r="T19" i="38"/>
  <c r="E87" i="38" s="1"/>
  <c r="D27" i="4"/>
  <c r="D79" i="4" s="1"/>
  <c r="D131" i="4" s="1"/>
  <c r="E27" i="4"/>
  <c r="G27" i="4"/>
  <c r="F27" i="4"/>
  <c r="H27" i="4"/>
  <c r="I27" i="4"/>
  <c r="J27" i="4"/>
  <c r="K27" i="4"/>
  <c r="L27" i="4"/>
  <c r="M27" i="4"/>
  <c r="M79" i="4" s="1"/>
  <c r="M131" i="4" s="1"/>
  <c r="N27" i="4"/>
  <c r="N79" i="4" s="1"/>
  <c r="N131" i="4" s="1"/>
  <c r="O27" i="4"/>
  <c r="O79" i="4" s="1"/>
  <c r="O131" i="4" s="1"/>
  <c r="P27" i="4"/>
  <c r="P79" i="4" s="1"/>
  <c r="P131" i="4" s="1"/>
  <c r="Q27" i="4"/>
  <c r="Q79" i="4" s="1"/>
  <c r="Q131" i="4" s="1"/>
  <c r="R27" i="4"/>
  <c r="R79" i="4" s="1"/>
  <c r="R131" i="4" s="1"/>
  <c r="S27" i="4"/>
  <c r="S79" i="4" s="1"/>
  <c r="S131" i="4" s="1"/>
  <c r="T27" i="4"/>
  <c r="T79" i="4" s="1"/>
  <c r="T131" i="4" s="1"/>
  <c r="U27" i="4"/>
  <c r="U79" i="4" s="1"/>
  <c r="U131" i="4" s="1"/>
  <c r="V27" i="4"/>
  <c r="W27" i="4"/>
  <c r="X27" i="4"/>
  <c r="X79" i="4" s="1"/>
  <c r="X131" i="4" s="1"/>
  <c r="Y27" i="4"/>
  <c r="Y79" i="4" s="1"/>
  <c r="Y131" i="4" s="1"/>
  <c r="Z27" i="4"/>
  <c r="Q76" i="19"/>
  <c r="Q36" i="19"/>
  <c r="Q37" i="19"/>
  <c r="Q48" i="19"/>
  <c r="Q49" i="19"/>
  <c r="R4" i="19"/>
  <c r="S26" i="19" s="1"/>
  <c r="Q38" i="19"/>
  <c r="Q39" i="19"/>
  <c r="Q68" i="19"/>
  <c r="Q69" i="19"/>
  <c r="Q78" i="19"/>
  <c r="Q79" i="19"/>
  <c r="Q60" i="19"/>
  <c r="Q61" i="19"/>
  <c r="Q64" i="19"/>
  <c r="Q65" i="19"/>
  <c r="Q74" i="19"/>
  <c r="Q75" i="19"/>
  <c r="Q50" i="19"/>
  <c r="Q51" i="19"/>
  <c r="Q44" i="19"/>
  <c r="Q45" i="19"/>
  <c r="Q66" i="19"/>
  <c r="Q67" i="19"/>
  <c r="Q58" i="19"/>
  <c r="Q59" i="19"/>
  <c r="Q70" i="19"/>
  <c r="Q71" i="19"/>
  <c r="Q72" i="19"/>
  <c r="Q73" i="19"/>
  <c r="Q52" i="19"/>
  <c r="Q53" i="19"/>
  <c r="Q80" i="19"/>
  <c r="Q81" i="19"/>
  <c r="Q56" i="19"/>
  <c r="Q57" i="19"/>
  <c r="Q40" i="19"/>
  <c r="Q41" i="19"/>
  <c r="Q46" i="19"/>
  <c r="Q47" i="19"/>
  <c r="Q35" i="19"/>
  <c r="Q34" i="19"/>
  <c r="Q42" i="19"/>
  <c r="Q43" i="19"/>
  <c r="Q62" i="19"/>
  <c r="Q63" i="19"/>
  <c r="Q54" i="19"/>
  <c r="Q55" i="19"/>
  <c r="Q32" i="19"/>
  <c r="Q33" i="19"/>
  <c r="B31" i="3"/>
  <c r="B31" i="19" s="1" a="1"/>
  <c r="B31" i="19" s="1"/>
  <c r="AC7" i="6"/>
  <c r="U7" i="6"/>
  <c r="AJ7" i="6"/>
  <c r="E45" i="5"/>
  <c r="L45" i="5" s="1"/>
  <c r="D45" i="5"/>
  <c r="C46" i="5"/>
  <c r="F44" i="5"/>
  <c r="C97" i="4"/>
  <c r="F30" i="3"/>
  <c r="E31" i="3"/>
  <c r="AB11" i="4"/>
  <c r="AB27" i="4"/>
  <c r="AB16" i="4"/>
  <c r="AB26" i="4"/>
  <c r="AB13" i="4"/>
  <c r="AB25" i="4"/>
  <c r="AB14" i="4"/>
  <c r="AB6" i="4"/>
  <c r="AB22" i="4"/>
  <c r="AB19" i="4"/>
  <c r="AB8" i="4"/>
  <c r="AB24" i="4"/>
  <c r="AB10" i="4"/>
  <c r="AB9" i="4"/>
  <c r="AB5" i="4"/>
  <c r="AB15" i="4"/>
  <c r="AB20" i="4"/>
  <c r="AB4" i="4"/>
  <c r="AB56" i="4" s="1"/>
  <c r="AB108" i="4" s="1"/>
  <c r="AB7" i="4"/>
  <c r="AB23" i="4"/>
  <c r="AB12" i="4"/>
  <c r="AB28" i="4"/>
  <c r="AB18" i="4"/>
  <c r="AB17" i="4"/>
  <c r="AB21" i="4"/>
  <c r="V32" i="3"/>
  <c r="U33" i="3"/>
  <c r="AH30" i="3"/>
  <c r="AG31" i="3"/>
  <c r="AH31" i="3" s="1"/>
  <c r="K6" i="2"/>
  <c r="K11" i="2"/>
  <c r="S31" i="3"/>
  <c r="AK33" i="3"/>
  <c r="AL33" i="3" s="1"/>
  <c r="AI6" i="6"/>
  <c r="AI8" i="6" s="1"/>
  <c r="AC8" i="6"/>
  <c r="AB8" i="6"/>
  <c r="T6" i="6"/>
  <c r="AH8" i="6"/>
  <c r="D87" i="38" l="1"/>
  <c r="E79" i="4"/>
  <c r="E131" i="4" s="1"/>
  <c r="W79" i="4"/>
  <c r="W131" i="4" s="1"/>
  <c r="L79" i="4"/>
  <c r="L131" i="4" s="1"/>
  <c r="Z79" i="4"/>
  <c r="Z131" i="4" s="1"/>
  <c r="V79" i="4"/>
  <c r="V131" i="4" s="1"/>
  <c r="C29" i="4"/>
  <c r="D28" i="4"/>
  <c r="D80" i="4" s="1"/>
  <c r="D132" i="4" s="1"/>
  <c r="E28" i="4"/>
  <c r="E80" i="4" s="1"/>
  <c r="E132" i="4" s="1"/>
  <c r="F28" i="4"/>
  <c r="G28" i="4"/>
  <c r="H28" i="4"/>
  <c r="I28" i="4"/>
  <c r="I80" i="4" s="1"/>
  <c r="I132" i="4" s="1"/>
  <c r="J28" i="4"/>
  <c r="K28" i="4"/>
  <c r="K80" i="4" s="1"/>
  <c r="K132" i="4" s="1"/>
  <c r="L28" i="4"/>
  <c r="M28" i="4"/>
  <c r="M80" i="4" s="1"/>
  <c r="M132" i="4" s="1"/>
  <c r="N28" i="4"/>
  <c r="N80" i="4" s="1"/>
  <c r="N132" i="4" s="1"/>
  <c r="O28" i="4"/>
  <c r="O80" i="4" s="1"/>
  <c r="O132" i="4" s="1"/>
  <c r="P28" i="4"/>
  <c r="P80" i="4" s="1"/>
  <c r="P132" i="4" s="1"/>
  <c r="Q28" i="4"/>
  <c r="Q80" i="4" s="1"/>
  <c r="Q132" i="4" s="1"/>
  <c r="R28" i="4"/>
  <c r="R80" i="4" s="1"/>
  <c r="R132" i="4" s="1"/>
  <c r="S28" i="4"/>
  <c r="S80" i="4" s="1"/>
  <c r="S132" i="4" s="1"/>
  <c r="T28" i="4"/>
  <c r="T80" i="4" s="1"/>
  <c r="T132" i="4" s="1"/>
  <c r="U28" i="4"/>
  <c r="U80" i="4" s="1"/>
  <c r="U132" i="4" s="1"/>
  <c r="V28" i="4"/>
  <c r="V80" i="4" s="1"/>
  <c r="V132" i="4" s="1"/>
  <c r="W28" i="4"/>
  <c r="W80" i="4" s="1"/>
  <c r="W132" i="4" s="1"/>
  <c r="X28" i="4"/>
  <c r="X80" i="4" s="1"/>
  <c r="X132" i="4" s="1"/>
  <c r="Y28" i="4"/>
  <c r="Y80" i="4" s="1"/>
  <c r="Y132" i="4" s="1"/>
  <c r="Z28" i="4"/>
  <c r="Z80" i="4" s="1"/>
  <c r="Z132" i="4" s="1"/>
  <c r="AA28" i="4"/>
  <c r="AH7" i="19" a="1"/>
  <c r="AH7" i="19" s="1"/>
  <c r="S9" i="19"/>
  <c r="R38" i="19" s="1"/>
  <c r="S29" i="19"/>
  <c r="R78" i="19" s="1"/>
  <c r="S23" i="19"/>
  <c r="R66" i="19" s="1"/>
  <c r="S10" i="19"/>
  <c r="R40" i="19" s="1"/>
  <c r="S28" i="19"/>
  <c r="R75" i="19" s="1"/>
  <c r="S20" i="19"/>
  <c r="R59" i="19" s="1"/>
  <c r="S15" i="19"/>
  <c r="R50" i="19" s="1"/>
  <c r="S27" i="19"/>
  <c r="R74" i="19" s="1"/>
  <c r="S8" i="19"/>
  <c r="R36" i="19" s="1"/>
  <c r="S16" i="19"/>
  <c r="R52" i="19" s="1"/>
  <c r="S22" i="19"/>
  <c r="R63" i="19" s="1"/>
  <c r="S14" i="19"/>
  <c r="R47" i="19" s="1"/>
  <c r="S31" i="19"/>
  <c r="R81" i="19" s="1"/>
  <c r="S17" i="19"/>
  <c r="R54" i="19" s="1"/>
  <c r="S11" i="19"/>
  <c r="R42" i="19" s="1"/>
  <c r="S21" i="19"/>
  <c r="R61" i="19" s="1"/>
  <c r="S25" i="19"/>
  <c r="R69" i="19" s="1"/>
  <c r="S24" i="19"/>
  <c r="R67" i="19" s="1"/>
  <c r="S30" i="19"/>
  <c r="R80" i="19" s="1"/>
  <c r="S13" i="19"/>
  <c r="R45" i="19" s="1"/>
  <c r="S18" i="19"/>
  <c r="R56" i="19" s="1"/>
  <c r="S19" i="19"/>
  <c r="R57" i="19" s="1"/>
  <c r="S12" i="19"/>
  <c r="R44" i="19" s="1"/>
  <c r="AH15" i="19" a="1"/>
  <c r="AH15" i="19" s="1"/>
  <c r="AG15" i="19" a="1"/>
  <c r="AG15" i="19" s="1"/>
  <c r="AG22" i="19" a="1"/>
  <c r="AG22" i="19" s="1"/>
  <c r="AH26" i="19" a="1"/>
  <c r="AH26" i="19" s="1"/>
  <c r="AH10" i="19" a="1"/>
  <c r="AH10" i="19" s="1"/>
  <c r="AG20" i="19" a="1"/>
  <c r="AG20" i="19" s="1"/>
  <c r="AG10" i="19" a="1"/>
  <c r="AG10" i="19" s="1"/>
  <c r="AG14" i="19" a="1"/>
  <c r="AG14" i="19" s="1"/>
  <c r="AG23" i="19" a="1"/>
  <c r="AG23" i="19" s="1"/>
  <c r="AH13" i="19" a="1"/>
  <c r="AH13" i="19" s="1"/>
  <c r="AH20" i="19" a="1"/>
  <c r="AH20" i="19" s="1"/>
  <c r="AG13" i="19" a="1"/>
  <c r="AG13" i="19" s="1"/>
  <c r="AH31" i="19" a="1"/>
  <c r="AH31" i="19" s="1"/>
  <c r="AH12" i="19" a="1"/>
  <c r="AH12" i="19" s="1"/>
  <c r="AH14" i="19" a="1"/>
  <c r="AH14" i="19" s="1"/>
  <c r="AG9" i="19" a="1"/>
  <c r="AG9" i="19" s="1"/>
  <c r="R71" i="19"/>
  <c r="R72" i="19"/>
  <c r="AG17" i="19" a="1"/>
  <c r="AG17" i="19" s="1"/>
  <c r="AG18" i="19" a="1"/>
  <c r="AG18" i="19" s="1"/>
  <c r="AG21" i="19" a="1"/>
  <c r="AG21" i="19" s="1"/>
  <c r="AH8" i="19" a="1"/>
  <c r="AH8" i="19" s="1"/>
  <c r="AG31" i="19" a="1"/>
  <c r="AG31" i="19" s="1"/>
  <c r="AH30" i="19" a="1"/>
  <c r="AH30" i="19" s="1"/>
  <c r="AH19" i="19" a="1"/>
  <c r="AH19" i="19" s="1"/>
  <c r="AG12" i="19" a="1"/>
  <c r="AG12" i="19" s="1"/>
  <c r="AH27" i="19" a="1"/>
  <c r="AH27" i="19" s="1"/>
  <c r="AG27" i="19" a="1"/>
  <c r="AG27" i="19" s="1"/>
  <c r="S7" i="19"/>
  <c r="R76" i="19"/>
  <c r="AG29" i="19" a="1"/>
  <c r="AG29" i="19" s="1"/>
  <c r="AH29" i="19" a="1"/>
  <c r="AH29" i="19" s="1"/>
  <c r="AG28" i="19" a="1"/>
  <c r="AG28" i="19" s="1"/>
  <c r="AH22" i="19" a="1"/>
  <c r="AH22" i="19" s="1"/>
  <c r="AG8" i="19" a="1"/>
  <c r="AG8" i="19" s="1"/>
  <c r="AH9" i="19" a="1"/>
  <c r="AH9" i="19" s="1"/>
  <c r="AG19" i="19" a="1"/>
  <c r="AG19" i="19" s="1"/>
  <c r="AG11" i="19" a="1"/>
  <c r="AG11" i="19" s="1"/>
  <c r="AH24" i="19" a="1"/>
  <c r="AH24" i="19" s="1"/>
  <c r="AH28" i="19" a="1"/>
  <c r="AH28" i="19" s="1"/>
  <c r="AH17" i="19" a="1"/>
  <c r="AH17" i="19" s="1"/>
  <c r="AG25" i="19" a="1"/>
  <c r="AG25" i="19" s="1"/>
  <c r="AG7" i="19" a="1"/>
  <c r="AG7" i="19" s="1"/>
  <c r="AH11" i="19" a="1"/>
  <c r="AH11" i="19" s="1"/>
  <c r="AG26" i="19" a="1"/>
  <c r="AG26" i="19" s="1"/>
  <c r="AH23" i="19" a="1"/>
  <c r="AH23" i="19" s="1"/>
  <c r="AG30" i="19" a="1"/>
  <c r="AG30" i="19" s="1"/>
  <c r="AH21" i="19" a="1"/>
  <c r="AH21" i="19" s="1"/>
  <c r="AG16" i="19" a="1"/>
  <c r="AG16" i="19" s="1"/>
  <c r="AG24" i="19" a="1"/>
  <c r="AG24" i="19" s="1"/>
  <c r="AH25" i="19" a="1"/>
  <c r="AH25" i="19" s="1"/>
  <c r="AH16" i="19" a="1"/>
  <c r="AH16" i="19" s="1"/>
  <c r="AH18" i="19" a="1"/>
  <c r="AH18" i="19" s="1"/>
  <c r="A11" i="19" a="1"/>
  <c r="A11" i="19" s="1"/>
  <c r="A41" i="19" s="1"/>
  <c r="A21" i="19" a="1"/>
  <c r="A21" i="19" s="1"/>
  <c r="A60" i="19" s="1"/>
  <c r="B7" i="19" a="1"/>
  <c r="B7" i="19" s="1"/>
  <c r="A8" i="19" a="1"/>
  <c r="A8" i="19" s="1"/>
  <c r="A34" i="19" s="1"/>
  <c r="B25" i="19" a="1"/>
  <c r="B25" i="19" s="1"/>
  <c r="A27" i="19" a="1"/>
  <c r="A27" i="19" s="1"/>
  <c r="A72" i="19" s="1"/>
  <c r="B22" i="19" a="1"/>
  <c r="B22" i="19" s="1"/>
  <c r="B30" i="19" a="1"/>
  <c r="B30" i="19" s="1"/>
  <c r="B23" i="19" a="1"/>
  <c r="B23" i="19" s="1"/>
  <c r="A29" i="19" a="1"/>
  <c r="A29" i="19" s="1"/>
  <c r="A77" i="19" s="1"/>
  <c r="B9" i="19" a="1"/>
  <c r="B9" i="19" s="1"/>
  <c r="A22" i="19" a="1"/>
  <c r="A22" i="19" s="1"/>
  <c r="A14" i="19" a="1"/>
  <c r="A14" i="19" s="1"/>
  <c r="A28" i="19" a="1"/>
  <c r="A28" i="19" s="1"/>
  <c r="B15" i="19" a="1"/>
  <c r="B15" i="19" s="1"/>
  <c r="A15" i="19" a="1"/>
  <c r="A15" i="19" s="1"/>
  <c r="A12" i="19" a="1"/>
  <c r="A12" i="19" s="1"/>
  <c r="A23" i="19" a="1"/>
  <c r="A23" i="19" s="1"/>
  <c r="A10" i="19" a="1"/>
  <c r="A10" i="19" s="1"/>
  <c r="A18" i="19" a="1"/>
  <c r="A18" i="19" s="1"/>
  <c r="B17" i="19" a="1"/>
  <c r="B17" i="19" s="1"/>
  <c r="B8" i="19" a="1"/>
  <c r="B8" i="19" s="1"/>
  <c r="B27" i="19" a="1"/>
  <c r="B27" i="19" s="1"/>
  <c r="A13" i="19" a="1"/>
  <c r="A13" i="19" s="1"/>
  <c r="B16" i="19" a="1"/>
  <c r="B16" i="19" s="1"/>
  <c r="A30" i="19" a="1"/>
  <c r="A30" i="19" s="1"/>
  <c r="B12" i="19" a="1"/>
  <c r="B12" i="19" s="1"/>
  <c r="B21" i="19" a="1"/>
  <c r="B21" i="19" s="1"/>
  <c r="B20" i="19" a="1"/>
  <c r="B20" i="19" s="1"/>
  <c r="A9" i="19" a="1"/>
  <c r="A9" i="19" s="1"/>
  <c r="B29" i="19" a="1"/>
  <c r="B29" i="19" s="1"/>
  <c r="B26" i="19" a="1"/>
  <c r="B26" i="19" s="1"/>
  <c r="A20" i="19" a="1"/>
  <c r="A20" i="19" s="1"/>
  <c r="B18" i="19" a="1"/>
  <c r="B18" i="19" s="1"/>
  <c r="A19" i="19" a="1"/>
  <c r="A19" i="19" s="1"/>
  <c r="A17" i="19" a="1"/>
  <c r="A17" i="19" s="1"/>
  <c r="B24" i="19" a="1"/>
  <c r="B24" i="19" s="1"/>
  <c r="A26" i="19" a="1"/>
  <c r="A26" i="19" s="1"/>
  <c r="A16" i="19" a="1"/>
  <c r="A16" i="19" s="1"/>
  <c r="A24" i="19" a="1"/>
  <c r="A24" i="19" s="1"/>
  <c r="B19" i="19" a="1"/>
  <c r="B19" i="19" s="1"/>
  <c r="B28" i="19" a="1"/>
  <c r="B28" i="19" s="1"/>
  <c r="B10" i="19" a="1"/>
  <c r="B10" i="19" s="1"/>
  <c r="B13" i="19" a="1"/>
  <c r="B13" i="19" s="1"/>
  <c r="A31" i="19" a="1"/>
  <c r="A31" i="19" s="1"/>
  <c r="B11" i="19" a="1"/>
  <c r="B11" i="19" s="1"/>
  <c r="B14" i="19" a="1"/>
  <c r="B14" i="19" s="1"/>
  <c r="A25" i="19" a="1"/>
  <c r="A25" i="19" s="1"/>
  <c r="B4" i="3"/>
  <c r="C31" i="3" s="1"/>
  <c r="C11" i="2"/>
  <c r="E46" i="5"/>
  <c r="L46" i="5" s="1"/>
  <c r="D46" i="5"/>
  <c r="C47" i="5"/>
  <c r="F45" i="5"/>
  <c r="AC17" i="4"/>
  <c r="AB69" i="4"/>
  <c r="AB121" i="4" s="1"/>
  <c r="AC20" i="4"/>
  <c r="AB72" i="4"/>
  <c r="AB124" i="4" s="1"/>
  <c r="AC9" i="4"/>
  <c r="AB61" i="4"/>
  <c r="AB113" i="4" s="1"/>
  <c r="AC14" i="4"/>
  <c r="AB66" i="4"/>
  <c r="AB118" i="4" s="1"/>
  <c r="AC11" i="4"/>
  <c r="AB63" i="4"/>
  <c r="AB115" i="4" s="1"/>
  <c r="AC21" i="4"/>
  <c r="AB73" i="4"/>
  <c r="AB125" i="4" s="1"/>
  <c r="AC18" i="4"/>
  <c r="AB70" i="4"/>
  <c r="AB122" i="4" s="1"/>
  <c r="AC7" i="4"/>
  <c r="AB59" i="4"/>
  <c r="AB111" i="4" s="1"/>
  <c r="AC24" i="4"/>
  <c r="AB76" i="4"/>
  <c r="AB128" i="4" s="1"/>
  <c r="AC6" i="4"/>
  <c r="AB58" i="4"/>
  <c r="AB110" i="4" s="1"/>
  <c r="AC13" i="4"/>
  <c r="AB65" i="4"/>
  <c r="AB117" i="4" s="1"/>
  <c r="AC27" i="4"/>
  <c r="AB79" i="4"/>
  <c r="AB131" i="4" s="1"/>
  <c r="AC12" i="4"/>
  <c r="AB64" i="4"/>
  <c r="AB116" i="4" s="1"/>
  <c r="AC19" i="4"/>
  <c r="AB71" i="4"/>
  <c r="AB123" i="4" s="1"/>
  <c r="AC28" i="4"/>
  <c r="AB80" i="4"/>
  <c r="AB132" i="4" s="1"/>
  <c r="AC8" i="4"/>
  <c r="AB60" i="4"/>
  <c r="AB112" i="4" s="1"/>
  <c r="AC26" i="4"/>
  <c r="AB78" i="4"/>
  <c r="AB130" i="4" s="1"/>
  <c r="AC23" i="4"/>
  <c r="AB75" i="4"/>
  <c r="AB127" i="4" s="1"/>
  <c r="AC15" i="4"/>
  <c r="AB67" i="4"/>
  <c r="AB119" i="4" s="1"/>
  <c r="AC5" i="4"/>
  <c r="AB57" i="4"/>
  <c r="AB109" i="4" s="1"/>
  <c r="AC10" i="4"/>
  <c r="AB62" i="4"/>
  <c r="AB114" i="4" s="1"/>
  <c r="AC22" i="4"/>
  <c r="AB74" i="4"/>
  <c r="AB126" i="4" s="1"/>
  <c r="AC25" i="4"/>
  <c r="AB77" i="4"/>
  <c r="AB129" i="4" s="1"/>
  <c r="AC16" i="4"/>
  <c r="AB68" i="4"/>
  <c r="AB120" i="4" s="1"/>
  <c r="C98" i="4"/>
  <c r="F31" i="3"/>
  <c r="E32" i="3"/>
  <c r="AC4" i="4"/>
  <c r="U34" i="3"/>
  <c r="V33" i="3"/>
  <c r="AH4" i="3"/>
  <c r="AK34" i="3"/>
  <c r="AL34" i="3" s="1"/>
  <c r="U6" i="6"/>
  <c r="U9" i="6" s="1"/>
  <c r="U12" i="6" s="1"/>
  <c r="U16" i="6" s="1"/>
  <c r="AJ6" i="6"/>
  <c r="AJ8" i="6"/>
  <c r="AA80" i="4" l="1"/>
  <c r="AA132" i="4" s="1"/>
  <c r="C30" i="4"/>
  <c r="AB20" i="38"/>
  <c r="M88" i="38" s="1"/>
  <c r="X20" i="38"/>
  <c r="I88" i="38" s="1"/>
  <c r="Z20" i="38"/>
  <c r="K88" i="38" s="1"/>
  <c r="U20" i="38"/>
  <c r="F88" i="38" s="1"/>
  <c r="S20" i="38"/>
  <c r="AA20" i="38"/>
  <c r="L88" i="38" s="1"/>
  <c r="W20" i="38"/>
  <c r="H88" i="38" s="1"/>
  <c r="D29" i="4"/>
  <c r="E29" i="4"/>
  <c r="E81" i="4" s="1"/>
  <c r="E133" i="4" s="1"/>
  <c r="G29" i="4"/>
  <c r="F29" i="4"/>
  <c r="H29" i="4"/>
  <c r="I29" i="4"/>
  <c r="I81" i="4" s="1"/>
  <c r="I133" i="4" s="1"/>
  <c r="J29" i="4"/>
  <c r="K29" i="4"/>
  <c r="L29" i="4"/>
  <c r="M29" i="4"/>
  <c r="N29" i="4"/>
  <c r="N81" i="4" s="1"/>
  <c r="N133" i="4" s="1"/>
  <c r="O29" i="4"/>
  <c r="O81" i="4" s="1"/>
  <c r="O133" i="4" s="1"/>
  <c r="P29" i="4"/>
  <c r="P81" i="4" s="1"/>
  <c r="P133" i="4" s="1"/>
  <c r="Q29" i="4"/>
  <c r="Q81" i="4" s="1"/>
  <c r="Q133" i="4" s="1"/>
  <c r="R29" i="4"/>
  <c r="R81" i="4" s="1"/>
  <c r="R133" i="4" s="1"/>
  <c r="S29" i="4"/>
  <c r="S81" i="4" s="1"/>
  <c r="S133" i="4" s="1"/>
  <c r="T29" i="4"/>
  <c r="T81" i="4" s="1"/>
  <c r="T133" i="4" s="1"/>
  <c r="U29" i="4"/>
  <c r="U81" i="4" s="1"/>
  <c r="U133" i="4" s="1"/>
  <c r="V29" i="4"/>
  <c r="V81" i="4" s="1"/>
  <c r="V133" i="4" s="1"/>
  <c r="W29" i="4"/>
  <c r="W81" i="4" s="1"/>
  <c r="W133" i="4" s="1"/>
  <c r="X29" i="4"/>
  <c r="X81" i="4" s="1"/>
  <c r="X133" i="4" s="1"/>
  <c r="Y29" i="4"/>
  <c r="Y81" i="4" s="1"/>
  <c r="Y133" i="4" s="1"/>
  <c r="Z29" i="4"/>
  <c r="Z81" i="4" s="1"/>
  <c r="Z133" i="4" s="1"/>
  <c r="AA29" i="4"/>
  <c r="AA81" i="4" s="1"/>
  <c r="AA133" i="4" s="1"/>
  <c r="AB29" i="4"/>
  <c r="R37" i="19"/>
  <c r="I62" i="4"/>
  <c r="I114" i="4" s="1"/>
  <c r="R60" i="19"/>
  <c r="R77" i="19"/>
  <c r="R68" i="19"/>
  <c r="R35" i="19"/>
  <c r="R58" i="19"/>
  <c r="R51" i="19"/>
  <c r="R53" i="19"/>
  <c r="R73" i="19"/>
  <c r="R65" i="19"/>
  <c r="R41" i="19"/>
  <c r="A40" i="19"/>
  <c r="A73" i="19"/>
  <c r="R39" i="19"/>
  <c r="E66" i="4"/>
  <c r="E118" i="4" s="1"/>
  <c r="E74" i="4"/>
  <c r="E126" i="4" s="1"/>
  <c r="F69" i="4"/>
  <c r="F121" i="4" s="1"/>
  <c r="F80" i="4"/>
  <c r="F132" i="4" s="1"/>
  <c r="G71" i="4"/>
  <c r="G123" i="4" s="1"/>
  <c r="H67" i="4"/>
  <c r="H119" i="4" s="1"/>
  <c r="I76" i="4"/>
  <c r="I128" i="4" s="1"/>
  <c r="J77" i="4"/>
  <c r="J129" i="4" s="1"/>
  <c r="J76" i="4"/>
  <c r="J128" i="4" s="1"/>
  <c r="K78" i="4"/>
  <c r="K130" i="4" s="1"/>
  <c r="L70" i="4"/>
  <c r="L122" i="4" s="1"/>
  <c r="N75" i="4"/>
  <c r="N127" i="4" s="1"/>
  <c r="R79" i="19"/>
  <c r="R43" i="19"/>
  <c r="R64" i="19"/>
  <c r="R49" i="19"/>
  <c r="A35" i="19"/>
  <c r="R62" i="19"/>
  <c r="R48" i="19"/>
  <c r="R55" i="19"/>
  <c r="R46" i="19"/>
  <c r="R70" i="19"/>
  <c r="D71" i="4"/>
  <c r="D123" i="4" s="1"/>
  <c r="E64" i="4"/>
  <c r="E116" i="4" s="1"/>
  <c r="E78" i="4"/>
  <c r="E130" i="4" s="1"/>
  <c r="E56" i="4"/>
  <c r="E108" i="4" s="1"/>
  <c r="F70" i="4"/>
  <c r="F122" i="4" s="1"/>
  <c r="G69" i="4"/>
  <c r="G121" i="4" s="1"/>
  <c r="G59" i="4"/>
  <c r="G111" i="4" s="1"/>
  <c r="G56" i="4"/>
  <c r="G108" i="4" s="1"/>
  <c r="F59" i="4"/>
  <c r="F111" i="4" s="1"/>
  <c r="G70" i="4"/>
  <c r="G122" i="4" s="1"/>
  <c r="G72" i="4"/>
  <c r="G124" i="4" s="1"/>
  <c r="F78" i="4"/>
  <c r="F130" i="4" s="1"/>
  <c r="H56" i="4"/>
  <c r="H108" i="4" s="1"/>
  <c r="H57" i="4"/>
  <c r="H109" i="4" s="1"/>
  <c r="H70" i="4"/>
  <c r="H122" i="4" s="1"/>
  <c r="I72" i="4"/>
  <c r="I124" i="4" s="1"/>
  <c r="J67" i="4"/>
  <c r="J119" i="4" s="1"/>
  <c r="J79" i="4"/>
  <c r="J131" i="4" s="1"/>
  <c r="J56" i="4"/>
  <c r="J108" i="4" s="1"/>
  <c r="K66" i="4"/>
  <c r="K118" i="4" s="1"/>
  <c r="K76" i="4"/>
  <c r="K128" i="4" s="1"/>
  <c r="K68" i="4"/>
  <c r="K120" i="4" s="1"/>
  <c r="L60" i="4"/>
  <c r="L112" i="4" s="1"/>
  <c r="L78" i="4"/>
  <c r="L130" i="4" s="1"/>
  <c r="L80" i="4"/>
  <c r="L132" i="4" s="1"/>
  <c r="L71" i="4"/>
  <c r="L123" i="4" s="1"/>
  <c r="L81" i="4"/>
  <c r="L133" i="4" s="1"/>
  <c r="N65" i="4"/>
  <c r="N117" i="4" s="1"/>
  <c r="AG66" i="19"/>
  <c r="AG67" i="19"/>
  <c r="AG78" i="19"/>
  <c r="AG79" i="19"/>
  <c r="AG70" i="19"/>
  <c r="AG71" i="19"/>
  <c r="AG68" i="19"/>
  <c r="AG69" i="19"/>
  <c r="AG76" i="19"/>
  <c r="AG77" i="19"/>
  <c r="AG52" i="19"/>
  <c r="AG53" i="19"/>
  <c r="AG44" i="19"/>
  <c r="AG45" i="19"/>
  <c r="AG46" i="19"/>
  <c r="AG47" i="19"/>
  <c r="AG58" i="19"/>
  <c r="AG59" i="19"/>
  <c r="AG32" i="19"/>
  <c r="AG33" i="19"/>
  <c r="AG56" i="19"/>
  <c r="AG57" i="19"/>
  <c r="AG35" i="19"/>
  <c r="AG34" i="19"/>
  <c r="AG42" i="19"/>
  <c r="AG43" i="19"/>
  <c r="AG60" i="19"/>
  <c r="AG61" i="19"/>
  <c r="AG64" i="19"/>
  <c r="AG65" i="19"/>
  <c r="AG38" i="19"/>
  <c r="AG39" i="19"/>
  <c r="AG50" i="19"/>
  <c r="AG51" i="19"/>
  <c r="AG40" i="19"/>
  <c r="AG41" i="19"/>
  <c r="S4" i="19"/>
  <c r="R34" i="19"/>
  <c r="S34" i="19" s="1"/>
  <c r="S36" i="19" s="1"/>
  <c r="R33" i="19"/>
  <c r="S33" i="19" s="1"/>
  <c r="AG80" i="19"/>
  <c r="AG81" i="19"/>
  <c r="AG54" i="19"/>
  <c r="AG55" i="19"/>
  <c r="AG36" i="19"/>
  <c r="AG37" i="19"/>
  <c r="AG48" i="19"/>
  <c r="AG49" i="19"/>
  <c r="AH4" i="19"/>
  <c r="AI25" i="19" s="1"/>
  <c r="AG74" i="19"/>
  <c r="AG75" i="19"/>
  <c r="AG72" i="19"/>
  <c r="AG73" i="19"/>
  <c r="AG62" i="19"/>
  <c r="AG63" i="19"/>
  <c r="A61" i="19"/>
  <c r="A76" i="19"/>
  <c r="A80" i="19"/>
  <c r="A81" i="19"/>
  <c r="A39" i="19"/>
  <c r="A38" i="19"/>
  <c r="A57" i="19"/>
  <c r="A56" i="19"/>
  <c r="A45" i="19"/>
  <c r="A44" i="19"/>
  <c r="A32" i="19"/>
  <c r="A33" i="19"/>
  <c r="A67" i="19"/>
  <c r="A66" i="19"/>
  <c r="A52" i="19"/>
  <c r="A53" i="19"/>
  <c r="A43" i="19"/>
  <c r="A42" i="19"/>
  <c r="A49" i="19"/>
  <c r="A48" i="19"/>
  <c r="A63" i="19"/>
  <c r="A62" i="19"/>
  <c r="B4" i="19"/>
  <c r="A71" i="19"/>
  <c r="A70" i="19"/>
  <c r="A75" i="19"/>
  <c r="A74" i="19"/>
  <c r="A51" i="19"/>
  <c r="A50" i="19"/>
  <c r="A55" i="19"/>
  <c r="A54" i="19"/>
  <c r="A69" i="19"/>
  <c r="A68" i="19"/>
  <c r="A59" i="19"/>
  <c r="A58" i="19"/>
  <c r="A37" i="19"/>
  <c r="A36" i="19"/>
  <c r="A79" i="19"/>
  <c r="A78" i="19"/>
  <c r="A65" i="19"/>
  <c r="A64" i="19"/>
  <c r="A47" i="19"/>
  <c r="A46" i="19"/>
  <c r="C6" i="2"/>
  <c r="C7" i="3"/>
  <c r="E47" i="5"/>
  <c r="L47" i="5" s="1"/>
  <c r="D47" i="5"/>
  <c r="F46" i="5"/>
  <c r="C48" i="5"/>
  <c r="F76" i="4"/>
  <c r="F128" i="4" s="1"/>
  <c r="G81" i="4"/>
  <c r="G133" i="4" s="1"/>
  <c r="G76" i="4"/>
  <c r="G128" i="4" s="1"/>
  <c r="F79" i="4"/>
  <c r="F131" i="4" s="1"/>
  <c r="F66" i="4"/>
  <c r="F118" i="4" s="1"/>
  <c r="G68" i="4"/>
  <c r="G120" i="4" s="1"/>
  <c r="G57" i="4"/>
  <c r="G109" i="4" s="1"/>
  <c r="G80" i="4"/>
  <c r="G132" i="4" s="1"/>
  <c r="G67" i="4"/>
  <c r="G119" i="4" s="1"/>
  <c r="H78" i="4"/>
  <c r="H130" i="4" s="1"/>
  <c r="H73" i="4"/>
  <c r="H125" i="4" s="1"/>
  <c r="H72" i="4"/>
  <c r="H124" i="4" s="1"/>
  <c r="H79" i="4"/>
  <c r="H131" i="4" s="1"/>
  <c r="H80" i="4"/>
  <c r="H132" i="4" s="1"/>
  <c r="H76" i="4"/>
  <c r="H128" i="4" s="1"/>
  <c r="I66" i="4"/>
  <c r="I118" i="4" s="1"/>
  <c r="I74" i="4"/>
  <c r="I126" i="4" s="1"/>
  <c r="J78" i="4"/>
  <c r="J130" i="4" s="1"/>
  <c r="J57" i="4"/>
  <c r="J109" i="4" s="1"/>
  <c r="J80" i="4"/>
  <c r="J132" i="4" s="1"/>
  <c r="J62" i="4"/>
  <c r="J114" i="4" s="1"/>
  <c r="J81" i="4"/>
  <c r="J133" i="4" s="1"/>
  <c r="J66" i="4"/>
  <c r="J118" i="4" s="1"/>
  <c r="K74" i="4"/>
  <c r="K126" i="4" s="1"/>
  <c r="K72" i="4"/>
  <c r="K124" i="4" s="1"/>
  <c r="M81" i="4"/>
  <c r="M133" i="4" s="1"/>
  <c r="M71" i="4"/>
  <c r="M123" i="4" s="1"/>
  <c r="N78" i="4"/>
  <c r="N130" i="4" s="1"/>
  <c r="N77" i="4"/>
  <c r="N129" i="4" s="1"/>
  <c r="O57" i="4"/>
  <c r="O109" i="4" s="1"/>
  <c r="P65" i="4"/>
  <c r="P117" i="4" s="1"/>
  <c r="P69" i="4"/>
  <c r="P121" i="4" s="1"/>
  <c r="P74" i="4"/>
  <c r="P126" i="4" s="1"/>
  <c r="Q60" i="4"/>
  <c r="Q112" i="4" s="1"/>
  <c r="V76" i="4"/>
  <c r="V128" i="4" s="1"/>
  <c r="AC58" i="4"/>
  <c r="AC63" i="4"/>
  <c r="C99" i="4"/>
  <c r="F32" i="3"/>
  <c r="E33" i="3"/>
  <c r="U35" i="3"/>
  <c r="V34" i="3"/>
  <c r="S11" i="2"/>
  <c r="S6" i="2"/>
  <c r="AK35" i="3"/>
  <c r="AL35" i="3" s="1"/>
  <c r="B64" i="13"/>
  <c r="B63" i="13"/>
  <c r="S37" i="19" l="1"/>
  <c r="D88" i="38"/>
  <c r="AB81" i="4"/>
  <c r="AB133" i="4" s="1"/>
  <c r="D81" i="4"/>
  <c r="D133" i="4" s="1"/>
  <c r="AC29" i="4"/>
  <c r="C31" i="4"/>
  <c r="D30" i="4"/>
  <c r="E30" i="4"/>
  <c r="E82" i="4" s="1"/>
  <c r="E134" i="4" s="1"/>
  <c r="G30" i="4"/>
  <c r="G82" i="4" s="1"/>
  <c r="G134" i="4" s="1"/>
  <c r="F30" i="4"/>
  <c r="F82" i="4" s="1"/>
  <c r="F134" i="4" s="1"/>
  <c r="H30" i="4"/>
  <c r="H82" i="4" s="1"/>
  <c r="H134" i="4" s="1"/>
  <c r="I30" i="4"/>
  <c r="I82" i="4" s="1"/>
  <c r="I134" i="4" s="1"/>
  <c r="J30" i="4"/>
  <c r="J82" i="4" s="1"/>
  <c r="J134" i="4" s="1"/>
  <c r="K30" i="4"/>
  <c r="K82" i="4" s="1"/>
  <c r="K134" i="4" s="1"/>
  <c r="L30" i="4"/>
  <c r="L82" i="4" s="1"/>
  <c r="L134" i="4" s="1"/>
  <c r="M30" i="4"/>
  <c r="M82" i="4" s="1"/>
  <c r="M134" i="4" s="1"/>
  <c r="N30" i="4"/>
  <c r="N82" i="4" s="1"/>
  <c r="N134" i="4" s="1"/>
  <c r="O30" i="4"/>
  <c r="O82" i="4" s="1"/>
  <c r="O134" i="4" s="1"/>
  <c r="P30" i="4"/>
  <c r="P82" i="4" s="1"/>
  <c r="P134" i="4" s="1"/>
  <c r="Q30" i="4"/>
  <c r="Q82" i="4" s="1"/>
  <c r="Q134" i="4" s="1"/>
  <c r="R30" i="4"/>
  <c r="R82" i="4" s="1"/>
  <c r="R134" i="4" s="1"/>
  <c r="S30" i="4"/>
  <c r="S82" i="4" s="1"/>
  <c r="S134" i="4" s="1"/>
  <c r="T30" i="4"/>
  <c r="T82" i="4" s="1"/>
  <c r="T134" i="4" s="1"/>
  <c r="U30" i="4"/>
  <c r="U82" i="4" s="1"/>
  <c r="U134" i="4" s="1"/>
  <c r="V30" i="4"/>
  <c r="V82" i="4" s="1"/>
  <c r="V134" i="4" s="1"/>
  <c r="W30" i="4"/>
  <c r="X30" i="4"/>
  <c r="X82" i="4" s="1"/>
  <c r="X134" i="4" s="1"/>
  <c r="Y30" i="4"/>
  <c r="Y82" i="4" s="1"/>
  <c r="Y134" i="4" s="1"/>
  <c r="Z30" i="4"/>
  <c r="AA30" i="4"/>
  <c r="AA82" i="4" s="1"/>
  <c r="AA134" i="4" s="1"/>
  <c r="AB30" i="4"/>
  <c r="AB82" i="4" s="1"/>
  <c r="AB134" i="4" s="1"/>
  <c r="S35" i="19"/>
  <c r="AI24" i="19"/>
  <c r="AH68" i="19" s="1"/>
  <c r="C10" i="19"/>
  <c r="B40" i="19" s="1"/>
  <c r="S38" i="19"/>
  <c r="S40" i="19" s="1"/>
  <c r="S42" i="19" s="1"/>
  <c r="C26" i="19"/>
  <c r="B71" i="19" s="1"/>
  <c r="AI12" i="19"/>
  <c r="AH43" i="19" s="1"/>
  <c r="AI28" i="19"/>
  <c r="AH75" i="19" s="1"/>
  <c r="AI23" i="19"/>
  <c r="AH65" i="19" s="1"/>
  <c r="AC59" i="4"/>
  <c r="AI16" i="19"/>
  <c r="AH51" i="19" s="1"/>
  <c r="AI30" i="19"/>
  <c r="AH80" i="19" s="1"/>
  <c r="AI10" i="19"/>
  <c r="AH39" i="19" s="1"/>
  <c r="AI7" i="19"/>
  <c r="C11" i="19"/>
  <c r="B42" i="19" s="1"/>
  <c r="C14" i="19"/>
  <c r="B47" i="19" s="1"/>
  <c r="AI15" i="19"/>
  <c r="AI19" i="19"/>
  <c r="AI17" i="19"/>
  <c r="AI11" i="19"/>
  <c r="C19" i="19"/>
  <c r="B57" i="19" s="1"/>
  <c r="C17" i="19"/>
  <c r="B54" i="19" s="1"/>
  <c r="AI18" i="19"/>
  <c r="AI26" i="19"/>
  <c r="AI20" i="19"/>
  <c r="AI14" i="19"/>
  <c r="AI8" i="19"/>
  <c r="AI29" i="19"/>
  <c r="AI21" i="19"/>
  <c r="AI13" i="19"/>
  <c r="AH67" i="19"/>
  <c r="AH70" i="19"/>
  <c r="AH69" i="19"/>
  <c r="C24" i="19"/>
  <c r="B67" i="19" s="1"/>
  <c r="C28" i="19"/>
  <c r="B76" i="19" s="1"/>
  <c r="C18" i="19"/>
  <c r="B56" i="19" s="1"/>
  <c r="AI22" i="19"/>
  <c r="AI31" i="19"/>
  <c r="AH81" i="19" s="1"/>
  <c r="AI27" i="19"/>
  <c r="AI9" i="19"/>
  <c r="AC60" i="4"/>
  <c r="C29" i="19"/>
  <c r="C8" i="19"/>
  <c r="C21" i="19"/>
  <c r="C12" i="19"/>
  <c r="C20" i="19"/>
  <c r="C9" i="19"/>
  <c r="C7" i="19"/>
  <c r="C22" i="19"/>
  <c r="C23" i="19"/>
  <c r="C31" i="19"/>
  <c r="B81" i="19" s="1"/>
  <c r="C25" i="19"/>
  <c r="C30" i="19"/>
  <c r="C13" i="19"/>
  <c r="C27" i="19"/>
  <c r="C16" i="19"/>
  <c r="C15" i="19"/>
  <c r="D48" i="5"/>
  <c r="K48" i="5" s="1"/>
  <c r="E48" i="5"/>
  <c r="L48" i="5" s="1"/>
  <c r="F47" i="5"/>
  <c r="C49" i="5"/>
  <c r="AC67" i="4"/>
  <c r="AC57" i="4"/>
  <c r="AC80" i="4"/>
  <c r="AC68" i="4"/>
  <c r="AC78" i="4"/>
  <c r="C100" i="4"/>
  <c r="F33" i="3"/>
  <c r="E34" i="3"/>
  <c r="V35" i="3"/>
  <c r="U36" i="3"/>
  <c r="AK36" i="3"/>
  <c r="AL36" i="3" s="1"/>
  <c r="C23" i="7"/>
  <c r="H24" i="7" s="1"/>
  <c r="B63" i="12"/>
  <c r="E50" i="12"/>
  <c r="C41" i="7"/>
  <c r="B64" i="12"/>
  <c r="E51" i="12"/>
  <c r="C46" i="7"/>
  <c r="E51" i="13"/>
  <c r="H23" i="7"/>
  <c r="C28" i="7"/>
  <c r="E50" i="13"/>
  <c r="H41" i="7"/>
  <c r="C5" i="7"/>
  <c r="C4" i="7"/>
  <c r="C9" i="7"/>
  <c r="H9" i="7" s="1"/>
  <c r="B3" i="13" s="1"/>
  <c r="C10" i="7"/>
  <c r="W82" i="4" l="1"/>
  <c r="W134" i="4" s="1"/>
  <c r="D82" i="4"/>
  <c r="AC30" i="4"/>
  <c r="Z82" i="4"/>
  <c r="Z134" i="4" s="1"/>
  <c r="C32" i="4"/>
  <c r="V21" i="38"/>
  <c r="G89" i="38" s="1"/>
  <c r="AB21" i="38"/>
  <c r="M89" i="38" s="1"/>
  <c r="W21" i="38"/>
  <c r="H89" i="38" s="1"/>
  <c r="AA21" i="38"/>
  <c r="L89" i="38" s="1"/>
  <c r="Y21" i="38"/>
  <c r="J89" i="38" s="1"/>
  <c r="U21" i="38"/>
  <c r="F89" i="38" s="1"/>
  <c r="D31" i="4"/>
  <c r="E31" i="4"/>
  <c r="F31" i="4"/>
  <c r="G31" i="4"/>
  <c r="G83" i="4" s="1"/>
  <c r="G135" i="4" s="1"/>
  <c r="H31" i="4"/>
  <c r="H83" i="4" s="1"/>
  <c r="H135" i="4" s="1"/>
  <c r="I31" i="4"/>
  <c r="I83" i="4" s="1"/>
  <c r="I135" i="4" s="1"/>
  <c r="J31" i="4"/>
  <c r="K31" i="4"/>
  <c r="K83" i="4" s="1"/>
  <c r="K135" i="4" s="1"/>
  <c r="L31" i="4"/>
  <c r="M31" i="4"/>
  <c r="M83" i="4" s="1"/>
  <c r="M135" i="4" s="1"/>
  <c r="N31" i="4"/>
  <c r="N83" i="4" s="1"/>
  <c r="N135" i="4" s="1"/>
  <c r="O31" i="4"/>
  <c r="O83" i="4" s="1"/>
  <c r="O135" i="4" s="1"/>
  <c r="P31" i="4"/>
  <c r="P83" i="4" s="1"/>
  <c r="P135" i="4" s="1"/>
  <c r="Q31" i="4"/>
  <c r="Q83" i="4" s="1"/>
  <c r="Q135" i="4" s="1"/>
  <c r="R31" i="4"/>
  <c r="R83" i="4" s="1"/>
  <c r="R135" i="4" s="1"/>
  <c r="S31" i="4"/>
  <c r="S83" i="4" s="1"/>
  <c r="S135" i="4" s="1"/>
  <c r="T31" i="4"/>
  <c r="T83" i="4" s="1"/>
  <c r="T135" i="4" s="1"/>
  <c r="U31" i="4"/>
  <c r="U83" i="4" s="1"/>
  <c r="U135" i="4" s="1"/>
  <c r="V31" i="4"/>
  <c r="V83" i="4" s="1"/>
  <c r="V135" i="4" s="1"/>
  <c r="W31" i="4"/>
  <c r="W83" i="4" s="1"/>
  <c r="W135" i="4" s="1"/>
  <c r="X31" i="4"/>
  <c r="X83" i="4" s="1"/>
  <c r="X135" i="4" s="1"/>
  <c r="Y31" i="4"/>
  <c r="Y83" i="4" s="1"/>
  <c r="Y135" i="4" s="1"/>
  <c r="Z31" i="4"/>
  <c r="Z83" i="4" s="1"/>
  <c r="Z135" i="4" s="1"/>
  <c r="AA31" i="4"/>
  <c r="AB31" i="4"/>
  <c r="AB83" i="4" s="1"/>
  <c r="AB135" i="4" s="1"/>
  <c r="H42" i="7"/>
  <c r="L12" i="11" s="1"/>
  <c r="L6" i="11"/>
  <c r="S41" i="19"/>
  <c r="S39" i="19"/>
  <c r="B72" i="19"/>
  <c r="B39" i="19"/>
  <c r="B53" i="19"/>
  <c r="B48" i="19"/>
  <c r="AH66" i="19"/>
  <c r="B58" i="19"/>
  <c r="AH40" i="19"/>
  <c r="AH79" i="19"/>
  <c r="AH44" i="19"/>
  <c r="AH52" i="19"/>
  <c r="B75" i="19"/>
  <c r="B55" i="19"/>
  <c r="AH76" i="19"/>
  <c r="B41" i="19"/>
  <c r="AH60" i="19"/>
  <c r="AH59" i="19"/>
  <c r="AH61" i="19"/>
  <c r="AH62" i="19"/>
  <c r="AH36" i="19"/>
  <c r="AH35" i="19"/>
  <c r="AH42" i="19"/>
  <c r="AH41" i="19"/>
  <c r="B68" i="19"/>
  <c r="AH50" i="19"/>
  <c r="AH49" i="19"/>
  <c r="AH46" i="19"/>
  <c r="AH45" i="19"/>
  <c r="AH48" i="19"/>
  <c r="AH47" i="19"/>
  <c r="AH56" i="19"/>
  <c r="AH55" i="19"/>
  <c r="AH57" i="19"/>
  <c r="AH58" i="19"/>
  <c r="AH38" i="19"/>
  <c r="AH37" i="19"/>
  <c r="AH73" i="19"/>
  <c r="AH74" i="19"/>
  <c r="AH63" i="19"/>
  <c r="AH64" i="19"/>
  <c r="AH77" i="19"/>
  <c r="AH78" i="19"/>
  <c r="AH72" i="19"/>
  <c r="AH71" i="19"/>
  <c r="AH53" i="19"/>
  <c r="AH54" i="19"/>
  <c r="S44" i="19"/>
  <c r="S43" i="19"/>
  <c r="B46" i="19"/>
  <c r="B45" i="19"/>
  <c r="B43" i="19"/>
  <c r="B44" i="19"/>
  <c r="B38" i="19"/>
  <c r="B37" i="19"/>
  <c r="B51" i="19"/>
  <c r="B52" i="19"/>
  <c r="B70" i="19"/>
  <c r="B69" i="19"/>
  <c r="B33" i="19"/>
  <c r="C33" i="19" s="1"/>
  <c r="B34" i="19"/>
  <c r="C34" i="19" s="1"/>
  <c r="C4" i="19"/>
  <c r="B35" i="19"/>
  <c r="B36" i="19"/>
  <c r="B66" i="19"/>
  <c r="B65" i="19"/>
  <c r="B78" i="19"/>
  <c r="B77" i="19"/>
  <c r="B74" i="19"/>
  <c r="B73" i="19"/>
  <c r="B60" i="19"/>
  <c r="B59" i="19"/>
  <c r="B50" i="19"/>
  <c r="B49" i="19"/>
  <c r="B79" i="19"/>
  <c r="B80" i="19"/>
  <c r="B63" i="19"/>
  <c r="B64" i="19"/>
  <c r="B62" i="19"/>
  <c r="B61" i="19"/>
  <c r="E49" i="5"/>
  <c r="L49" i="5" s="1"/>
  <c r="D49" i="5"/>
  <c r="C50" i="5"/>
  <c r="F48" i="5"/>
  <c r="F34" i="3"/>
  <c r="E35" i="3"/>
  <c r="V36" i="3"/>
  <c r="U37" i="3"/>
  <c r="AK37" i="3"/>
  <c r="AL37" i="3" s="1"/>
  <c r="R2" i="2"/>
  <c r="B38" i="7"/>
  <c r="J2" i="2"/>
  <c r="B20" i="7"/>
  <c r="C22" i="7"/>
  <c r="H22" i="7" s="1"/>
  <c r="B50" i="12"/>
  <c r="C40" i="7"/>
  <c r="B51" i="12"/>
  <c r="B50" i="13"/>
  <c r="C27" i="7"/>
  <c r="H27" i="7" s="1"/>
  <c r="E5" i="11"/>
  <c r="H4" i="7"/>
  <c r="B51" i="13"/>
  <c r="C45" i="7"/>
  <c r="H45" i="7" s="1"/>
  <c r="E3" i="13" s="1"/>
  <c r="H47" i="7"/>
  <c r="H46" i="7"/>
  <c r="H11" i="7"/>
  <c r="B27" i="13" s="1"/>
  <c r="B30" i="13" s="1"/>
  <c r="H10" i="7"/>
  <c r="B27" i="12"/>
  <c r="B30" i="12" s="1"/>
  <c r="E6" i="11"/>
  <c r="H6" i="7"/>
  <c r="E12" i="11" s="1"/>
  <c r="H5" i="7"/>
  <c r="H29" i="7"/>
  <c r="H28" i="7"/>
  <c r="AU8" i="3"/>
  <c r="AQ7" i="3"/>
  <c r="N4" i="3"/>
  <c r="J4" i="3"/>
  <c r="K8" i="3" s="1"/>
  <c r="D83" i="4" l="1"/>
  <c r="AC31" i="4"/>
  <c r="AA83" i="4"/>
  <c r="C33" i="4"/>
  <c r="U22" i="38"/>
  <c r="F90" i="38" s="1"/>
  <c r="Z22" i="38"/>
  <c r="K90" i="38" s="1"/>
  <c r="S22" i="38"/>
  <c r="AA22" i="38"/>
  <c r="L90" i="38" s="1"/>
  <c r="V22" i="38"/>
  <c r="G90" i="38" s="1"/>
  <c r="AB22" i="38"/>
  <c r="M90" i="38" s="1"/>
  <c r="W22" i="38"/>
  <c r="H90" i="38" s="1"/>
  <c r="D32" i="4"/>
  <c r="E32" i="4"/>
  <c r="E84" i="4" s="1"/>
  <c r="E136" i="4" s="1"/>
  <c r="G32" i="4"/>
  <c r="G84" i="4" s="1"/>
  <c r="G136" i="4" s="1"/>
  <c r="F32" i="4"/>
  <c r="H32" i="4"/>
  <c r="H84" i="4" s="1"/>
  <c r="H136" i="4" s="1"/>
  <c r="I32" i="4"/>
  <c r="I84" i="4" s="1"/>
  <c r="I136" i="4" s="1"/>
  <c r="J32" i="4"/>
  <c r="K32" i="4"/>
  <c r="L32" i="4"/>
  <c r="L84" i="4" s="1"/>
  <c r="L136" i="4" s="1"/>
  <c r="M32" i="4"/>
  <c r="M84" i="4" s="1"/>
  <c r="N32" i="4"/>
  <c r="N84" i="4" s="1"/>
  <c r="N136" i="4" s="1"/>
  <c r="O32" i="4"/>
  <c r="O84" i="4" s="1"/>
  <c r="P32" i="4"/>
  <c r="P84" i="4" s="1"/>
  <c r="P136" i="4" s="1"/>
  <c r="Q32" i="4"/>
  <c r="Q84" i="4" s="1"/>
  <c r="R32" i="4"/>
  <c r="R84" i="4" s="1"/>
  <c r="S32" i="4"/>
  <c r="S84" i="4" s="1"/>
  <c r="T32" i="4"/>
  <c r="T84" i="4" s="1"/>
  <c r="T136" i="4" s="1"/>
  <c r="U32" i="4"/>
  <c r="U84" i="4" s="1"/>
  <c r="V32" i="4"/>
  <c r="V84" i="4" s="1"/>
  <c r="W32" i="4"/>
  <c r="W84" i="4" s="1"/>
  <c r="W136" i="4" s="1"/>
  <c r="X32" i="4"/>
  <c r="X84" i="4" s="1"/>
  <c r="Y32" i="4"/>
  <c r="Y84" i="4" s="1"/>
  <c r="Z32" i="4"/>
  <c r="Z84" i="4" s="1"/>
  <c r="Z136" i="4" s="1"/>
  <c r="AA32" i="4"/>
  <c r="AA84" i="4" s="1"/>
  <c r="AA136" i="4" s="1"/>
  <c r="AB32" i="4"/>
  <c r="AB84" i="4" s="1"/>
  <c r="AB136" i="4" s="1"/>
  <c r="D134" i="4"/>
  <c r="AC82" i="4"/>
  <c r="E19" i="13"/>
  <c r="E13" i="13"/>
  <c r="E7" i="13"/>
  <c r="E21" i="13"/>
  <c r="E15" i="13"/>
  <c r="E9" i="13"/>
  <c r="L4" i="11"/>
  <c r="E15" i="12"/>
  <c r="E21" i="12"/>
  <c r="E9" i="12"/>
  <c r="H40" i="7"/>
  <c r="L5" i="11"/>
  <c r="S45" i="19"/>
  <c r="S46" i="19"/>
  <c r="C35" i="19"/>
  <c r="C36" i="19"/>
  <c r="C38" i="19" s="1"/>
  <c r="E50" i="5"/>
  <c r="L50" i="5" s="1"/>
  <c r="D50" i="5"/>
  <c r="K50" i="5" s="1"/>
  <c r="U48" i="5"/>
  <c r="T48" i="5"/>
  <c r="F49" i="5"/>
  <c r="F35" i="3"/>
  <c r="E36" i="3"/>
  <c r="V37" i="3"/>
  <c r="U38" i="3"/>
  <c r="AK38" i="3"/>
  <c r="AL38" i="3" s="1"/>
  <c r="C50" i="7"/>
  <c r="AI9" i="3"/>
  <c r="AI11" i="3"/>
  <c r="AI10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S11" i="3"/>
  <c r="S10" i="3"/>
  <c r="S9" i="3"/>
  <c r="S13" i="3"/>
  <c r="S12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30" i="3"/>
  <c r="S29" i="3"/>
  <c r="C24" i="3"/>
  <c r="C25" i="3"/>
  <c r="C26" i="3"/>
  <c r="C27" i="3"/>
  <c r="C28" i="3"/>
  <c r="C30" i="3"/>
  <c r="C29" i="3"/>
  <c r="C10" i="3"/>
  <c r="C11" i="3"/>
  <c r="C9" i="3"/>
  <c r="C13" i="3"/>
  <c r="C12" i="3"/>
  <c r="C14" i="3"/>
  <c r="C15" i="3"/>
  <c r="C16" i="3"/>
  <c r="C17" i="3"/>
  <c r="C18" i="3"/>
  <c r="C19" i="3"/>
  <c r="C20" i="3"/>
  <c r="C21" i="3"/>
  <c r="C23" i="3"/>
  <c r="C22" i="3"/>
  <c r="B19" i="13"/>
  <c r="E22" i="13" s="1"/>
  <c r="B13" i="13"/>
  <c r="B16" i="13" s="1"/>
  <c r="E55" i="13"/>
  <c r="K20" i="2"/>
  <c r="O18" i="2"/>
  <c r="B67" i="12"/>
  <c r="B67" i="13"/>
  <c r="B68" i="12"/>
  <c r="B68" i="13"/>
  <c r="B65" i="13"/>
  <c r="K21" i="2"/>
  <c r="O20" i="2"/>
  <c r="B55" i="13"/>
  <c r="B65" i="12"/>
  <c r="O21" i="2"/>
  <c r="E55" i="12"/>
  <c r="K18" i="2"/>
  <c r="B55" i="12"/>
  <c r="B3" i="12"/>
  <c r="E11" i="11"/>
  <c r="B54" i="13"/>
  <c r="E54" i="13"/>
  <c r="B7" i="13"/>
  <c r="E54" i="12"/>
  <c r="B54" i="12"/>
  <c r="B43" i="12"/>
  <c r="B46" i="12" s="1"/>
  <c r="B37" i="12"/>
  <c r="B40" i="12" s="1"/>
  <c r="B34" i="12"/>
  <c r="F23" i="11"/>
  <c r="E23" i="11"/>
  <c r="F25" i="11"/>
  <c r="F24" i="11"/>
  <c r="E25" i="11"/>
  <c r="E24" i="11"/>
  <c r="B43" i="13"/>
  <c r="B46" i="13" s="1"/>
  <c r="B34" i="13"/>
  <c r="B37" i="13"/>
  <c r="B40" i="13" s="1"/>
  <c r="AU7" i="3"/>
  <c r="AU4" i="3" s="1"/>
  <c r="AQ8" i="3"/>
  <c r="AQ4" i="3" s="1"/>
  <c r="AE7" i="3"/>
  <c r="AE8" i="3"/>
  <c r="AA7" i="3"/>
  <c r="AA8" i="3"/>
  <c r="AI8" i="3"/>
  <c r="AI7" i="3"/>
  <c r="S7" i="3"/>
  <c r="S8" i="3"/>
  <c r="O7" i="3"/>
  <c r="K7" i="3"/>
  <c r="C8" i="3"/>
  <c r="O8" i="3"/>
  <c r="D90" i="38" l="1"/>
  <c r="O136" i="4"/>
  <c r="R136" i="4"/>
  <c r="C34" i="4"/>
  <c r="AB23" i="38"/>
  <c r="M91" i="38" s="1"/>
  <c r="X23" i="38"/>
  <c r="I91" i="38" s="1"/>
  <c r="T23" i="38"/>
  <c r="E91" i="38" s="1"/>
  <c r="AA23" i="38"/>
  <c r="L91" i="38" s="1"/>
  <c r="W23" i="38"/>
  <c r="H91" i="38" s="1"/>
  <c r="Y23" i="38"/>
  <c r="J91" i="38" s="1"/>
  <c r="S23" i="38"/>
  <c r="E33" i="4"/>
  <c r="E85" i="4" s="1"/>
  <c r="E137" i="4" s="1"/>
  <c r="D33" i="4"/>
  <c r="F33" i="4"/>
  <c r="F85" i="4" s="1"/>
  <c r="F137" i="4" s="1"/>
  <c r="G33" i="4"/>
  <c r="H33" i="4"/>
  <c r="I33" i="4"/>
  <c r="I85" i="4" s="1"/>
  <c r="I137" i="4" s="1"/>
  <c r="J33" i="4"/>
  <c r="J85" i="4" s="1"/>
  <c r="J137" i="4" s="1"/>
  <c r="K33" i="4"/>
  <c r="K85" i="4" s="1"/>
  <c r="K137" i="4" s="1"/>
  <c r="L33" i="4"/>
  <c r="M33" i="4"/>
  <c r="M85" i="4" s="1"/>
  <c r="M137" i="4" s="1"/>
  <c r="N33" i="4"/>
  <c r="N85" i="4" s="1"/>
  <c r="N137" i="4" s="1"/>
  <c r="O33" i="4"/>
  <c r="O85" i="4" s="1"/>
  <c r="O137" i="4" s="1"/>
  <c r="P33" i="4"/>
  <c r="P85" i="4" s="1"/>
  <c r="Q33" i="4"/>
  <c r="Q85" i="4" s="1"/>
  <c r="Q137" i="4" s="1"/>
  <c r="R33" i="4"/>
  <c r="R85" i="4" s="1"/>
  <c r="R137" i="4" s="1"/>
  <c r="S33" i="4"/>
  <c r="S85" i="4" s="1"/>
  <c r="S137" i="4" s="1"/>
  <c r="T33" i="4"/>
  <c r="T85" i="4" s="1"/>
  <c r="T137" i="4" s="1"/>
  <c r="U33" i="4"/>
  <c r="U85" i="4" s="1"/>
  <c r="U137" i="4" s="1"/>
  <c r="V33" i="4"/>
  <c r="V85" i="4" s="1"/>
  <c r="V137" i="4" s="1"/>
  <c r="W33" i="4"/>
  <c r="W85" i="4" s="1"/>
  <c r="X33" i="4"/>
  <c r="X85" i="4" s="1"/>
  <c r="X137" i="4" s="1"/>
  <c r="Y33" i="4"/>
  <c r="Y85" i="4" s="1"/>
  <c r="Y137" i="4" s="1"/>
  <c r="Z33" i="4"/>
  <c r="AA33" i="4"/>
  <c r="AA85" i="4" s="1"/>
  <c r="AA137" i="4" s="1"/>
  <c r="AB33" i="4"/>
  <c r="AB85" i="4" s="1"/>
  <c r="AB137" i="4" s="1"/>
  <c r="D135" i="4"/>
  <c r="X136" i="4"/>
  <c r="D84" i="4"/>
  <c r="AC32" i="4"/>
  <c r="AA135" i="4"/>
  <c r="S136" i="4"/>
  <c r="V136" i="4"/>
  <c r="Y136" i="4"/>
  <c r="U136" i="4"/>
  <c r="Q136" i="4"/>
  <c r="M136" i="4"/>
  <c r="L11" i="11"/>
  <c r="E3" i="12"/>
  <c r="M25" i="11"/>
  <c r="N25" i="11" s="1"/>
  <c r="K24" i="11"/>
  <c r="O24" i="11" s="1"/>
  <c r="K20" i="11"/>
  <c r="K23" i="11"/>
  <c r="O23" i="11" s="1"/>
  <c r="K25" i="11"/>
  <c r="O25" i="11" s="1"/>
  <c r="M23" i="11"/>
  <c r="N23" i="11" s="1"/>
  <c r="K18" i="11"/>
  <c r="M24" i="11"/>
  <c r="N24" i="11" s="1"/>
  <c r="K19" i="11"/>
  <c r="H50" i="7"/>
  <c r="L7" i="11"/>
  <c r="B26" i="14"/>
  <c r="B22" i="13"/>
  <c r="S48" i="19"/>
  <c r="S47" i="19"/>
  <c r="C40" i="19"/>
  <c r="C39" i="19"/>
  <c r="C37" i="19"/>
  <c r="C7" i="2"/>
  <c r="C12" i="2"/>
  <c r="C17" i="7"/>
  <c r="H17" i="7" s="1"/>
  <c r="O4" i="3"/>
  <c r="C14" i="7"/>
  <c r="B3" i="14" s="1"/>
  <c r="B18" i="14" s="1"/>
  <c r="B21" i="14" s="1"/>
  <c r="K4" i="3"/>
  <c r="E51" i="5"/>
  <c r="F51" i="5"/>
  <c r="F50" i="5"/>
  <c r="D51" i="5"/>
  <c r="F36" i="3"/>
  <c r="E37" i="3"/>
  <c r="V38" i="3"/>
  <c r="U39" i="3"/>
  <c r="S12" i="2"/>
  <c r="S7" i="2"/>
  <c r="K7" i="2"/>
  <c r="K12" i="2"/>
  <c r="S4" i="3"/>
  <c r="AK39" i="3"/>
  <c r="AL39" i="3" s="1"/>
  <c r="C4" i="3"/>
  <c r="AI4" i="3"/>
  <c r="C35" i="7"/>
  <c r="B25" i="15" s="1"/>
  <c r="AE4" i="3"/>
  <c r="C32" i="7"/>
  <c r="B28" i="14" s="1"/>
  <c r="B29" i="14" s="1"/>
  <c r="AA4" i="3"/>
  <c r="E16" i="13"/>
  <c r="O22" i="2"/>
  <c r="K22" i="2"/>
  <c r="B69" i="12"/>
  <c r="B69" i="13"/>
  <c r="E19" i="11"/>
  <c r="E20" i="11"/>
  <c r="F19" i="11"/>
  <c r="E18" i="11"/>
  <c r="F18" i="11"/>
  <c r="F20" i="11"/>
  <c r="B10" i="13"/>
  <c r="E10" i="13"/>
  <c r="B13" i="12"/>
  <c r="B19" i="12"/>
  <c r="B7" i="12"/>
  <c r="B56" i="12"/>
  <c r="C53" i="7"/>
  <c r="B56" i="13"/>
  <c r="D91" i="38" l="1"/>
  <c r="AA24" i="38"/>
  <c r="L92" i="38" s="1"/>
  <c r="S24" i="38"/>
  <c r="X24" i="38"/>
  <c r="I92" i="38" s="1"/>
  <c r="AB24" i="38"/>
  <c r="M92" i="38" s="1"/>
  <c r="Y24" i="38"/>
  <c r="J92" i="38" s="1"/>
  <c r="D34" i="4"/>
  <c r="E34" i="4"/>
  <c r="E86" i="4" s="1"/>
  <c r="E138" i="4" s="1"/>
  <c r="C35" i="4"/>
  <c r="F34" i="4"/>
  <c r="G34" i="4"/>
  <c r="H34" i="4"/>
  <c r="I34" i="4"/>
  <c r="J34" i="4"/>
  <c r="J86" i="4" s="1"/>
  <c r="J138" i="4" s="1"/>
  <c r="K34" i="4"/>
  <c r="K86" i="4" s="1"/>
  <c r="K138" i="4" s="1"/>
  <c r="L34" i="4"/>
  <c r="M34" i="4"/>
  <c r="M86" i="4" s="1"/>
  <c r="N34" i="4"/>
  <c r="N86" i="4" s="1"/>
  <c r="N138" i="4" s="1"/>
  <c r="O34" i="4"/>
  <c r="O86" i="4" s="1"/>
  <c r="P34" i="4"/>
  <c r="P86" i="4" s="1"/>
  <c r="P138" i="4" s="1"/>
  <c r="Q34" i="4"/>
  <c r="Q86" i="4" s="1"/>
  <c r="R34" i="4"/>
  <c r="R86" i="4" s="1"/>
  <c r="S34" i="4"/>
  <c r="S86" i="4" s="1"/>
  <c r="S138" i="4" s="1"/>
  <c r="T34" i="4"/>
  <c r="T86" i="4" s="1"/>
  <c r="T138" i="4" s="1"/>
  <c r="U34" i="4"/>
  <c r="U86" i="4" s="1"/>
  <c r="V34" i="4"/>
  <c r="V86" i="4" s="1"/>
  <c r="W34" i="4"/>
  <c r="W86" i="4" s="1"/>
  <c r="W138" i="4" s="1"/>
  <c r="X34" i="4"/>
  <c r="X86" i="4" s="1"/>
  <c r="Y34" i="4"/>
  <c r="Y86" i="4" s="1"/>
  <c r="Z34" i="4"/>
  <c r="Z86" i="4" s="1"/>
  <c r="Z138" i="4" s="1"/>
  <c r="AA34" i="4"/>
  <c r="AA86" i="4" s="1"/>
  <c r="AB34" i="4"/>
  <c r="AB86" i="4" s="1"/>
  <c r="AB138" i="4" s="1"/>
  <c r="P137" i="4"/>
  <c r="W137" i="4"/>
  <c r="Z85" i="4"/>
  <c r="D136" i="4"/>
  <c r="D85" i="4"/>
  <c r="AC33" i="4"/>
  <c r="E13" i="12"/>
  <c r="E16" i="12" s="1"/>
  <c r="E7" i="12"/>
  <c r="E10" i="12" s="1"/>
  <c r="E19" i="12"/>
  <c r="N20" i="11"/>
  <c r="O19" i="11"/>
  <c r="N18" i="11"/>
  <c r="N19" i="11"/>
  <c r="O20" i="11"/>
  <c r="O18" i="11"/>
  <c r="B3" i="15"/>
  <c r="B28" i="15"/>
  <c r="B29" i="15" s="1"/>
  <c r="K15" i="5"/>
  <c r="L23" i="5"/>
  <c r="L27" i="5"/>
  <c r="L33" i="5"/>
  <c r="L17" i="5"/>
  <c r="L24" i="5"/>
  <c r="L25" i="5"/>
  <c r="L26" i="5"/>
  <c r="L29" i="5"/>
  <c r="L30" i="5"/>
  <c r="L32" i="5"/>
  <c r="L38" i="5"/>
  <c r="K38" i="5"/>
  <c r="K40" i="5"/>
  <c r="K43" i="5"/>
  <c r="K44" i="5"/>
  <c r="K45" i="5"/>
  <c r="M45" i="5" s="1"/>
  <c r="K46" i="5"/>
  <c r="M46" i="5" s="1"/>
  <c r="K49" i="5"/>
  <c r="L6" i="5"/>
  <c r="M6" i="5" s="1"/>
  <c r="L9" i="5"/>
  <c r="M9" i="5" s="1"/>
  <c r="K11" i="5"/>
  <c r="L14" i="5"/>
  <c r="L18" i="5"/>
  <c r="L19" i="5"/>
  <c r="L20" i="5"/>
  <c r="K20" i="5"/>
  <c r="L22" i="5"/>
  <c r="L28" i="5"/>
  <c r="B12" i="14"/>
  <c r="B15" i="14" s="1"/>
  <c r="H32" i="7"/>
  <c r="S49" i="19"/>
  <c r="S50" i="19"/>
  <c r="C41" i="19"/>
  <c r="C42" i="19"/>
  <c r="H14" i="7"/>
  <c r="E13" i="11" s="1"/>
  <c r="F28" i="11" s="1"/>
  <c r="B6" i="14"/>
  <c r="B9" i="14" s="1"/>
  <c r="E7" i="11"/>
  <c r="L7" i="5"/>
  <c r="K7" i="5"/>
  <c r="K10" i="5"/>
  <c r="L11" i="5"/>
  <c r="L12" i="5"/>
  <c r="L15" i="5"/>
  <c r="L16" i="5"/>
  <c r="K16" i="5"/>
  <c r="K17" i="5"/>
  <c r="K18" i="5"/>
  <c r="K19" i="5"/>
  <c r="L21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9" i="5"/>
  <c r="K41" i="5"/>
  <c r="K42" i="5"/>
  <c r="K47" i="5"/>
  <c r="U50" i="5"/>
  <c r="T50" i="5"/>
  <c r="U56" i="5"/>
  <c r="U57" i="5" s="1"/>
  <c r="M8" i="5"/>
  <c r="M50" i="5"/>
  <c r="AB50" i="5" s="1"/>
  <c r="AI50" i="5" s="1"/>
  <c r="U54" i="5"/>
  <c r="F37" i="3"/>
  <c r="E38" i="3"/>
  <c r="U40" i="3"/>
  <c r="V39" i="3"/>
  <c r="AK40" i="3"/>
  <c r="AL40" i="3" s="1"/>
  <c r="H35" i="7"/>
  <c r="B25" i="14"/>
  <c r="B27" i="14" s="1"/>
  <c r="B30" i="14" s="1"/>
  <c r="B33" i="14" s="1"/>
  <c r="H53" i="7"/>
  <c r="B26" i="15"/>
  <c r="B27" i="15" s="1"/>
  <c r="B12" i="15"/>
  <c r="B15" i="15" s="1"/>
  <c r="B18" i="15"/>
  <c r="B21" i="15" s="1"/>
  <c r="B6" i="15"/>
  <c r="B9" i="15" s="1"/>
  <c r="E27" i="11"/>
  <c r="B10" i="12"/>
  <c r="E56" i="13"/>
  <c r="E59" i="13" s="1"/>
  <c r="B59" i="13"/>
  <c r="B16" i="12"/>
  <c r="E56" i="12"/>
  <c r="E59" i="12" s="1"/>
  <c r="B59" i="12"/>
  <c r="E22" i="12"/>
  <c r="B22" i="12"/>
  <c r="D92" i="38" l="1"/>
  <c r="AA138" i="4"/>
  <c r="O138" i="4"/>
  <c r="D86" i="4"/>
  <c r="AC34" i="4"/>
  <c r="D137" i="4"/>
  <c r="V138" i="4"/>
  <c r="Z137" i="4"/>
  <c r="Y138" i="4"/>
  <c r="U138" i="4"/>
  <c r="Q138" i="4"/>
  <c r="M138" i="4"/>
  <c r="D35" i="4"/>
  <c r="C36" i="4"/>
  <c r="F35" i="4"/>
  <c r="F87" i="4" s="1"/>
  <c r="F139" i="4" s="1"/>
  <c r="E35" i="4"/>
  <c r="E87" i="4" s="1"/>
  <c r="E139" i="4" s="1"/>
  <c r="G35" i="4"/>
  <c r="G87" i="4" s="1"/>
  <c r="G139" i="4" s="1"/>
  <c r="H35" i="4"/>
  <c r="H87" i="4" s="1"/>
  <c r="H139" i="4" s="1"/>
  <c r="I35" i="4"/>
  <c r="I87" i="4" s="1"/>
  <c r="I139" i="4" s="1"/>
  <c r="J35" i="4"/>
  <c r="J87" i="4" s="1"/>
  <c r="J139" i="4" s="1"/>
  <c r="K35" i="4"/>
  <c r="K87" i="4" s="1"/>
  <c r="K139" i="4" s="1"/>
  <c r="L35" i="4"/>
  <c r="L87" i="4" s="1"/>
  <c r="L139" i="4" s="1"/>
  <c r="M35" i="4"/>
  <c r="M87" i="4" s="1"/>
  <c r="M139" i="4" s="1"/>
  <c r="N35" i="4"/>
  <c r="N87" i="4" s="1"/>
  <c r="N139" i="4" s="1"/>
  <c r="O35" i="4"/>
  <c r="O87" i="4" s="1"/>
  <c r="O139" i="4" s="1"/>
  <c r="P35" i="4"/>
  <c r="P87" i="4" s="1"/>
  <c r="Q35" i="4"/>
  <c r="Q87" i="4" s="1"/>
  <c r="Q139" i="4" s="1"/>
  <c r="R35" i="4"/>
  <c r="R87" i="4" s="1"/>
  <c r="R139" i="4" s="1"/>
  <c r="S35" i="4"/>
  <c r="S87" i="4" s="1"/>
  <c r="S139" i="4" s="1"/>
  <c r="T35" i="4"/>
  <c r="T87" i="4" s="1"/>
  <c r="T139" i="4" s="1"/>
  <c r="U35" i="4"/>
  <c r="U87" i="4" s="1"/>
  <c r="U139" i="4" s="1"/>
  <c r="V35" i="4"/>
  <c r="V87" i="4" s="1"/>
  <c r="V139" i="4" s="1"/>
  <c r="W35" i="4"/>
  <c r="W87" i="4" s="1"/>
  <c r="W139" i="4" s="1"/>
  <c r="X35" i="4"/>
  <c r="X87" i="4" s="1"/>
  <c r="X139" i="4" s="1"/>
  <c r="Y35" i="4"/>
  <c r="Y87" i="4" s="1"/>
  <c r="Y139" i="4" s="1"/>
  <c r="Z35" i="4"/>
  <c r="Z87" i="4" s="1"/>
  <c r="Z139" i="4" s="1"/>
  <c r="AA35" i="4"/>
  <c r="AA87" i="4" s="1"/>
  <c r="AA139" i="4" s="1"/>
  <c r="AB35" i="4"/>
  <c r="AB87" i="4" s="1"/>
  <c r="AB139" i="4" s="1"/>
  <c r="R138" i="4"/>
  <c r="X138" i="4"/>
  <c r="B30" i="15"/>
  <c r="B33" i="15" s="1"/>
  <c r="E29" i="11"/>
  <c r="F27" i="11"/>
  <c r="E28" i="11"/>
  <c r="M38" i="5"/>
  <c r="S52" i="19"/>
  <c r="S51" i="19"/>
  <c r="C43" i="19"/>
  <c r="C44" i="19"/>
  <c r="F29" i="11"/>
  <c r="AA8" i="5"/>
  <c r="AB8" i="5"/>
  <c r="AI8" i="5" s="1"/>
  <c r="M43" i="5"/>
  <c r="AA50" i="5"/>
  <c r="AH50" i="5" s="1"/>
  <c r="AJ50" i="5" s="1"/>
  <c r="M49" i="5"/>
  <c r="M37" i="5"/>
  <c r="M20" i="5"/>
  <c r="AB9" i="5"/>
  <c r="AI9" i="5" s="1"/>
  <c r="U9" i="5" s="1"/>
  <c r="M40" i="5"/>
  <c r="M14" i="5"/>
  <c r="M48" i="5"/>
  <c r="M44" i="5"/>
  <c r="M13" i="5"/>
  <c r="M41" i="5"/>
  <c r="M30" i="5"/>
  <c r="M26" i="5"/>
  <c r="M22" i="5"/>
  <c r="M15" i="5"/>
  <c r="L51" i="5"/>
  <c r="AB45" i="5" s="1"/>
  <c r="AI45" i="5" s="1"/>
  <c r="U45" i="5" s="1"/>
  <c r="M42" i="5"/>
  <c r="M35" i="5"/>
  <c r="M31" i="5"/>
  <c r="M27" i="5"/>
  <c r="M23" i="5"/>
  <c r="M19" i="5"/>
  <c r="M10" i="5"/>
  <c r="M36" i="5"/>
  <c r="M32" i="5"/>
  <c r="M28" i="5"/>
  <c r="M24" i="5"/>
  <c r="M16" i="5"/>
  <c r="M11" i="5"/>
  <c r="M39" i="5"/>
  <c r="M33" i="5"/>
  <c r="M29" i="5"/>
  <c r="M25" i="5"/>
  <c r="M21" i="5"/>
  <c r="M17" i="5"/>
  <c r="M12" i="5"/>
  <c r="M7" i="5"/>
  <c r="M51" i="5"/>
  <c r="K51" i="5"/>
  <c r="AA9" i="5" s="1"/>
  <c r="M34" i="5"/>
  <c r="M18" i="5"/>
  <c r="M47" i="5"/>
  <c r="F38" i="3"/>
  <c r="E39" i="3"/>
  <c r="U41" i="3"/>
  <c r="V40" i="3"/>
  <c r="AK41" i="3"/>
  <c r="AL41" i="3" s="1"/>
  <c r="D87" i="4" l="1"/>
  <c r="AC35" i="4"/>
  <c r="P139" i="4"/>
  <c r="U25" i="38"/>
  <c r="F93" i="38" s="1"/>
  <c r="AA25" i="38"/>
  <c r="L93" i="38" s="1"/>
  <c r="Z25" i="38"/>
  <c r="K93" i="38" s="1"/>
  <c r="T25" i="38"/>
  <c r="E93" i="38" s="1"/>
  <c r="W25" i="38"/>
  <c r="H93" i="38" s="1"/>
  <c r="S25" i="38"/>
  <c r="AB25" i="38"/>
  <c r="M93" i="38" s="1"/>
  <c r="X25" i="38"/>
  <c r="I93" i="38" s="1"/>
  <c r="C37" i="4"/>
  <c r="G36" i="4"/>
  <c r="G88" i="4" s="1"/>
  <c r="G140" i="4" s="1"/>
  <c r="H36" i="4"/>
  <c r="E36" i="4"/>
  <c r="E88" i="4" s="1"/>
  <c r="E140" i="4" s="1"/>
  <c r="I36" i="4"/>
  <c r="I88" i="4" s="1"/>
  <c r="I140" i="4" s="1"/>
  <c r="D36" i="4"/>
  <c r="F36" i="4"/>
  <c r="F88" i="4" s="1"/>
  <c r="F140" i="4" s="1"/>
  <c r="J36" i="4"/>
  <c r="J88" i="4" s="1"/>
  <c r="J140" i="4" s="1"/>
  <c r="K36" i="4"/>
  <c r="L36" i="4"/>
  <c r="L88" i="4" s="1"/>
  <c r="L140" i="4" s="1"/>
  <c r="M36" i="4"/>
  <c r="M88" i="4" s="1"/>
  <c r="M140" i="4" s="1"/>
  <c r="N36" i="4"/>
  <c r="N88" i="4" s="1"/>
  <c r="N140" i="4" s="1"/>
  <c r="O36" i="4"/>
  <c r="O88" i="4" s="1"/>
  <c r="O140" i="4" s="1"/>
  <c r="P36" i="4"/>
  <c r="P88" i="4" s="1"/>
  <c r="P140" i="4" s="1"/>
  <c r="Q36" i="4"/>
  <c r="Q88" i="4" s="1"/>
  <c r="R36" i="4"/>
  <c r="R88" i="4" s="1"/>
  <c r="S36" i="4"/>
  <c r="S88" i="4" s="1"/>
  <c r="S140" i="4" s="1"/>
  <c r="T36" i="4"/>
  <c r="T88" i="4" s="1"/>
  <c r="U36" i="4"/>
  <c r="U88" i="4" s="1"/>
  <c r="U140" i="4" s="1"/>
  <c r="V36" i="4"/>
  <c r="V88" i="4" s="1"/>
  <c r="W36" i="4"/>
  <c r="W88" i="4" s="1"/>
  <c r="W140" i="4" s="1"/>
  <c r="X36" i="4"/>
  <c r="X88" i="4" s="1"/>
  <c r="Y36" i="4"/>
  <c r="Y88" i="4" s="1"/>
  <c r="Z36" i="4"/>
  <c r="Z88" i="4" s="1"/>
  <c r="Z140" i="4" s="1"/>
  <c r="AA36" i="4"/>
  <c r="AA88" i="4" s="1"/>
  <c r="AA140" i="4" s="1"/>
  <c r="AB36" i="4"/>
  <c r="AB88" i="4" s="1"/>
  <c r="AB140" i="4" s="1"/>
  <c r="D138" i="4"/>
  <c r="AA6" i="5"/>
  <c r="AH6" i="5" s="1"/>
  <c r="AA46" i="5"/>
  <c r="AB6" i="5"/>
  <c r="AI6" i="5" s="1"/>
  <c r="U6" i="5" s="1"/>
  <c r="AB46" i="5"/>
  <c r="AI46" i="5" s="1"/>
  <c r="U46" i="5" s="1"/>
  <c r="AB38" i="5"/>
  <c r="AI38" i="5" s="1"/>
  <c r="U38" i="5" s="1"/>
  <c r="AA38" i="5"/>
  <c r="AH38" i="5" s="1"/>
  <c r="AA45" i="5"/>
  <c r="AH45" i="5" s="1"/>
  <c r="S54" i="19"/>
  <c r="S53" i="19"/>
  <c r="C45" i="19"/>
  <c r="C46" i="19"/>
  <c r="AA44" i="5"/>
  <c r="AB44" i="5"/>
  <c r="AI44" i="5" s="1"/>
  <c r="U44" i="5" s="1"/>
  <c r="AH9" i="5"/>
  <c r="AC9" i="5"/>
  <c r="AB49" i="5"/>
  <c r="AI49" i="5" s="1"/>
  <c r="U49" i="5" s="1"/>
  <c r="AA49" i="5"/>
  <c r="AH46" i="5"/>
  <c r="AH8" i="5"/>
  <c r="AJ8" i="5" s="1"/>
  <c r="AC8" i="5"/>
  <c r="AB13" i="5"/>
  <c r="AI13" i="5" s="1"/>
  <c r="AA13" i="5"/>
  <c r="AA40" i="5"/>
  <c r="AB40" i="5"/>
  <c r="AI40" i="5" s="1"/>
  <c r="U40" i="5" s="1"/>
  <c r="AB37" i="5"/>
  <c r="AI37" i="5" s="1"/>
  <c r="AA37" i="5"/>
  <c r="AA14" i="5"/>
  <c r="AB14" i="5"/>
  <c r="AI14" i="5" s="1"/>
  <c r="U14" i="5" s="1"/>
  <c r="AA20" i="5"/>
  <c r="AB20" i="5"/>
  <c r="AI20" i="5" s="1"/>
  <c r="U20" i="5" s="1"/>
  <c r="AB43" i="5"/>
  <c r="AI43" i="5" s="1"/>
  <c r="U43" i="5" s="1"/>
  <c r="AA43" i="5"/>
  <c r="AC50" i="5"/>
  <c r="AA48" i="5"/>
  <c r="AB48" i="5"/>
  <c r="AI48" i="5" s="1"/>
  <c r="AB18" i="5"/>
  <c r="AA18" i="5"/>
  <c r="AH18" i="5" s="1"/>
  <c r="T18" i="5" s="1"/>
  <c r="AA25" i="5"/>
  <c r="AH25" i="5" s="1"/>
  <c r="T25" i="5" s="1"/>
  <c r="AB25" i="5"/>
  <c r="AB28" i="5"/>
  <c r="AA28" i="5"/>
  <c r="AH28" i="5" s="1"/>
  <c r="T28" i="5" s="1"/>
  <c r="AB31" i="5"/>
  <c r="AA31" i="5"/>
  <c r="AH31" i="5" s="1"/>
  <c r="T31" i="5" s="1"/>
  <c r="AB26" i="5"/>
  <c r="AA26" i="5"/>
  <c r="AH26" i="5" s="1"/>
  <c r="T26" i="5" s="1"/>
  <c r="AA47" i="5"/>
  <c r="AB47" i="5"/>
  <c r="AI47" i="5" s="1"/>
  <c r="U47" i="5" s="1"/>
  <c r="AA21" i="5"/>
  <c r="AH21" i="5" s="1"/>
  <c r="T21" i="5" s="1"/>
  <c r="AB21" i="5"/>
  <c r="AB34" i="5"/>
  <c r="AA34" i="5"/>
  <c r="AH34" i="5" s="1"/>
  <c r="T34" i="5" s="1"/>
  <c r="AB12" i="5"/>
  <c r="AI12" i="5" s="1"/>
  <c r="U12" i="5" s="1"/>
  <c r="AA12" i="5"/>
  <c r="AH12" i="5" s="1"/>
  <c r="T12" i="5" s="1"/>
  <c r="AA29" i="5"/>
  <c r="AB29" i="5"/>
  <c r="AA11" i="5"/>
  <c r="AH11" i="5" s="1"/>
  <c r="T11" i="5" s="1"/>
  <c r="AB11" i="5"/>
  <c r="AI11" i="5" s="1"/>
  <c r="U11" i="5" s="1"/>
  <c r="AB32" i="5"/>
  <c r="AA32" i="5"/>
  <c r="AH32" i="5" s="1"/>
  <c r="T32" i="5" s="1"/>
  <c r="AA19" i="5"/>
  <c r="AH19" i="5" s="1"/>
  <c r="T19" i="5" s="1"/>
  <c r="AB19" i="5"/>
  <c r="AB30" i="5"/>
  <c r="AA30" i="5"/>
  <c r="AH30" i="5" s="1"/>
  <c r="T30" i="5" s="1"/>
  <c r="AB7" i="5"/>
  <c r="AA7" i="5"/>
  <c r="AH7" i="5" s="1"/>
  <c r="T7" i="5" s="1"/>
  <c r="AA39" i="5"/>
  <c r="AB39" i="5"/>
  <c r="AI39" i="5" s="1"/>
  <c r="U39" i="5" s="1"/>
  <c r="AB10" i="5"/>
  <c r="AA10" i="5"/>
  <c r="AH10" i="5" s="1"/>
  <c r="T10" i="5" s="1"/>
  <c r="AB24" i="5"/>
  <c r="AA24" i="5"/>
  <c r="AH24" i="5" s="1"/>
  <c r="T24" i="5" s="1"/>
  <c r="AB27" i="5"/>
  <c r="AA27" i="5"/>
  <c r="AH27" i="5" s="1"/>
  <c r="T27" i="5" s="1"/>
  <c r="AB42" i="5"/>
  <c r="AI42" i="5" s="1"/>
  <c r="AA42" i="5"/>
  <c r="AH42" i="5" s="1"/>
  <c r="T42" i="5" s="1"/>
  <c r="AB22" i="5"/>
  <c r="AA22" i="5"/>
  <c r="AH22" i="5" s="1"/>
  <c r="T22" i="5" s="1"/>
  <c r="AA17" i="5"/>
  <c r="AB17" i="5"/>
  <c r="AA33" i="5"/>
  <c r="AH33" i="5" s="1"/>
  <c r="T33" i="5" s="1"/>
  <c r="AB33" i="5"/>
  <c r="AB16" i="5"/>
  <c r="AA16" i="5"/>
  <c r="AH16" i="5" s="1"/>
  <c r="T16" i="5" s="1"/>
  <c r="AB36" i="5"/>
  <c r="AI36" i="5" s="1"/>
  <c r="U36" i="5" s="1"/>
  <c r="AA36" i="5"/>
  <c r="AH36" i="5" s="1"/>
  <c r="T36" i="5" s="1"/>
  <c r="AB23" i="5"/>
  <c r="AA23" i="5"/>
  <c r="AH23" i="5" s="1"/>
  <c r="T23" i="5" s="1"/>
  <c r="AB35" i="5"/>
  <c r="AI35" i="5" s="1"/>
  <c r="U35" i="5" s="1"/>
  <c r="AA35" i="5"/>
  <c r="AH35" i="5" s="1"/>
  <c r="T35" i="5" s="1"/>
  <c r="AB15" i="5"/>
  <c r="AI15" i="5" s="1"/>
  <c r="U15" i="5" s="1"/>
  <c r="AA15" i="5"/>
  <c r="AH15" i="5" s="1"/>
  <c r="T15" i="5" s="1"/>
  <c r="AB41" i="5"/>
  <c r="AI41" i="5" s="1"/>
  <c r="U41" i="5" s="1"/>
  <c r="AA41" i="5"/>
  <c r="AH41" i="5" s="1"/>
  <c r="T41" i="5" s="1"/>
  <c r="E40" i="3"/>
  <c r="F39" i="3"/>
  <c r="U42" i="3"/>
  <c r="V41" i="3"/>
  <c r="AK42" i="3"/>
  <c r="AL42" i="3" s="1"/>
  <c r="D93" i="38" l="1"/>
  <c r="R140" i="4"/>
  <c r="Y140" i="4"/>
  <c r="Q140" i="4"/>
  <c r="D139" i="4"/>
  <c r="AC87" i="4"/>
  <c r="X140" i="4"/>
  <c r="T140" i="4"/>
  <c r="D88" i="4"/>
  <c r="AC36" i="4"/>
  <c r="V140" i="4"/>
  <c r="AB26" i="38"/>
  <c r="M94" i="38" s="1"/>
  <c r="X26" i="38"/>
  <c r="I94" i="38" s="1"/>
  <c r="T26" i="38"/>
  <c r="E94" i="38" s="1"/>
  <c r="W26" i="38"/>
  <c r="H94" i="38" s="1"/>
  <c r="AA26" i="38"/>
  <c r="L94" i="38" s="1"/>
  <c r="S26" i="38"/>
  <c r="Y26" i="38"/>
  <c r="J94" i="38" s="1"/>
  <c r="U26" i="38"/>
  <c r="F94" i="38" s="1"/>
  <c r="Z26" i="38"/>
  <c r="K94" i="38" s="1"/>
  <c r="E37" i="4"/>
  <c r="E89" i="4" s="1"/>
  <c r="E141" i="4" s="1"/>
  <c r="H37" i="4"/>
  <c r="C38" i="4"/>
  <c r="G37" i="4"/>
  <c r="G89" i="4" s="1"/>
  <c r="G141" i="4" s="1"/>
  <c r="D37" i="4"/>
  <c r="I37" i="4"/>
  <c r="I89" i="4" s="1"/>
  <c r="I141" i="4" s="1"/>
  <c r="F37" i="4"/>
  <c r="F89" i="4" s="1"/>
  <c r="F141" i="4" s="1"/>
  <c r="J37" i="4"/>
  <c r="J89" i="4" s="1"/>
  <c r="J141" i="4" s="1"/>
  <c r="K37" i="4"/>
  <c r="K89" i="4" s="1"/>
  <c r="K141" i="4" s="1"/>
  <c r="L37" i="4"/>
  <c r="L89" i="4" s="1"/>
  <c r="L141" i="4" s="1"/>
  <c r="M37" i="4"/>
  <c r="M89" i="4" s="1"/>
  <c r="M141" i="4" s="1"/>
  <c r="N37" i="4"/>
  <c r="N89" i="4" s="1"/>
  <c r="N141" i="4" s="1"/>
  <c r="O37" i="4"/>
  <c r="O89" i="4" s="1"/>
  <c r="O141" i="4" s="1"/>
  <c r="P37" i="4"/>
  <c r="P89" i="4" s="1"/>
  <c r="Q37" i="4"/>
  <c r="Q89" i="4" s="1"/>
  <c r="Q141" i="4" s="1"/>
  <c r="R37" i="4"/>
  <c r="R89" i="4" s="1"/>
  <c r="R141" i="4" s="1"/>
  <c r="S37" i="4"/>
  <c r="S89" i="4" s="1"/>
  <c r="S141" i="4" s="1"/>
  <c r="T37" i="4"/>
  <c r="T89" i="4" s="1"/>
  <c r="T141" i="4" s="1"/>
  <c r="U37" i="4"/>
  <c r="U89" i="4" s="1"/>
  <c r="U141" i="4" s="1"/>
  <c r="V37" i="4"/>
  <c r="V89" i="4" s="1"/>
  <c r="V141" i="4" s="1"/>
  <c r="W37" i="4"/>
  <c r="W89" i="4" s="1"/>
  <c r="W141" i="4" s="1"/>
  <c r="X37" i="4"/>
  <c r="X89" i="4" s="1"/>
  <c r="X141" i="4" s="1"/>
  <c r="Y37" i="4"/>
  <c r="Y89" i="4" s="1"/>
  <c r="Y141" i="4" s="1"/>
  <c r="Z37" i="4"/>
  <c r="Z89" i="4" s="1"/>
  <c r="Z141" i="4" s="1"/>
  <c r="AA37" i="4"/>
  <c r="AA89" i="4" s="1"/>
  <c r="AB37" i="4"/>
  <c r="AB89" i="4" s="1"/>
  <c r="AB141" i="4" s="1"/>
  <c r="AC6" i="5"/>
  <c r="AC46" i="5"/>
  <c r="AC38" i="5"/>
  <c r="AC45" i="5"/>
  <c r="AJ45" i="5"/>
  <c r="T45" i="5"/>
  <c r="AJ46" i="5"/>
  <c r="T46" i="5"/>
  <c r="AJ38" i="5"/>
  <c r="T38" i="5"/>
  <c r="AJ6" i="5"/>
  <c r="T6" i="5"/>
  <c r="AJ9" i="5"/>
  <c r="T9" i="5"/>
  <c r="S55" i="19"/>
  <c r="S56" i="19"/>
  <c r="C47" i="19"/>
  <c r="C48" i="19"/>
  <c r="AH43" i="5"/>
  <c r="AC43" i="5"/>
  <c r="AC20" i="5"/>
  <c r="AH20" i="5"/>
  <c r="AH37" i="5"/>
  <c r="AJ37" i="5" s="1"/>
  <c r="AC37" i="5"/>
  <c r="AH13" i="5"/>
  <c r="AJ13" i="5" s="1"/>
  <c r="AC13" i="5"/>
  <c r="AH14" i="5"/>
  <c r="AC14" i="5"/>
  <c r="AH40" i="5"/>
  <c r="AC40" i="5"/>
  <c r="AH44" i="5"/>
  <c r="AC44" i="5"/>
  <c r="AH49" i="5"/>
  <c r="AC49" i="5"/>
  <c r="AH48" i="5"/>
  <c r="AJ48" i="5" s="1"/>
  <c r="AC48" i="5"/>
  <c r="AJ42" i="5"/>
  <c r="U42" i="5"/>
  <c r="AC32" i="5"/>
  <c r="AC25" i="5"/>
  <c r="AC30" i="5"/>
  <c r="AJ11" i="5"/>
  <c r="AI22" i="5"/>
  <c r="AI27" i="5"/>
  <c r="U27" i="5" s="1"/>
  <c r="AI10" i="5"/>
  <c r="AI7" i="5"/>
  <c r="U7" i="5" s="1"/>
  <c r="AI26" i="5"/>
  <c r="AI28" i="5"/>
  <c r="U28" i="5" s="1"/>
  <c r="AI18" i="5"/>
  <c r="AI33" i="5"/>
  <c r="U33" i="5" s="1"/>
  <c r="AI19" i="5"/>
  <c r="U19" i="5" s="1"/>
  <c r="AI21" i="5"/>
  <c r="U21" i="5" s="1"/>
  <c r="AI23" i="5"/>
  <c r="U23" i="5" s="1"/>
  <c r="AI16" i="5"/>
  <c r="AC17" i="5"/>
  <c r="AH17" i="5"/>
  <c r="T17" i="5" s="1"/>
  <c r="AI24" i="5"/>
  <c r="U24" i="5" s="1"/>
  <c r="AC39" i="5"/>
  <c r="AH39" i="5"/>
  <c r="AI30" i="5"/>
  <c r="AI32" i="5"/>
  <c r="U32" i="5" s="1"/>
  <c r="AC29" i="5"/>
  <c r="AH29" i="5"/>
  <c r="T29" i="5" s="1"/>
  <c r="AI34" i="5"/>
  <c r="AC47" i="5"/>
  <c r="AH47" i="5"/>
  <c r="AI31" i="5"/>
  <c r="U31" i="5" s="1"/>
  <c r="AI17" i="5"/>
  <c r="U17" i="5" s="1"/>
  <c r="AI29" i="5"/>
  <c r="U29" i="5" s="1"/>
  <c r="AI25" i="5"/>
  <c r="AA51" i="5"/>
  <c r="AJ41" i="5"/>
  <c r="AJ35" i="5"/>
  <c r="AJ36" i="5"/>
  <c r="AJ12" i="5"/>
  <c r="AC19" i="5"/>
  <c r="AJ15" i="5"/>
  <c r="AC18" i="5"/>
  <c r="AC41" i="5"/>
  <c r="AC35" i="5"/>
  <c r="AC36" i="5"/>
  <c r="AC27" i="5"/>
  <c r="AC10" i="5"/>
  <c r="AB51" i="5"/>
  <c r="AC28" i="5"/>
  <c r="AC22" i="5"/>
  <c r="AC23" i="5"/>
  <c r="AC7" i="5"/>
  <c r="AC51" i="5"/>
  <c r="AC15" i="5"/>
  <c r="AC11" i="5"/>
  <c r="AC26" i="5"/>
  <c r="AC16" i="5"/>
  <c r="AC42" i="5"/>
  <c r="AC33" i="5"/>
  <c r="AC12" i="5"/>
  <c r="AC21" i="5"/>
  <c r="AC31" i="5"/>
  <c r="AC24" i="5"/>
  <c r="AC34" i="5"/>
  <c r="F40" i="3"/>
  <c r="E41" i="3"/>
  <c r="V42" i="3"/>
  <c r="U43" i="3"/>
  <c r="AK43" i="3"/>
  <c r="AL43" i="3" s="1"/>
  <c r="D94" i="38" l="1"/>
  <c r="P141" i="4"/>
  <c r="AA141" i="4"/>
  <c r="D140" i="4"/>
  <c r="D89" i="4"/>
  <c r="AC37" i="4"/>
  <c r="AA27" i="38"/>
  <c r="L95" i="38" s="1"/>
  <c r="S27" i="38"/>
  <c r="Y27" i="38"/>
  <c r="J95" i="38" s="1"/>
  <c r="T27" i="38"/>
  <c r="E95" i="38" s="1"/>
  <c r="X27" i="38"/>
  <c r="I95" i="38" s="1"/>
  <c r="Z27" i="38"/>
  <c r="K95" i="38" s="1"/>
  <c r="AB27" i="38"/>
  <c r="M95" i="38" s="1"/>
  <c r="V27" i="38"/>
  <c r="G95" i="38" s="1"/>
  <c r="U27" i="38"/>
  <c r="F95" i="38" s="1"/>
  <c r="D38" i="4"/>
  <c r="H38" i="4"/>
  <c r="H90" i="4" s="1"/>
  <c r="H142" i="4" s="1"/>
  <c r="F38" i="4"/>
  <c r="F90" i="4" s="1"/>
  <c r="F142" i="4" s="1"/>
  <c r="J38" i="4"/>
  <c r="J90" i="4" s="1"/>
  <c r="J142" i="4" s="1"/>
  <c r="G38" i="4"/>
  <c r="G90" i="4" s="1"/>
  <c r="G142" i="4" s="1"/>
  <c r="I38" i="4"/>
  <c r="C39" i="4"/>
  <c r="E38" i="4"/>
  <c r="E90" i="4" s="1"/>
  <c r="E142" i="4" s="1"/>
  <c r="K38" i="4"/>
  <c r="K90" i="4" s="1"/>
  <c r="K142" i="4" s="1"/>
  <c r="L38" i="4"/>
  <c r="L90" i="4" s="1"/>
  <c r="L142" i="4" s="1"/>
  <c r="M38" i="4"/>
  <c r="M90" i="4" s="1"/>
  <c r="N38" i="4"/>
  <c r="N90" i="4" s="1"/>
  <c r="N142" i="4" s="1"/>
  <c r="O38" i="4"/>
  <c r="O90" i="4" s="1"/>
  <c r="O142" i="4" s="1"/>
  <c r="P38" i="4"/>
  <c r="P90" i="4" s="1"/>
  <c r="P142" i="4" s="1"/>
  <c r="Q38" i="4"/>
  <c r="Q90" i="4" s="1"/>
  <c r="R38" i="4"/>
  <c r="R90" i="4" s="1"/>
  <c r="R142" i="4" s="1"/>
  <c r="S38" i="4"/>
  <c r="S90" i="4" s="1"/>
  <c r="S142" i="4" s="1"/>
  <c r="T38" i="4"/>
  <c r="T90" i="4" s="1"/>
  <c r="T142" i="4" s="1"/>
  <c r="U38" i="4"/>
  <c r="U90" i="4" s="1"/>
  <c r="U142" i="4" s="1"/>
  <c r="V38" i="4"/>
  <c r="V90" i="4" s="1"/>
  <c r="W38" i="4"/>
  <c r="W90" i="4" s="1"/>
  <c r="W142" i="4" s="1"/>
  <c r="X38" i="4"/>
  <c r="X90" i="4" s="1"/>
  <c r="X142" i="4" s="1"/>
  <c r="Y38" i="4"/>
  <c r="Y90" i="4" s="1"/>
  <c r="Y142" i="4" s="1"/>
  <c r="Z38" i="4"/>
  <c r="Z90" i="4" s="1"/>
  <c r="Z142" i="4" s="1"/>
  <c r="AA38" i="4"/>
  <c r="AA90" i="4" s="1"/>
  <c r="AA142" i="4" s="1"/>
  <c r="AB38" i="4"/>
  <c r="AB90" i="4" s="1"/>
  <c r="AB142" i="4" s="1"/>
  <c r="AJ40" i="5"/>
  <c r="T40" i="5"/>
  <c r="AJ44" i="5"/>
  <c r="T44" i="5"/>
  <c r="AJ43" i="5"/>
  <c r="T43" i="5"/>
  <c r="AJ49" i="5"/>
  <c r="T49" i="5"/>
  <c r="AJ14" i="5"/>
  <c r="T14" i="5"/>
  <c r="AJ20" i="5"/>
  <c r="T20" i="5"/>
  <c r="S57" i="19"/>
  <c r="S58" i="19"/>
  <c r="C50" i="19"/>
  <c r="C49" i="19"/>
  <c r="AJ24" i="5"/>
  <c r="AJ33" i="5"/>
  <c r="AJ30" i="5"/>
  <c r="U30" i="5"/>
  <c r="AJ18" i="5"/>
  <c r="U18" i="5"/>
  <c r="AJ10" i="5"/>
  <c r="U10" i="5"/>
  <c r="AJ25" i="5"/>
  <c r="U25" i="5"/>
  <c r="AJ47" i="5"/>
  <c r="T47" i="5"/>
  <c r="AJ16" i="5"/>
  <c r="U16" i="5"/>
  <c r="AJ28" i="5"/>
  <c r="AJ34" i="5"/>
  <c r="U34" i="5"/>
  <c r="AJ39" i="5"/>
  <c r="T39" i="5"/>
  <c r="AJ26" i="5"/>
  <c r="U26" i="5"/>
  <c r="AJ22" i="5"/>
  <c r="U22" i="5"/>
  <c r="AJ21" i="5"/>
  <c r="AJ23" i="5"/>
  <c r="AJ31" i="5"/>
  <c r="AJ19" i="5"/>
  <c r="AJ17" i="5"/>
  <c r="AJ7" i="5"/>
  <c r="AH51" i="5"/>
  <c r="AJ27" i="5"/>
  <c r="AJ29" i="5"/>
  <c r="AJ51" i="5"/>
  <c r="AJ32" i="5"/>
  <c r="AI51" i="5"/>
  <c r="E42" i="3"/>
  <c r="F41" i="3"/>
  <c r="V43" i="3"/>
  <c r="U44" i="3"/>
  <c r="AK44" i="3"/>
  <c r="AL44" i="3" s="1"/>
  <c r="D95" i="38" l="1"/>
  <c r="Q142" i="4"/>
  <c r="Z28" i="38"/>
  <c r="K96" i="38" s="1"/>
  <c r="V28" i="38"/>
  <c r="G96" i="38" s="1"/>
  <c r="AA28" i="38"/>
  <c r="L96" i="38" s="1"/>
  <c r="U28" i="38"/>
  <c r="F96" i="38" s="1"/>
  <c r="Y28" i="38"/>
  <c r="J96" i="38" s="1"/>
  <c r="T28" i="38"/>
  <c r="E96" i="38" s="1"/>
  <c r="W28" i="38"/>
  <c r="H96" i="38" s="1"/>
  <c r="X28" i="38"/>
  <c r="I96" i="38" s="1"/>
  <c r="S28" i="38"/>
  <c r="E39" i="4"/>
  <c r="E91" i="4" s="1"/>
  <c r="E143" i="4" s="1"/>
  <c r="F39" i="4"/>
  <c r="F91" i="4" s="1"/>
  <c r="F143" i="4" s="1"/>
  <c r="K39" i="4"/>
  <c r="K91" i="4" s="1"/>
  <c r="K143" i="4" s="1"/>
  <c r="C40" i="4"/>
  <c r="H39" i="4"/>
  <c r="H91" i="4" s="1"/>
  <c r="H143" i="4" s="1"/>
  <c r="D39" i="4"/>
  <c r="I39" i="4"/>
  <c r="I91" i="4" s="1"/>
  <c r="I143" i="4" s="1"/>
  <c r="G39" i="4"/>
  <c r="G91" i="4" s="1"/>
  <c r="G143" i="4" s="1"/>
  <c r="J39" i="4"/>
  <c r="J91" i="4" s="1"/>
  <c r="J143" i="4" s="1"/>
  <c r="L39" i="4"/>
  <c r="L91" i="4" s="1"/>
  <c r="L143" i="4" s="1"/>
  <c r="M39" i="4"/>
  <c r="M91" i="4" s="1"/>
  <c r="M143" i="4" s="1"/>
  <c r="N39" i="4"/>
  <c r="O39" i="4"/>
  <c r="O91" i="4" s="1"/>
  <c r="O143" i="4" s="1"/>
  <c r="P39" i="4"/>
  <c r="P91" i="4" s="1"/>
  <c r="P143" i="4" s="1"/>
  <c r="Q39" i="4"/>
  <c r="Q91" i="4" s="1"/>
  <c r="Q143" i="4" s="1"/>
  <c r="R39" i="4"/>
  <c r="R91" i="4" s="1"/>
  <c r="R143" i="4" s="1"/>
  <c r="S39" i="4"/>
  <c r="S91" i="4" s="1"/>
  <c r="S143" i="4" s="1"/>
  <c r="T39" i="4"/>
  <c r="T91" i="4" s="1"/>
  <c r="T143" i="4" s="1"/>
  <c r="U39" i="4"/>
  <c r="U91" i="4" s="1"/>
  <c r="U143" i="4" s="1"/>
  <c r="V39" i="4"/>
  <c r="V91" i="4" s="1"/>
  <c r="V143" i="4" s="1"/>
  <c r="W39" i="4"/>
  <c r="W91" i="4" s="1"/>
  <c r="W143" i="4" s="1"/>
  <c r="X39" i="4"/>
  <c r="X91" i="4" s="1"/>
  <c r="X143" i="4" s="1"/>
  <c r="Y39" i="4"/>
  <c r="Y91" i="4" s="1"/>
  <c r="Y143" i="4" s="1"/>
  <c r="Z39" i="4"/>
  <c r="Z91" i="4" s="1"/>
  <c r="Z143" i="4" s="1"/>
  <c r="AA39" i="4"/>
  <c r="AA91" i="4" s="1"/>
  <c r="AA143" i="4" s="1"/>
  <c r="AB39" i="4"/>
  <c r="AB91" i="4" s="1"/>
  <c r="AB143" i="4" s="1"/>
  <c r="D141" i="4"/>
  <c r="V142" i="4"/>
  <c r="M142" i="4"/>
  <c r="D90" i="4"/>
  <c r="AC38" i="4"/>
  <c r="S59" i="19"/>
  <c r="S60" i="19"/>
  <c r="C51" i="19"/>
  <c r="C52" i="19"/>
  <c r="U52" i="5"/>
  <c r="U55" i="5" s="1"/>
  <c r="U59" i="5" s="1"/>
  <c r="E43" i="3"/>
  <c r="F42" i="3"/>
  <c r="V44" i="3"/>
  <c r="U45" i="3"/>
  <c r="AK45" i="3"/>
  <c r="AL45" i="3" s="1"/>
  <c r="D96" i="38" l="1"/>
  <c r="C41" i="4"/>
  <c r="H40" i="4"/>
  <c r="H92" i="4" s="1"/>
  <c r="H144" i="4" s="1"/>
  <c r="L40" i="4"/>
  <c r="L92" i="4" s="1"/>
  <c r="L144" i="4" s="1"/>
  <c r="F40" i="4"/>
  <c r="F92" i="4" s="1"/>
  <c r="F144" i="4" s="1"/>
  <c r="J40" i="4"/>
  <c r="J92" i="4" s="1"/>
  <c r="J144" i="4" s="1"/>
  <c r="E40" i="4"/>
  <c r="E92" i="4" s="1"/>
  <c r="E144" i="4" s="1"/>
  <c r="I40" i="4"/>
  <c r="I92" i="4" s="1"/>
  <c r="I144" i="4" s="1"/>
  <c r="D40" i="4"/>
  <c r="G40" i="4"/>
  <c r="G92" i="4" s="1"/>
  <c r="G144" i="4" s="1"/>
  <c r="K40" i="4"/>
  <c r="K92" i="4" s="1"/>
  <c r="K144" i="4" s="1"/>
  <c r="M40" i="4"/>
  <c r="M92" i="4" s="1"/>
  <c r="M144" i="4" s="1"/>
  <c r="N40" i="4"/>
  <c r="N92" i="4" s="1"/>
  <c r="N144" i="4" s="1"/>
  <c r="O40" i="4"/>
  <c r="O92" i="4" s="1"/>
  <c r="O144" i="4" s="1"/>
  <c r="P40" i="4"/>
  <c r="P92" i="4" s="1"/>
  <c r="P144" i="4" s="1"/>
  <c r="Q40" i="4"/>
  <c r="Q92" i="4" s="1"/>
  <c r="Q144" i="4" s="1"/>
  <c r="R40" i="4"/>
  <c r="R92" i="4" s="1"/>
  <c r="R144" i="4" s="1"/>
  <c r="S40" i="4"/>
  <c r="S92" i="4" s="1"/>
  <c r="S144" i="4" s="1"/>
  <c r="T40" i="4"/>
  <c r="T92" i="4" s="1"/>
  <c r="T144" i="4" s="1"/>
  <c r="U40" i="4"/>
  <c r="U92" i="4" s="1"/>
  <c r="U144" i="4" s="1"/>
  <c r="V40" i="4"/>
  <c r="V92" i="4" s="1"/>
  <c r="W40" i="4"/>
  <c r="W92" i="4" s="1"/>
  <c r="W144" i="4" s="1"/>
  <c r="X40" i="4"/>
  <c r="X92" i="4" s="1"/>
  <c r="X144" i="4" s="1"/>
  <c r="Y40" i="4"/>
  <c r="Y92" i="4" s="1"/>
  <c r="Y144" i="4" s="1"/>
  <c r="Z40" i="4"/>
  <c r="Z92" i="4" s="1"/>
  <c r="Z144" i="4" s="1"/>
  <c r="AA40" i="4"/>
  <c r="AA92" i="4" s="1"/>
  <c r="AA144" i="4" s="1"/>
  <c r="AB40" i="4"/>
  <c r="AB92" i="4" s="1"/>
  <c r="AB144" i="4" s="1"/>
  <c r="D142" i="4"/>
  <c r="D91" i="4"/>
  <c r="AC39" i="4"/>
  <c r="S62" i="19"/>
  <c r="S61" i="19"/>
  <c r="C53" i="19"/>
  <c r="C54" i="19"/>
  <c r="E44" i="3"/>
  <c r="F43" i="3"/>
  <c r="U46" i="3"/>
  <c r="V45" i="3"/>
  <c r="AK46" i="3"/>
  <c r="AL46" i="3" s="1"/>
  <c r="D143" i="4" l="1"/>
  <c r="C42" i="4"/>
  <c r="G41" i="4"/>
  <c r="G93" i="4" s="1"/>
  <c r="G145" i="4" s="1"/>
  <c r="K41" i="4"/>
  <c r="K93" i="4" s="1"/>
  <c r="K145" i="4" s="1"/>
  <c r="D41" i="4"/>
  <c r="I41" i="4"/>
  <c r="I93" i="4" s="1"/>
  <c r="I145" i="4" s="1"/>
  <c r="M41" i="4"/>
  <c r="M93" i="4" s="1"/>
  <c r="M145" i="4" s="1"/>
  <c r="F41" i="4"/>
  <c r="F93" i="4" s="1"/>
  <c r="F145" i="4" s="1"/>
  <c r="J41" i="4"/>
  <c r="J93" i="4" s="1"/>
  <c r="J145" i="4" s="1"/>
  <c r="N41" i="4"/>
  <c r="N93" i="4" s="1"/>
  <c r="N145" i="4" s="1"/>
  <c r="E41" i="4"/>
  <c r="E93" i="4" s="1"/>
  <c r="E145" i="4" s="1"/>
  <c r="H41" i="4"/>
  <c r="H93" i="4" s="1"/>
  <c r="H145" i="4" s="1"/>
  <c r="L41" i="4"/>
  <c r="L93" i="4" s="1"/>
  <c r="L145" i="4" s="1"/>
  <c r="O41" i="4"/>
  <c r="O93" i="4" s="1"/>
  <c r="O145" i="4" s="1"/>
  <c r="P41" i="4"/>
  <c r="P93" i="4" s="1"/>
  <c r="P145" i="4" s="1"/>
  <c r="Q41" i="4"/>
  <c r="Q93" i="4" s="1"/>
  <c r="Q145" i="4" s="1"/>
  <c r="R41" i="4"/>
  <c r="R93" i="4" s="1"/>
  <c r="R145" i="4" s="1"/>
  <c r="S41" i="4"/>
  <c r="S93" i="4" s="1"/>
  <c r="S145" i="4" s="1"/>
  <c r="T41" i="4"/>
  <c r="T93" i="4" s="1"/>
  <c r="T145" i="4" s="1"/>
  <c r="U41" i="4"/>
  <c r="U93" i="4" s="1"/>
  <c r="U145" i="4" s="1"/>
  <c r="V41" i="4"/>
  <c r="V93" i="4" s="1"/>
  <c r="V145" i="4" s="1"/>
  <c r="W41" i="4"/>
  <c r="W93" i="4" s="1"/>
  <c r="W145" i="4" s="1"/>
  <c r="X41" i="4"/>
  <c r="X93" i="4" s="1"/>
  <c r="X145" i="4" s="1"/>
  <c r="Y41" i="4"/>
  <c r="Y93" i="4" s="1"/>
  <c r="Y145" i="4" s="1"/>
  <c r="Z41" i="4"/>
  <c r="Z93" i="4" s="1"/>
  <c r="Z145" i="4" s="1"/>
  <c r="AA41" i="4"/>
  <c r="AA93" i="4" s="1"/>
  <c r="AA145" i="4" s="1"/>
  <c r="AB41" i="4"/>
  <c r="AB93" i="4" s="1"/>
  <c r="AB145" i="4" s="1"/>
  <c r="V144" i="4"/>
  <c r="D92" i="4"/>
  <c r="AC40" i="4"/>
  <c r="S64" i="19"/>
  <c r="S63" i="19"/>
  <c r="C56" i="19"/>
  <c r="C55" i="19"/>
  <c r="E45" i="3"/>
  <c r="F44" i="3"/>
  <c r="U47" i="3"/>
  <c r="V46" i="3"/>
  <c r="AK47" i="3"/>
  <c r="AL47" i="3" s="1"/>
  <c r="D93" i="4" l="1"/>
  <c r="AC41" i="4"/>
  <c r="D144" i="4"/>
  <c r="AC92" i="4"/>
  <c r="Y29" i="38"/>
  <c r="J97" i="38" s="1"/>
  <c r="U29" i="38"/>
  <c r="F97" i="38" s="1"/>
  <c r="AB29" i="38"/>
  <c r="M97" i="38" s="1"/>
  <c r="X29" i="38"/>
  <c r="I97" i="38" s="1"/>
  <c r="T29" i="38"/>
  <c r="E97" i="38" s="1"/>
  <c r="S29" i="38"/>
  <c r="Z29" i="38"/>
  <c r="K97" i="38" s="1"/>
  <c r="V29" i="38"/>
  <c r="G97" i="38" s="1"/>
  <c r="C43" i="4"/>
  <c r="F42" i="4"/>
  <c r="F94" i="4" s="1"/>
  <c r="F146" i="4" s="1"/>
  <c r="K42" i="4"/>
  <c r="K94" i="4" s="1"/>
  <c r="K146" i="4" s="1"/>
  <c r="J42" i="4"/>
  <c r="J94" i="4" s="1"/>
  <c r="J146" i="4" s="1"/>
  <c r="D42" i="4"/>
  <c r="H42" i="4"/>
  <c r="H94" i="4" s="1"/>
  <c r="H146" i="4" s="1"/>
  <c r="L42" i="4"/>
  <c r="L94" i="4" s="1"/>
  <c r="L146" i="4" s="1"/>
  <c r="E42" i="4"/>
  <c r="E94" i="4" s="1"/>
  <c r="E146" i="4" s="1"/>
  <c r="I42" i="4"/>
  <c r="M42" i="4"/>
  <c r="G42" i="4"/>
  <c r="G94" i="4" s="1"/>
  <c r="G146" i="4" s="1"/>
  <c r="N42" i="4"/>
  <c r="N94" i="4" s="1"/>
  <c r="N146" i="4" s="1"/>
  <c r="O42" i="4"/>
  <c r="O94" i="4" s="1"/>
  <c r="O146" i="4" s="1"/>
  <c r="P42" i="4"/>
  <c r="P94" i="4" s="1"/>
  <c r="P146" i="4" s="1"/>
  <c r="Q42" i="4"/>
  <c r="Q94" i="4" s="1"/>
  <c r="Q146" i="4" s="1"/>
  <c r="R42" i="4"/>
  <c r="R94" i="4" s="1"/>
  <c r="R146" i="4" s="1"/>
  <c r="S42" i="4"/>
  <c r="S94" i="4" s="1"/>
  <c r="S146" i="4" s="1"/>
  <c r="T42" i="4"/>
  <c r="T94" i="4" s="1"/>
  <c r="T146" i="4" s="1"/>
  <c r="U42" i="4"/>
  <c r="U94" i="4" s="1"/>
  <c r="U146" i="4" s="1"/>
  <c r="V42" i="4"/>
  <c r="V94" i="4" s="1"/>
  <c r="V146" i="4" s="1"/>
  <c r="W42" i="4"/>
  <c r="W94" i="4" s="1"/>
  <c r="W146" i="4" s="1"/>
  <c r="X42" i="4"/>
  <c r="X94" i="4" s="1"/>
  <c r="X146" i="4" s="1"/>
  <c r="Y42" i="4"/>
  <c r="Y94" i="4" s="1"/>
  <c r="Y146" i="4" s="1"/>
  <c r="Z42" i="4"/>
  <c r="Z94" i="4" s="1"/>
  <c r="Z146" i="4" s="1"/>
  <c r="AA42" i="4"/>
  <c r="AA94" i="4" s="1"/>
  <c r="AA146" i="4" s="1"/>
  <c r="AB42" i="4"/>
  <c r="AB94" i="4" s="1"/>
  <c r="AB146" i="4" s="1"/>
  <c r="S65" i="19"/>
  <c r="S66" i="19"/>
  <c r="C57" i="19"/>
  <c r="C58" i="19"/>
  <c r="F45" i="3"/>
  <c r="E46" i="3"/>
  <c r="V47" i="3"/>
  <c r="U48" i="3"/>
  <c r="AK48" i="3"/>
  <c r="AL48" i="3" s="1"/>
  <c r="D97" i="38" l="1"/>
  <c r="D94" i="4"/>
  <c r="AC42" i="4"/>
  <c r="E43" i="4"/>
  <c r="E95" i="4" s="1"/>
  <c r="E147" i="4" s="1"/>
  <c r="F43" i="4"/>
  <c r="F95" i="4" s="1"/>
  <c r="F147" i="4" s="1"/>
  <c r="K43" i="4"/>
  <c r="K95" i="4" s="1"/>
  <c r="K147" i="4" s="1"/>
  <c r="O43" i="4"/>
  <c r="O95" i="4" s="1"/>
  <c r="O147" i="4" s="1"/>
  <c r="D43" i="4"/>
  <c r="H43" i="4"/>
  <c r="H95" i="4" s="1"/>
  <c r="H147" i="4" s="1"/>
  <c r="L43" i="4"/>
  <c r="L95" i="4" s="1"/>
  <c r="L147" i="4" s="1"/>
  <c r="P43" i="4"/>
  <c r="P95" i="4" s="1"/>
  <c r="P147" i="4" s="1"/>
  <c r="C44" i="4"/>
  <c r="I43" i="4"/>
  <c r="I95" i="4" s="1"/>
  <c r="I147" i="4" s="1"/>
  <c r="M43" i="4"/>
  <c r="M95" i="4" s="1"/>
  <c r="M147" i="4" s="1"/>
  <c r="G43" i="4"/>
  <c r="G95" i="4" s="1"/>
  <c r="G147" i="4" s="1"/>
  <c r="J43" i="4"/>
  <c r="J95" i="4" s="1"/>
  <c r="J147" i="4" s="1"/>
  <c r="N43" i="4"/>
  <c r="N95" i="4" s="1"/>
  <c r="N147" i="4" s="1"/>
  <c r="Q43" i="4"/>
  <c r="Q95" i="4" s="1"/>
  <c r="Q147" i="4" s="1"/>
  <c r="R43" i="4"/>
  <c r="R95" i="4" s="1"/>
  <c r="R147" i="4" s="1"/>
  <c r="S43" i="4"/>
  <c r="S95" i="4" s="1"/>
  <c r="S147" i="4" s="1"/>
  <c r="T43" i="4"/>
  <c r="T95" i="4" s="1"/>
  <c r="T147" i="4" s="1"/>
  <c r="U43" i="4"/>
  <c r="U95" i="4" s="1"/>
  <c r="U147" i="4" s="1"/>
  <c r="V43" i="4"/>
  <c r="V95" i="4" s="1"/>
  <c r="V147" i="4" s="1"/>
  <c r="W43" i="4"/>
  <c r="W95" i="4" s="1"/>
  <c r="W147" i="4" s="1"/>
  <c r="X43" i="4"/>
  <c r="X95" i="4" s="1"/>
  <c r="X147" i="4" s="1"/>
  <c r="Y43" i="4"/>
  <c r="Y95" i="4" s="1"/>
  <c r="Y147" i="4" s="1"/>
  <c r="Z43" i="4"/>
  <c r="Z95" i="4" s="1"/>
  <c r="Z147" i="4" s="1"/>
  <c r="AA43" i="4"/>
  <c r="AA95" i="4" s="1"/>
  <c r="AA147" i="4" s="1"/>
  <c r="AB43" i="4"/>
  <c r="AB95" i="4" s="1"/>
  <c r="AB147" i="4" s="1"/>
  <c r="D145" i="4"/>
  <c r="AC93" i="4"/>
  <c r="S68" i="19"/>
  <c r="S67" i="19"/>
  <c r="C60" i="19"/>
  <c r="C59" i="19"/>
  <c r="E47" i="3"/>
  <c r="F46" i="3"/>
  <c r="U49" i="3"/>
  <c r="V48" i="3"/>
  <c r="AK49" i="3"/>
  <c r="AL49" i="3" s="1"/>
  <c r="D146" i="4" l="1"/>
  <c r="AA30" i="38"/>
  <c r="L98" i="38" s="1"/>
  <c r="W30" i="38"/>
  <c r="H98" i="38" s="1"/>
  <c r="S30" i="38"/>
  <c r="Z30" i="38"/>
  <c r="K98" i="38" s="1"/>
  <c r="V30" i="38"/>
  <c r="G98" i="38" s="1"/>
  <c r="Y30" i="38"/>
  <c r="J98" i="38" s="1"/>
  <c r="U30" i="38"/>
  <c r="F98" i="38" s="1"/>
  <c r="X30" i="38"/>
  <c r="I98" i="38" s="1"/>
  <c r="AB30" i="38"/>
  <c r="M98" i="38" s="1"/>
  <c r="E44" i="4"/>
  <c r="E96" i="4" s="1"/>
  <c r="E148" i="4" s="1"/>
  <c r="I44" i="4"/>
  <c r="I96" i="4" s="1"/>
  <c r="I148" i="4" s="1"/>
  <c r="M44" i="4"/>
  <c r="M96" i="4" s="1"/>
  <c r="M148" i="4" s="1"/>
  <c r="F44" i="4"/>
  <c r="J44" i="4"/>
  <c r="J96" i="4" s="1"/>
  <c r="J148" i="4" s="1"/>
  <c r="N44" i="4"/>
  <c r="N96" i="4" s="1"/>
  <c r="N148" i="4" s="1"/>
  <c r="C45" i="4"/>
  <c r="G44" i="4"/>
  <c r="G96" i="4" s="1"/>
  <c r="G148" i="4" s="1"/>
  <c r="K44" i="4"/>
  <c r="K96" i="4" s="1"/>
  <c r="K148" i="4" s="1"/>
  <c r="O44" i="4"/>
  <c r="O96" i="4" s="1"/>
  <c r="O148" i="4" s="1"/>
  <c r="D44" i="4"/>
  <c r="H44" i="4"/>
  <c r="H96" i="4" s="1"/>
  <c r="H148" i="4" s="1"/>
  <c r="L44" i="4"/>
  <c r="L96" i="4" s="1"/>
  <c r="L148" i="4" s="1"/>
  <c r="P44" i="4"/>
  <c r="P96" i="4" s="1"/>
  <c r="P148" i="4" s="1"/>
  <c r="Q44" i="4"/>
  <c r="Q96" i="4" s="1"/>
  <c r="Q148" i="4" s="1"/>
  <c r="R44" i="4"/>
  <c r="R96" i="4" s="1"/>
  <c r="R148" i="4" s="1"/>
  <c r="S44" i="4"/>
  <c r="S96" i="4" s="1"/>
  <c r="S148" i="4" s="1"/>
  <c r="T44" i="4"/>
  <c r="T96" i="4" s="1"/>
  <c r="T148" i="4" s="1"/>
  <c r="U44" i="4"/>
  <c r="U96" i="4" s="1"/>
  <c r="U148" i="4" s="1"/>
  <c r="V44" i="4"/>
  <c r="V96" i="4" s="1"/>
  <c r="V148" i="4" s="1"/>
  <c r="W44" i="4"/>
  <c r="W96" i="4" s="1"/>
  <c r="W148" i="4" s="1"/>
  <c r="X44" i="4"/>
  <c r="X96" i="4" s="1"/>
  <c r="X148" i="4" s="1"/>
  <c r="Y44" i="4"/>
  <c r="Y96" i="4" s="1"/>
  <c r="Y148" i="4" s="1"/>
  <c r="Z44" i="4"/>
  <c r="Z96" i="4" s="1"/>
  <c r="Z148" i="4" s="1"/>
  <c r="AA44" i="4"/>
  <c r="AA96" i="4" s="1"/>
  <c r="AA148" i="4" s="1"/>
  <c r="AB44" i="4"/>
  <c r="AB96" i="4" s="1"/>
  <c r="AB148" i="4" s="1"/>
  <c r="D95" i="4"/>
  <c r="AC43" i="4"/>
  <c r="S69" i="19"/>
  <c r="S70" i="19"/>
  <c r="C61" i="19"/>
  <c r="C62" i="19"/>
  <c r="F47" i="3"/>
  <c r="E48" i="3"/>
  <c r="U50" i="3"/>
  <c r="V49" i="3"/>
  <c r="AK50" i="3"/>
  <c r="AL50" i="3" s="1"/>
  <c r="D98" i="38" l="1"/>
  <c r="D147" i="4"/>
  <c r="AC95" i="4"/>
  <c r="D96" i="4"/>
  <c r="AC44" i="4"/>
  <c r="F45" i="4"/>
  <c r="F97" i="4" s="1"/>
  <c r="F149" i="4" s="1"/>
  <c r="J45" i="4"/>
  <c r="J97" i="4" s="1"/>
  <c r="J149" i="4" s="1"/>
  <c r="N45" i="4"/>
  <c r="N97" i="4" s="1"/>
  <c r="N149" i="4" s="1"/>
  <c r="E45" i="4"/>
  <c r="E97" i="4" s="1"/>
  <c r="E149" i="4" s="1"/>
  <c r="H45" i="4"/>
  <c r="H97" i="4" s="1"/>
  <c r="H149" i="4" s="1"/>
  <c r="L45" i="4"/>
  <c r="L97" i="4" s="1"/>
  <c r="L149" i="4" s="1"/>
  <c r="P45" i="4"/>
  <c r="P97" i="4" s="1"/>
  <c r="P149" i="4" s="1"/>
  <c r="D45" i="4"/>
  <c r="I45" i="4"/>
  <c r="I97" i="4" s="1"/>
  <c r="I149" i="4" s="1"/>
  <c r="M45" i="4"/>
  <c r="M97" i="4" s="1"/>
  <c r="M149" i="4" s="1"/>
  <c r="Q45" i="4"/>
  <c r="Q97" i="4" s="1"/>
  <c r="Q149" i="4" s="1"/>
  <c r="C46" i="4"/>
  <c r="G45" i="4"/>
  <c r="G97" i="4" s="1"/>
  <c r="G149" i="4" s="1"/>
  <c r="K45" i="4"/>
  <c r="K97" i="4" s="1"/>
  <c r="K149" i="4" s="1"/>
  <c r="O45" i="4"/>
  <c r="O97" i="4" s="1"/>
  <c r="O149" i="4" s="1"/>
  <c r="R45" i="4"/>
  <c r="R97" i="4" s="1"/>
  <c r="R149" i="4" s="1"/>
  <c r="S45" i="4"/>
  <c r="S97" i="4" s="1"/>
  <c r="S149" i="4" s="1"/>
  <c r="T45" i="4"/>
  <c r="T97" i="4" s="1"/>
  <c r="T149" i="4" s="1"/>
  <c r="U45" i="4"/>
  <c r="U97" i="4" s="1"/>
  <c r="U149" i="4" s="1"/>
  <c r="V45" i="4"/>
  <c r="V97" i="4" s="1"/>
  <c r="V149" i="4" s="1"/>
  <c r="W45" i="4"/>
  <c r="W97" i="4" s="1"/>
  <c r="W149" i="4" s="1"/>
  <c r="X45" i="4"/>
  <c r="X97" i="4" s="1"/>
  <c r="X149" i="4" s="1"/>
  <c r="Y45" i="4"/>
  <c r="Y97" i="4" s="1"/>
  <c r="Y149" i="4" s="1"/>
  <c r="Z45" i="4"/>
  <c r="Z97" i="4" s="1"/>
  <c r="Z149" i="4" s="1"/>
  <c r="AA45" i="4"/>
  <c r="AA97" i="4" s="1"/>
  <c r="AA149" i="4" s="1"/>
  <c r="AB45" i="4"/>
  <c r="AB97" i="4" s="1"/>
  <c r="AB149" i="4" s="1"/>
  <c r="S71" i="19"/>
  <c r="S72" i="19"/>
  <c r="C63" i="19"/>
  <c r="C64" i="19"/>
  <c r="E49" i="3"/>
  <c r="F48" i="3"/>
  <c r="V50" i="3"/>
  <c r="U7" i="19" s="1" a="1"/>
  <c r="U7" i="19" s="1"/>
  <c r="U51" i="3"/>
  <c r="V51" i="3" s="1"/>
  <c r="AK51" i="3"/>
  <c r="AL51" i="3" s="1"/>
  <c r="AK38" i="19" s="1" a="1"/>
  <c r="AK38" i="19" s="1"/>
  <c r="C47" i="4" l="1"/>
  <c r="H46" i="4"/>
  <c r="H98" i="4" s="1"/>
  <c r="H150" i="4" s="1"/>
  <c r="L46" i="4"/>
  <c r="L98" i="4" s="1"/>
  <c r="L150" i="4" s="1"/>
  <c r="P46" i="4"/>
  <c r="P98" i="4" s="1"/>
  <c r="P150" i="4" s="1"/>
  <c r="J46" i="4"/>
  <c r="J98" i="4" s="1"/>
  <c r="J150" i="4" s="1"/>
  <c r="D46" i="4"/>
  <c r="E46" i="4"/>
  <c r="E98" i="4" s="1"/>
  <c r="E150" i="4" s="1"/>
  <c r="K46" i="4"/>
  <c r="K98" i="4" s="1"/>
  <c r="K150" i="4" s="1"/>
  <c r="O46" i="4"/>
  <c r="O98" i="4" s="1"/>
  <c r="O150" i="4" s="1"/>
  <c r="F46" i="4"/>
  <c r="F98" i="4" s="1"/>
  <c r="F150" i="4" s="1"/>
  <c r="I46" i="4"/>
  <c r="I98" i="4" s="1"/>
  <c r="I150" i="4" s="1"/>
  <c r="M46" i="4"/>
  <c r="M98" i="4" s="1"/>
  <c r="M150" i="4" s="1"/>
  <c r="Q46" i="4"/>
  <c r="Q98" i="4" s="1"/>
  <c r="Q150" i="4" s="1"/>
  <c r="G46" i="4"/>
  <c r="G98" i="4" s="1"/>
  <c r="G150" i="4" s="1"/>
  <c r="N46" i="4"/>
  <c r="N98" i="4" s="1"/>
  <c r="N150" i="4" s="1"/>
  <c r="R46" i="4"/>
  <c r="R98" i="4" s="1"/>
  <c r="R150" i="4" s="1"/>
  <c r="S46" i="4"/>
  <c r="S98" i="4" s="1"/>
  <c r="S150" i="4" s="1"/>
  <c r="T46" i="4"/>
  <c r="T98" i="4" s="1"/>
  <c r="T150" i="4" s="1"/>
  <c r="U46" i="4"/>
  <c r="U98" i="4" s="1"/>
  <c r="U150" i="4" s="1"/>
  <c r="V46" i="4"/>
  <c r="V98" i="4" s="1"/>
  <c r="V150" i="4" s="1"/>
  <c r="W46" i="4"/>
  <c r="W98" i="4" s="1"/>
  <c r="W150" i="4" s="1"/>
  <c r="X46" i="4"/>
  <c r="X98" i="4" s="1"/>
  <c r="X150" i="4" s="1"/>
  <c r="Y46" i="4"/>
  <c r="Y98" i="4" s="1"/>
  <c r="Y150" i="4" s="1"/>
  <c r="Z46" i="4"/>
  <c r="Z98" i="4" s="1"/>
  <c r="Z150" i="4" s="1"/>
  <c r="AA46" i="4"/>
  <c r="AA98" i="4" s="1"/>
  <c r="AA150" i="4" s="1"/>
  <c r="AB46" i="4"/>
  <c r="AB98" i="4" s="1"/>
  <c r="AB150" i="4" s="1"/>
  <c r="D97" i="4"/>
  <c r="AC45" i="4"/>
  <c r="D148" i="4"/>
  <c r="U38" i="19" a="1"/>
  <c r="U38" i="19" s="1"/>
  <c r="U114" i="19" s="1"/>
  <c r="AK114" i="19"/>
  <c r="AK115" i="19"/>
  <c r="AL21" i="19" a="1"/>
  <c r="AL21" i="19" s="1"/>
  <c r="AM21" i="19" s="1"/>
  <c r="AL14" i="19" a="1"/>
  <c r="AL14" i="19" s="1"/>
  <c r="AM14" i="19" s="1"/>
  <c r="AL25" i="19" a="1"/>
  <c r="AL25" i="19" s="1"/>
  <c r="AM25" i="19" s="1"/>
  <c r="U10" i="19" a="1"/>
  <c r="U10" i="19" s="1"/>
  <c r="AL10" i="19" a="1"/>
  <c r="AL10" i="19" s="1"/>
  <c r="AM10" i="19" s="1"/>
  <c r="U42" i="19" a="1"/>
  <c r="U42" i="19" s="1"/>
  <c r="U45" i="19" a="1"/>
  <c r="U45" i="19" s="1"/>
  <c r="V44" i="19" a="1"/>
  <c r="V44" i="19" s="1"/>
  <c r="W44" i="19" s="1"/>
  <c r="V24" i="19" a="1"/>
  <c r="V24" i="19" s="1"/>
  <c r="W24" i="19" s="1"/>
  <c r="U18" i="19" a="1"/>
  <c r="U18" i="19" s="1"/>
  <c r="AK15" i="19" a="1"/>
  <c r="AK15" i="19" s="1"/>
  <c r="U19" i="19" a="1"/>
  <c r="U19" i="19" s="1"/>
  <c r="AL48" i="19" a="1"/>
  <c r="AL48" i="19" s="1"/>
  <c r="AM48" i="19" s="1"/>
  <c r="V36" i="19" a="1"/>
  <c r="V36" i="19" s="1"/>
  <c r="W36" i="19" s="1"/>
  <c r="AL30" i="19" a="1"/>
  <c r="AL30" i="19" s="1"/>
  <c r="AM30" i="19" s="1"/>
  <c r="AL43" i="19" a="1"/>
  <c r="AL43" i="19" s="1"/>
  <c r="AM43" i="19" s="1"/>
  <c r="V30" i="19" a="1"/>
  <c r="V30" i="19" s="1"/>
  <c r="W30" i="19" s="1"/>
  <c r="U49" i="19" a="1"/>
  <c r="U49" i="19" s="1"/>
  <c r="U31" i="19" a="1"/>
  <c r="U31" i="19" s="1"/>
  <c r="AL20" i="19" a="1"/>
  <c r="AL20" i="19" s="1"/>
  <c r="AM20" i="19" s="1"/>
  <c r="U12" i="19" a="1"/>
  <c r="U12" i="19" s="1"/>
  <c r="AK29" i="19" a="1"/>
  <c r="AK29" i="19" s="1"/>
  <c r="AK27" i="19" a="1"/>
  <c r="AK27" i="19" s="1"/>
  <c r="V17" i="19" a="1"/>
  <c r="V17" i="19" s="1"/>
  <c r="W17" i="19" s="1"/>
  <c r="AK42" i="19" a="1"/>
  <c r="AK42" i="19" s="1"/>
  <c r="AK43" i="19" a="1"/>
  <c r="AK43" i="19" s="1"/>
  <c r="U32" i="19" a="1"/>
  <c r="U32" i="19" s="1"/>
  <c r="AL44" i="19" a="1"/>
  <c r="AL44" i="19" s="1"/>
  <c r="AM44" i="19" s="1"/>
  <c r="AK33" i="19" a="1"/>
  <c r="AK33" i="19" s="1"/>
  <c r="AL9" i="19" a="1"/>
  <c r="AL9" i="19" s="1"/>
  <c r="AM9" i="19" s="1"/>
  <c r="V14" i="19" a="1"/>
  <c r="V14" i="19" s="1"/>
  <c r="W14" i="19" s="1"/>
  <c r="AK48" i="19" a="1"/>
  <c r="AK48" i="19" s="1"/>
  <c r="U13" i="19" a="1"/>
  <c r="U13" i="19" s="1"/>
  <c r="AK44" i="19" a="1"/>
  <c r="AK44" i="19" s="1"/>
  <c r="AL31" i="19" a="1"/>
  <c r="AL31" i="19" s="1"/>
  <c r="AM31" i="19" s="1"/>
  <c r="AL22" i="19" a="1"/>
  <c r="AL22" i="19" s="1"/>
  <c r="AM22" i="19" s="1"/>
  <c r="V10" i="19" a="1"/>
  <c r="V10" i="19" s="1"/>
  <c r="W10" i="19" s="1"/>
  <c r="U33" i="19" a="1"/>
  <c r="U33" i="19" s="1"/>
  <c r="U44" i="19" a="1"/>
  <c r="U44" i="19" s="1"/>
  <c r="V22" i="19" a="1"/>
  <c r="V22" i="19" s="1"/>
  <c r="W22" i="19" s="1"/>
  <c r="AL17" i="19" a="1"/>
  <c r="AL17" i="19" s="1"/>
  <c r="AM17" i="19" s="1"/>
  <c r="AK7" i="19" a="1"/>
  <c r="AK7" i="19" s="1"/>
  <c r="V25" i="19" a="1"/>
  <c r="V25" i="19" s="1"/>
  <c r="W25" i="19" s="1"/>
  <c r="V48" i="19" a="1"/>
  <c r="V48" i="19" s="1"/>
  <c r="W48" i="19" s="1"/>
  <c r="AK35" i="19" a="1"/>
  <c r="AK35" i="19" s="1"/>
  <c r="AK16" i="19" a="1"/>
  <c r="AK16" i="19" s="1"/>
  <c r="V18" i="19" a="1"/>
  <c r="V18" i="19" s="1"/>
  <c r="W18" i="19" s="1"/>
  <c r="U26" i="19" a="1"/>
  <c r="U26" i="19" s="1"/>
  <c r="AL34" i="19" a="1"/>
  <c r="AL34" i="19" s="1"/>
  <c r="AM34" i="19" s="1"/>
  <c r="U14" i="19" a="1"/>
  <c r="U14" i="19" s="1"/>
  <c r="AK23" i="19" a="1"/>
  <c r="AK23" i="19" s="1"/>
  <c r="AL46" i="19" a="1"/>
  <c r="AL46" i="19" s="1"/>
  <c r="AM46" i="19" s="1"/>
  <c r="V23" i="19" a="1"/>
  <c r="V23" i="19" s="1"/>
  <c r="W23" i="19" s="1"/>
  <c r="V28" i="19" a="1"/>
  <c r="V28" i="19" s="1"/>
  <c r="W28" i="19" s="1"/>
  <c r="AK20" i="19" a="1"/>
  <c r="AK20" i="19" s="1"/>
  <c r="AL36" i="19" a="1"/>
  <c r="AL36" i="19" s="1"/>
  <c r="AM36" i="19" s="1"/>
  <c r="AL19" i="19" a="1"/>
  <c r="AL19" i="19" s="1"/>
  <c r="AM19" i="19" s="1"/>
  <c r="V37" i="19" a="1"/>
  <c r="V37" i="19" s="1"/>
  <c r="W37" i="19" s="1"/>
  <c r="AK22" i="19" a="1"/>
  <c r="AK22" i="19" s="1"/>
  <c r="V47" i="19" a="1"/>
  <c r="V47" i="19" s="1"/>
  <c r="W47" i="19" s="1"/>
  <c r="AK32" i="19" a="1"/>
  <c r="AK32" i="19" s="1"/>
  <c r="AK41" i="19" a="1"/>
  <c r="AK41" i="19" s="1"/>
  <c r="U28" i="19" a="1"/>
  <c r="U28" i="19" s="1"/>
  <c r="AL13" i="19" a="1"/>
  <c r="AL13" i="19" s="1"/>
  <c r="AM13" i="19" s="1"/>
  <c r="U39" i="19" a="1"/>
  <c r="U39" i="19" s="1"/>
  <c r="AK45" i="19" a="1"/>
  <c r="AK45" i="19" s="1"/>
  <c r="U23" i="19" a="1"/>
  <c r="U23" i="19" s="1"/>
  <c r="U48" i="19" a="1"/>
  <c r="U48" i="19" s="1"/>
  <c r="AK8" i="19" a="1"/>
  <c r="AK8" i="19" s="1"/>
  <c r="U8" i="19" a="1"/>
  <c r="U8" i="19" s="1"/>
  <c r="V31" i="19" a="1"/>
  <c r="V31" i="19" s="1"/>
  <c r="W31" i="19" s="1"/>
  <c r="AL7" i="19" a="1"/>
  <c r="AL7" i="19" s="1"/>
  <c r="V12" i="19" a="1"/>
  <c r="V12" i="19" s="1"/>
  <c r="W12" i="19" s="1"/>
  <c r="AK40" i="19" a="1"/>
  <c r="AK40" i="19" s="1"/>
  <c r="AL45" i="19" a="1"/>
  <c r="AL45" i="19" s="1"/>
  <c r="AM45" i="19" s="1"/>
  <c r="AK10" i="19" a="1"/>
  <c r="AK10" i="19" s="1"/>
  <c r="AL49" i="19" a="1"/>
  <c r="AL49" i="19" s="1"/>
  <c r="AM49" i="19" s="1"/>
  <c r="U30" i="19" a="1"/>
  <c r="U30" i="19" s="1"/>
  <c r="V42" i="19" a="1"/>
  <c r="V42" i="19" s="1"/>
  <c r="W42" i="19" s="1"/>
  <c r="U34" i="19" a="1"/>
  <c r="U34" i="19" s="1"/>
  <c r="V9" i="19" a="1"/>
  <c r="V9" i="19" s="1"/>
  <c r="W9" i="19" s="1"/>
  <c r="AK37" i="19" a="1"/>
  <c r="AK37" i="19" s="1"/>
  <c r="AL38" i="19" a="1"/>
  <c r="AL38" i="19" s="1"/>
  <c r="AM38" i="19" s="1"/>
  <c r="AK51" i="19" a="1"/>
  <c r="AK51" i="19" s="1"/>
  <c r="U35" i="19" a="1"/>
  <c r="U35" i="19" s="1"/>
  <c r="AL15" i="19" a="1"/>
  <c r="AL15" i="19" s="1"/>
  <c r="AM15" i="19" s="1"/>
  <c r="V29" i="19" a="1"/>
  <c r="V29" i="19" s="1"/>
  <c r="W29" i="19" s="1"/>
  <c r="V35" i="19" a="1"/>
  <c r="V35" i="19" s="1"/>
  <c r="W35" i="19" s="1"/>
  <c r="AL50" i="19" a="1"/>
  <c r="AL50" i="19" s="1"/>
  <c r="AM50" i="19" s="1"/>
  <c r="V40" i="19" a="1"/>
  <c r="V40" i="19" s="1"/>
  <c r="W40" i="19" s="1"/>
  <c r="V21" i="19" a="1"/>
  <c r="V21" i="19" s="1"/>
  <c r="W21" i="19" s="1"/>
  <c r="U25" i="19" a="1"/>
  <c r="U25" i="19" s="1"/>
  <c r="AL42" i="19" a="1"/>
  <c r="AL42" i="19" s="1"/>
  <c r="AM42" i="19" s="1"/>
  <c r="U22" i="19" a="1"/>
  <c r="U22" i="19" s="1"/>
  <c r="AL18" i="19" a="1"/>
  <c r="AL18" i="19" s="1"/>
  <c r="AM18" i="19" s="1"/>
  <c r="U9" i="19" a="1"/>
  <c r="U9" i="19" s="1"/>
  <c r="AK49" i="19" a="1"/>
  <c r="AK49" i="19" s="1"/>
  <c r="V38" i="19" a="1"/>
  <c r="V38" i="19" s="1"/>
  <c r="W38" i="19" s="1"/>
  <c r="U27" i="19" a="1"/>
  <c r="U27" i="19" s="1"/>
  <c r="AL28" i="19" a="1"/>
  <c r="AL28" i="19" s="1"/>
  <c r="AM28" i="19" s="1"/>
  <c r="U20" i="19" a="1"/>
  <c r="U20" i="19" s="1"/>
  <c r="V16" i="19" a="1"/>
  <c r="V16" i="19" s="1"/>
  <c r="W16" i="19" s="1"/>
  <c r="U29" i="19" a="1"/>
  <c r="U29" i="19" s="1"/>
  <c r="AK21" i="19" a="1"/>
  <c r="AK21" i="19" s="1"/>
  <c r="V51" i="19" a="1"/>
  <c r="V51" i="19" s="1"/>
  <c r="W51" i="19" s="1"/>
  <c r="V141" i="19" s="1"/>
  <c r="AK11" i="19" a="1"/>
  <c r="AK11" i="19" s="1"/>
  <c r="V7" i="19" a="1"/>
  <c r="V7" i="19" s="1"/>
  <c r="AL27" i="19" a="1"/>
  <c r="AL27" i="19" s="1"/>
  <c r="AM27" i="19" s="1"/>
  <c r="AL11" i="19" a="1"/>
  <c r="AL11" i="19" s="1"/>
  <c r="AM11" i="19" s="1"/>
  <c r="V45" i="19" a="1"/>
  <c r="V45" i="19" s="1"/>
  <c r="W45" i="19" s="1"/>
  <c r="U37" i="19" a="1"/>
  <c r="U37" i="19" s="1"/>
  <c r="AK24" i="19" a="1"/>
  <c r="AK24" i="19" s="1"/>
  <c r="U40" i="19" a="1"/>
  <c r="U40" i="19" s="1"/>
  <c r="U51" i="19" a="1"/>
  <c r="U51" i="19" s="1"/>
  <c r="AL32" i="19" a="1"/>
  <c r="AL32" i="19" s="1"/>
  <c r="AM32" i="19" s="1"/>
  <c r="AL40" i="19" a="1"/>
  <c r="AL40" i="19" s="1"/>
  <c r="AM40" i="19" s="1"/>
  <c r="U16" i="19" a="1"/>
  <c r="U16" i="19" s="1"/>
  <c r="U50" i="19" a="1"/>
  <c r="U50" i="19" s="1"/>
  <c r="AL37" i="19" a="1"/>
  <c r="AL37" i="19" s="1"/>
  <c r="AM37" i="19" s="1"/>
  <c r="AK25" i="19" a="1"/>
  <c r="AK25" i="19" s="1"/>
  <c r="AL39" i="19" a="1"/>
  <c r="AL39" i="19" s="1"/>
  <c r="AM39" i="19" s="1"/>
  <c r="V27" i="19" a="1"/>
  <c r="V27" i="19" s="1"/>
  <c r="W27" i="19" s="1"/>
  <c r="V46" i="19" a="1"/>
  <c r="V46" i="19" s="1"/>
  <c r="W46" i="19" s="1"/>
  <c r="V39" i="19" a="1"/>
  <c r="V39" i="19" s="1"/>
  <c r="W39" i="19" s="1"/>
  <c r="AL47" i="19" a="1"/>
  <c r="AL47" i="19" s="1"/>
  <c r="AM47" i="19" s="1"/>
  <c r="AK46" i="19" a="1"/>
  <c r="AK46" i="19" s="1"/>
  <c r="AK9" i="19" a="1"/>
  <c r="AK9" i="19" s="1"/>
  <c r="AL51" i="19" a="1"/>
  <c r="AL51" i="19" s="1"/>
  <c r="AM51" i="19" s="1"/>
  <c r="AL141" i="19" s="1"/>
  <c r="V26" i="19" a="1"/>
  <c r="V26" i="19" s="1"/>
  <c r="W26" i="19" s="1"/>
  <c r="V34" i="19" a="1"/>
  <c r="V34" i="19" s="1"/>
  <c r="W34" i="19" s="1"/>
  <c r="AL24" i="19" a="1"/>
  <c r="AL24" i="19" s="1"/>
  <c r="AM24" i="19" s="1"/>
  <c r="AL16" i="19" a="1"/>
  <c r="AL16" i="19" s="1"/>
  <c r="AM16" i="19" s="1"/>
  <c r="U24" i="19" a="1"/>
  <c r="U24" i="19" s="1"/>
  <c r="AK18" i="19" a="1"/>
  <c r="AK18" i="19" s="1"/>
  <c r="AL33" i="19" a="1"/>
  <c r="AL33" i="19" s="1"/>
  <c r="AM33" i="19" s="1"/>
  <c r="V15" i="19" a="1"/>
  <c r="V15" i="19" s="1"/>
  <c r="W15" i="19" s="1"/>
  <c r="V49" i="19" a="1"/>
  <c r="V49" i="19" s="1"/>
  <c r="W49" i="19" s="1"/>
  <c r="S74" i="19"/>
  <c r="S73" i="19"/>
  <c r="V41" i="19" a="1"/>
  <c r="V41" i="19" s="1"/>
  <c r="W41" i="19" s="1"/>
  <c r="V20" i="19" a="1"/>
  <c r="V20" i="19" s="1"/>
  <c r="W20" i="19" s="1"/>
  <c r="AK34" i="19" a="1"/>
  <c r="AK34" i="19" s="1"/>
  <c r="AK28" i="19" a="1"/>
  <c r="AK28" i="19" s="1"/>
  <c r="AL35" i="19" a="1"/>
  <c r="AL35" i="19" s="1"/>
  <c r="AM35" i="19" s="1"/>
  <c r="AK30" i="19" a="1"/>
  <c r="AK30" i="19" s="1"/>
  <c r="U17" i="19" a="1"/>
  <c r="U17" i="19" s="1"/>
  <c r="AL23" i="19" a="1"/>
  <c r="AL23" i="19" s="1"/>
  <c r="AM23" i="19" s="1"/>
  <c r="U41" i="19" a="1"/>
  <c r="U41" i="19" s="1"/>
  <c r="V13" i="19" a="1"/>
  <c r="V13" i="19" s="1"/>
  <c r="W13" i="19" s="1"/>
  <c r="U21" i="19" a="1"/>
  <c r="U21" i="19" s="1"/>
  <c r="V43" i="19" a="1"/>
  <c r="V43" i="19" s="1"/>
  <c r="W43" i="19" s="1"/>
  <c r="V33" i="19" a="1"/>
  <c r="V33" i="19" s="1"/>
  <c r="W33" i="19" s="1"/>
  <c r="V32" i="19" a="1"/>
  <c r="V32" i="19" s="1"/>
  <c r="W32" i="19" s="1"/>
  <c r="AK26" i="19" a="1"/>
  <c r="AK26" i="19" s="1"/>
  <c r="V11" i="19" a="1"/>
  <c r="V11" i="19" s="1"/>
  <c r="W11" i="19" s="1"/>
  <c r="V50" i="19" a="1"/>
  <c r="V50" i="19" s="1"/>
  <c r="W50" i="19" s="1"/>
  <c r="AL26" i="19" a="1"/>
  <c r="AL26" i="19" s="1"/>
  <c r="AM26" i="19" s="1"/>
  <c r="U15" i="19" a="1"/>
  <c r="U15" i="19" s="1"/>
  <c r="AL29" i="19" a="1"/>
  <c r="AL29" i="19" s="1"/>
  <c r="AM29" i="19" s="1"/>
  <c r="AK19" i="19" a="1"/>
  <c r="AK19" i="19" s="1"/>
  <c r="U43" i="19" a="1"/>
  <c r="U43" i="19" s="1"/>
  <c r="AK12" i="19" a="1"/>
  <c r="AK12" i="19" s="1"/>
  <c r="AK39" i="19" a="1"/>
  <c r="AK39" i="19" s="1"/>
  <c r="U36" i="19" a="1"/>
  <c r="U36" i="19" s="1"/>
  <c r="AK14" i="19" a="1"/>
  <c r="AK14" i="19" s="1"/>
  <c r="U47" i="19" a="1"/>
  <c r="U47" i="19" s="1"/>
  <c r="AK47" i="19" a="1"/>
  <c r="AK47" i="19" s="1"/>
  <c r="AK17" i="19" a="1"/>
  <c r="AK17" i="19" s="1"/>
  <c r="AK31" i="19" a="1"/>
  <c r="AK31" i="19" s="1"/>
  <c r="AL8" i="19" a="1"/>
  <c r="AL8" i="19" s="1"/>
  <c r="AM8" i="19" s="1"/>
  <c r="AL12" i="19" a="1"/>
  <c r="AL12" i="19" s="1"/>
  <c r="AM12" i="19" s="1"/>
  <c r="AK36" i="19" a="1"/>
  <c r="AK36" i="19" s="1"/>
  <c r="V19" i="19" a="1"/>
  <c r="V19" i="19" s="1"/>
  <c r="W19" i="19" s="1"/>
  <c r="U11" i="19" a="1"/>
  <c r="U11" i="19" s="1"/>
  <c r="V8" i="19" a="1"/>
  <c r="V8" i="19" s="1"/>
  <c r="W8" i="19" s="1"/>
  <c r="AL41" i="19" a="1"/>
  <c r="AL41" i="19" s="1"/>
  <c r="AM41" i="19" s="1"/>
  <c r="U46" i="19" a="1"/>
  <c r="U46" i="19" s="1"/>
  <c r="AK50" i="19" a="1"/>
  <c r="AK50" i="19" s="1"/>
  <c r="AK13" i="19" a="1"/>
  <c r="AK13" i="19" s="1"/>
  <c r="C66" i="19"/>
  <c r="C65" i="19"/>
  <c r="F49" i="3"/>
  <c r="E50" i="3"/>
  <c r="V4" i="3"/>
  <c r="W51" i="3" s="1"/>
  <c r="AL4" i="3"/>
  <c r="AM51" i="3" s="1"/>
  <c r="D98" i="4" l="1"/>
  <c r="AC46" i="4"/>
  <c r="D149" i="4"/>
  <c r="AC97" i="4"/>
  <c r="E47" i="4"/>
  <c r="E99" i="4" s="1"/>
  <c r="E151" i="4" s="1"/>
  <c r="H47" i="4"/>
  <c r="H99" i="4" s="1"/>
  <c r="H151" i="4" s="1"/>
  <c r="L47" i="4"/>
  <c r="L99" i="4" s="1"/>
  <c r="L151" i="4" s="1"/>
  <c r="P47" i="4"/>
  <c r="P99" i="4" s="1"/>
  <c r="P151" i="4" s="1"/>
  <c r="D47" i="4"/>
  <c r="I47" i="4"/>
  <c r="I99" i="4" s="1"/>
  <c r="I151" i="4" s="1"/>
  <c r="Q47" i="4"/>
  <c r="Q99" i="4" s="1"/>
  <c r="Q151" i="4" s="1"/>
  <c r="G47" i="4"/>
  <c r="G99" i="4" s="1"/>
  <c r="G151" i="4" s="1"/>
  <c r="J47" i="4"/>
  <c r="J99" i="4" s="1"/>
  <c r="J151" i="4" s="1"/>
  <c r="N47" i="4"/>
  <c r="N99" i="4" s="1"/>
  <c r="N151" i="4" s="1"/>
  <c r="R47" i="4"/>
  <c r="R99" i="4" s="1"/>
  <c r="R151" i="4" s="1"/>
  <c r="C48" i="4"/>
  <c r="F47" i="4"/>
  <c r="F99" i="4" s="1"/>
  <c r="F151" i="4" s="1"/>
  <c r="K47" i="4"/>
  <c r="K99" i="4" s="1"/>
  <c r="K151" i="4" s="1"/>
  <c r="O47" i="4"/>
  <c r="O99" i="4" s="1"/>
  <c r="O151" i="4" s="1"/>
  <c r="S47" i="4"/>
  <c r="S99" i="4" s="1"/>
  <c r="S151" i="4" s="1"/>
  <c r="M47" i="4"/>
  <c r="M99" i="4" s="1"/>
  <c r="M151" i="4" s="1"/>
  <c r="T47" i="4"/>
  <c r="T99" i="4" s="1"/>
  <c r="T151" i="4" s="1"/>
  <c r="U47" i="4"/>
  <c r="U99" i="4" s="1"/>
  <c r="U151" i="4" s="1"/>
  <c r="V47" i="4"/>
  <c r="V99" i="4" s="1"/>
  <c r="V151" i="4" s="1"/>
  <c r="W47" i="4"/>
  <c r="W99" i="4" s="1"/>
  <c r="W151" i="4" s="1"/>
  <c r="X47" i="4"/>
  <c r="X99" i="4" s="1"/>
  <c r="X151" i="4" s="1"/>
  <c r="Y47" i="4"/>
  <c r="Y99" i="4" s="1"/>
  <c r="Y151" i="4" s="1"/>
  <c r="Z47" i="4"/>
  <c r="Z99" i="4" s="1"/>
  <c r="Z151" i="4" s="1"/>
  <c r="AA47" i="4"/>
  <c r="AA99" i="4" s="1"/>
  <c r="AA151" i="4" s="1"/>
  <c r="AB47" i="4"/>
  <c r="AB99" i="4" s="1"/>
  <c r="AB151" i="4" s="1"/>
  <c r="U115" i="19"/>
  <c r="O11" i="2"/>
  <c r="AK138" i="19"/>
  <c r="AK139" i="19"/>
  <c r="AK73" i="19"/>
  <c r="AK72" i="19"/>
  <c r="AK65" i="19"/>
  <c r="AK64" i="19"/>
  <c r="V56" i="19"/>
  <c r="V55" i="19"/>
  <c r="AK110" i="19"/>
  <c r="AK111" i="19"/>
  <c r="AK62" i="19"/>
  <c r="AK63" i="19"/>
  <c r="AL97" i="19"/>
  <c r="AL98" i="19"/>
  <c r="V61" i="19"/>
  <c r="V62" i="19"/>
  <c r="V126" i="19"/>
  <c r="V125" i="19"/>
  <c r="U120" i="19"/>
  <c r="U121" i="19"/>
  <c r="U72" i="19"/>
  <c r="U73" i="19"/>
  <c r="AK106" i="19"/>
  <c r="AK107" i="19"/>
  <c r="S76" i="19"/>
  <c r="S75" i="19"/>
  <c r="AK74" i="19"/>
  <c r="AK75" i="19"/>
  <c r="AL88" i="19"/>
  <c r="AL87" i="19"/>
  <c r="V92" i="19"/>
  <c r="V91" i="19"/>
  <c r="AL117" i="19"/>
  <c r="AL118" i="19"/>
  <c r="AL113" i="19"/>
  <c r="AL114" i="19"/>
  <c r="U70" i="19"/>
  <c r="U71" i="19"/>
  <c r="U140" i="19"/>
  <c r="U141" i="19"/>
  <c r="AL93" i="19"/>
  <c r="AL94" i="19"/>
  <c r="AK61" i="19"/>
  <c r="AK60" i="19"/>
  <c r="V72" i="19"/>
  <c r="V71" i="19"/>
  <c r="U88" i="19"/>
  <c r="U89" i="19"/>
  <c r="V97" i="19"/>
  <c r="V98" i="19"/>
  <c r="AL116" i="19"/>
  <c r="AL115" i="19"/>
  <c r="U106" i="19"/>
  <c r="U107" i="19"/>
  <c r="AL137" i="19"/>
  <c r="AL138" i="19"/>
  <c r="V64" i="19"/>
  <c r="V63" i="19"/>
  <c r="U54" i="19"/>
  <c r="U55" i="19"/>
  <c r="U85" i="19"/>
  <c r="U84" i="19"/>
  <c r="AK121" i="19"/>
  <c r="AK120" i="19"/>
  <c r="AL112" i="19"/>
  <c r="AL111" i="19"/>
  <c r="AL132" i="19"/>
  <c r="AL131" i="19"/>
  <c r="AL107" i="19"/>
  <c r="AL108" i="19"/>
  <c r="AK109" i="19"/>
  <c r="AK108" i="19"/>
  <c r="V89" i="19"/>
  <c r="V90" i="19"/>
  <c r="V60" i="19"/>
  <c r="V59" i="19"/>
  <c r="AL101" i="19"/>
  <c r="AL102" i="19"/>
  <c r="U102" i="19"/>
  <c r="U103" i="19"/>
  <c r="AK97" i="19"/>
  <c r="AK96" i="19"/>
  <c r="U76" i="19"/>
  <c r="U77" i="19"/>
  <c r="V88" i="19"/>
  <c r="V87" i="19"/>
  <c r="U122" i="19"/>
  <c r="U123" i="19"/>
  <c r="AL89" i="19"/>
  <c r="AL90" i="19"/>
  <c r="AL56" i="19"/>
  <c r="AL55" i="19"/>
  <c r="U130" i="19"/>
  <c r="U131" i="19"/>
  <c r="V77" i="19"/>
  <c r="V78" i="19"/>
  <c r="AK133" i="19"/>
  <c r="AK132" i="19"/>
  <c r="AK117" i="19"/>
  <c r="AK116" i="19"/>
  <c r="AK77" i="19"/>
  <c r="AK76" i="19"/>
  <c r="V105" i="19"/>
  <c r="V106" i="19"/>
  <c r="V65" i="19"/>
  <c r="V66" i="19"/>
  <c r="AL85" i="19"/>
  <c r="AL86" i="19"/>
  <c r="AK94" i="19"/>
  <c r="AK95" i="19"/>
  <c r="AL105" i="19"/>
  <c r="AL106" i="19"/>
  <c r="AL72" i="19"/>
  <c r="AL71" i="19"/>
  <c r="AK130" i="19"/>
  <c r="AK131" i="19"/>
  <c r="V117" i="19"/>
  <c r="V118" i="19"/>
  <c r="V94" i="19"/>
  <c r="V93" i="19"/>
  <c r="U138" i="19"/>
  <c r="U139" i="19"/>
  <c r="U112" i="19"/>
  <c r="U113" i="19"/>
  <c r="U96" i="19"/>
  <c r="U97" i="19"/>
  <c r="U92" i="19"/>
  <c r="U93" i="19"/>
  <c r="U56" i="19"/>
  <c r="U57" i="19"/>
  <c r="AL76" i="19"/>
  <c r="AL75" i="19"/>
  <c r="AL124" i="19"/>
  <c r="AL123" i="19"/>
  <c r="AL140" i="19"/>
  <c r="AL139" i="19"/>
  <c r="V109" i="19"/>
  <c r="V110" i="19"/>
  <c r="AK141" i="19"/>
  <c r="AK140" i="19"/>
  <c r="U98" i="19"/>
  <c r="U99" i="19"/>
  <c r="V101" i="19"/>
  <c r="V102" i="19"/>
  <c r="U134" i="19"/>
  <c r="U135" i="19"/>
  <c r="U94" i="19"/>
  <c r="U95" i="19"/>
  <c r="V133" i="19"/>
  <c r="V134" i="19"/>
  <c r="AL77" i="19"/>
  <c r="AL78" i="19"/>
  <c r="V85" i="19"/>
  <c r="V86" i="19"/>
  <c r="AK70" i="19"/>
  <c r="AK71" i="19"/>
  <c r="V136" i="19"/>
  <c r="V135" i="19"/>
  <c r="V84" i="19"/>
  <c r="V83" i="19"/>
  <c r="U64" i="19"/>
  <c r="U65" i="19"/>
  <c r="AL128" i="19"/>
  <c r="AL127" i="19"/>
  <c r="AK93" i="19"/>
  <c r="AK92" i="19"/>
  <c r="AL80" i="19"/>
  <c r="AL79" i="19"/>
  <c r="V100" i="19"/>
  <c r="V99" i="19"/>
  <c r="AL100" i="19"/>
  <c r="AL99" i="19"/>
  <c r="U128" i="19"/>
  <c r="U129" i="19"/>
  <c r="U58" i="19"/>
  <c r="U59" i="19"/>
  <c r="AL81" i="19"/>
  <c r="AL82" i="19"/>
  <c r="AL121" i="19"/>
  <c r="AL122" i="19"/>
  <c r="AK66" i="19"/>
  <c r="AK67" i="19"/>
  <c r="U110" i="19"/>
  <c r="U111" i="19"/>
  <c r="U124" i="19"/>
  <c r="U125" i="19"/>
  <c r="V140" i="19"/>
  <c r="V139" i="19"/>
  <c r="V104" i="19"/>
  <c r="V103" i="19"/>
  <c r="U80" i="19"/>
  <c r="U81" i="19"/>
  <c r="AL109" i="19"/>
  <c r="AL110" i="19"/>
  <c r="V121" i="19"/>
  <c r="V122" i="19"/>
  <c r="V69" i="19"/>
  <c r="V70" i="19"/>
  <c r="U86" i="19"/>
  <c r="U87" i="19"/>
  <c r="V108" i="19"/>
  <c r="V107" i="19"/>
  <c r="AK57" i="19"/>
  <c r="AK56" i="19"/>
  <c r="V132" i="19"/>
  <c r="V131" i="19"/>
  <c r="AL104" i="19"/>
  <c r="AL103" i="19"/>
  <c r="AK86" i="19"/>
  <c r="AK87" i="19"/>
  <c r="AL61" i="19"/>
  <c r="AL62" i="19"/>
  <c r="W7" i="19"/>
  <c r="AK81" i="19"/>
  <c r="AK80" i="19"/>
  <c r="AL96" i="19"/>
  <c r="AL95" i="19"/>
  <c r="AK137" i="19"/>
  <c r="AK136" i="19"/>
  <c r="U82" i="19"/>
  <c r="U83" i="19"/>
  <c r="V120" i="19"/>
  <c r="V119" i="19"/>
  <c r="U108" i="19"/>
  <c r="U109" i="19"/>
  <c r="V57" i="19"/>
  <c r="V58" i="19"/>
  <c r="AK58" i="19"/>
  <c r="AK59" i="19"/>
  <c r="AK118" i="19"/>
  <c r="AK119" i="19"/>
  <c r="U117" i="19"/>
  <c r="U116" i="19"/>
  <c r="AL65" i="19"/>
  <c r="AL66" i="19"/>
  <c r="V114" i="19"/>
  <c r="V113" i="19"/>
  <c r="V96" i="19"/>
  <c r="V95" i="19"/>
  <c r="U66" i="19"/>
  <c r="U67" i="19"/>
  <c r="V76" i="19"/>
  <c r="V75" i="19"/>
  <c r="AL73" i="19"/>
  <c r="AL74" i="19"/>
  <c r="U104" i="19"/>
  <c r="U105" i="19"/>
  <c r="AK126" i="19"/>
  <c r="AK127" i="19"/>
  <c r="V68" i="19"/>
  <c r="V67" i="19"/>
  <c r="AK105" i="19"/>
  <c r="AK104" i="19"/>
  <c r="AK125" i="19"/>
  <c r="AK124" i="19"/>
  <c r="V73" i="19"/>
  <c r="V74" i="19"/>
  <c r="U62" i="19"/>
  <c r="U63" i="19"/>
  <c r="U136" i="19"/>
  <c r="U137" i="19"/>
  <c r="AL125" i="19"/>
  <c r="AL126" i="19"/>
  <c r="AL136" i="19"/>
  <c r="AL135" i="19"/>
  <c r="U74" i="19"/>
  <c r="U75" i="19"/>
  <c r="U52" i="19"/>
  <c r="U53" i="19"/>
  <c r="AL68" i="19"/>
  <c r="AL67" i="19"/>
  <c r="U60" i="19"/>
  <c r="U61" i="19"/>
  <c r="AL64" i="19"/>
  <c r="AL63" i="19"/>
  <c r="AK101" i="19"/>
  <c r="AK100" i="19"/>
  <c r="U133" i="19"/>
  <c r="U132" i="19"/>
  <c r="U69" i="19"/>
  <c r="U68" i="19"/>
  <c r="AL92" i="19"/>
  <c r="AL91" i="19"/>
  <c r="AK90" i="19"/>
  <c r="AK91" i="19"/>
  <c r="AK98" i="19"/>
  <c r="AK99" i="19"/>
  <c r="V80" i="19"/>
  <c r="V79" i="19"/>
  <c r="V137" i="19"/>
  <c r="V138" i="19"/>
  <c r="AL133" i="19"/>
  <c r="AL134" i="19"/>
  <c r="AK89" i="19"/>
  <c r="AK88" i="19"/>
  <c r="AL120" i="19"/>
  <c r="AL119" i="19"/>
  <c r="U118" i="19"/>
  <c r="U119" i="19"/>
  <c r="V130" i="19"/>
  <c r="V129" i="19"/>
  <c r="U78" i="19"/>
  <c r="U79" i="19"/>
  <c r="V115" i="19"/>
  <c r="V116" i="19"/>
  <c r="V82" i="19"/>
  <c r="V81" i="19"/>
  <c r="AL69" i="19"/>
  <c r="AL70" i="19"/>
  <c r="AK113" i="19"/>
  <c r="AK112" i="19"/>
  <c r="V124" i="19"/>
  <c r="V123" i="19"/>
  <c r="AL129" i="19"/>
  <c r="AL130" i="19"/>
  <c r="AM7" i="19"/>
  <c r="AK54" i="19"/>
  <c r="AK55" i="19"/>
  <c r="AK129" i="19"/>
  <c r="AK128" i="19"/>
  <c r="AK102" i="19"/>
  <c r="AK103" i="19"/>
  <c r="AK82" i="19"/>
  <c r="AK83" i="19"/>
  <c r="AK78" i="19"/>
  <c r="AK79" i="19"/>
  <c r="AK85" i="19"/>
  <c r="AK84" i="19"/>
  <c r="U90" i="19"/>
  <c r="U91" i="19"/>
  <c r="AK52" i="19"/>
  <c r="AK53" i="19"/>
  <c r="U126" i="19"/>
  <c r="U127" i="19"/>
  <c r="AL84" i="19"/>
  <c r="AL83" i="19"/>
  <c r="AK134" i="19"/>
  <c r="AK135" i="19"/>
  <c r="AL57" i="19"/>
  <c r="AL58" i="19"/>
  <c r="AK122" i="19"/>
  <c r="AK123" i="19"/>
  <c r="U101" i="19"/>
  <c r="U100" i="19"/>
  <c r="V112" i="19"/>
  <c r="V111" i="19"/>
  <c r="AK69" i="19"/>
  <c r="AK68" i="19"/>
  <c r="V128" i="19"/>
  <c r="V127" i="19"/>
  <c r="AL60" i="19"/>
  <c r="AL59" i="19"/>
  <c r="C68" i="19"/>
  <c r="C67" i="19"/>
  <c r="O6" i="2"/>
  <c r="W50" i="3"/>
  <c r="F50" i="3"/>
  <c r="E51" i="3"/>
  <c r="W6" i="2"/>
  <c r="W11" i="2"/>
  <c r="W12" i="3"/>
  <c r="W16" i="3"/>
  <c r="W20" i="3"/>
  <c r="W24" i="3"/>
  <c r="W28" i="3"/>
  <c r="W32" i="3"/>
  <c r="W36" i="3"/>
  <c r="W7" i="3"/>
  <c r="W11" i="3"/>
  <c r="W13" i="3"/>
  <c r="W17" i="3"/>
  <c r="W21" i="3"/>
  <c r="W25" i="3"/>
  <c r="W29" i="3"/>
  <c r="W33" i="3"/>
  <c r="W9" i="3"/>
  <c r="W15" i="3"/>
  <c r="W19" i="3"/>
  <c r="W23" i="3"/>
  <c r="W27" i="3"/>
  <c r="W31" i="3"/>
  <c r="W35" i="3"/>
  <c r="W10" i="3"/>
  <c r="W14" i="3"/>
  <c r="W18" i="3"/>
  <c r="W22" i="3"/>
  <c r="W26" i="3"/>
  <c r="W30" i="3"/>
  <c r="W34" i="3"/>
  <c r="W8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AM10" i="3"/>
  <c r="AM9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7" i="3"/>
  <c r="AM8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D99" i="4" l="1"/>
  <c r="AC47" i="4"/>
  <c r="D48" i="4"/>
  <c r="H48" i="4"/>
  <c r="L48" i="4"/>
  <c r="P48" i="4"/>
  <c r="T48" i="4"/>
  <c r="G48" i="4"/>
  <c r="J48" i="4"/>
  <c r="N48" i="4"/>
  <c r="R48" i="4"/>
  <c r="E48" i="4"/>
  <c r="I48" i="4"/>
  <c r="M48" i="4"/>
  <c r="Q48" i="4"/>
  <c r="F48" i="4"/>
  <c r="K48" i="4"/>
  <c r="O48" i="4"/>
  <c r="S48" i="4"/>
  <c r="U48" i="4"/>
  <c r="V48" i="4"/>
  <c r="W48" i="4"/>
  <c r="X48" i="4"/>
  <c r="Y48" i="4"/>
  <c r="Z48" i="4"/>
  <c r="AA48" i="4"/>
  <c r="AB48" i="4"/>
  <c r="D150" i="4"/>
  <c r="AC98" i="4"/>
  <c r="W4" i="19"/>
  <c r="V53" i="19"/>
  <c r="V54" i="19"/>
  <c r="W54" i="19" s="1"/>
  <c r="W55" i="19" s="1"/>
  <c r="S78" i="19"/>
  <c r="S77" i="19"/>
  <c r="AL53" i="19"/>
  <c r="AL54" i="19"/>
  <c r="AM54" i="19" s="1"/>
  <c r="AM55" i="19" s="1"/>
  <c r="AM4" i="19"/>
  <c r="C70" i="19"/>
  <c r="C69" i="19"/>
  <c r="F51" i="3"/>
  <c r="E33" i="19" s="1" a="1"/>
  <c r="E33" i="19" s="1"/>
  <c r="W4" i="3"/>
  <c r="W12" i="2"/>
  <c r="W7" i="2"/>
  <c r="O7" i="2"/>
  <c r="O12" i="2"/>
  <c r="AM4" i="3"/>
  <c r="AB100" i="4" l="1"/>
  <c r="AC49" i="4"/>
  <c r="AB49" i="4"/>
  <c r="S100" i="4"/>
  <c r="S49" i="4"/>
  <c r="R100" i="4"/>
  <c r="R49" i="4"/>
  <c r="AA100" i="4"/>
  <c r="AA49" i="4"/>
  <c r="W100" i="4"/>
  <c r="W49" i="4"/>
  <c r="O100" i="4"/>
  <c r="O49" i="4"/>
  <c r="M100" i="4"/>
  <c r="M49" i="4"/>
  <c r="N100" i="4"/>
  <c r="N152" i="4" s="1"/>
  <c r="N49" i="4"/>
  <c r="P100" i="4"/>
  <c r="P49" i="4"/>
  <c r="Q100" i="4"/>
  <c r="Q49" i="4"/>
  <c r="D100" i="4"/>
  <c r="D49" i="4"/>
  <c r="AC48" i="4"/>
  <c r="Z100" i="4"/>
  <c r="Z49" i="4"/>
  <c r="V100" i="4"/>
  <c r="V49" i="4"/>
  <c r="K100" i="4"/>
  <c r="K152" i="4" s="1"/>
  <c r="K49" i="4"/>
  <c r="I100" i="4"/>
  <c r="I152" i="4" s="1"/>
  <c r="I49" i="4"/>
  <c r="J100" i="4"/>
  <c r="J152" i="4" s="1"/>
  <c r="J49" i="4"/>
  <c r="L100" i="4"/>
  <c r="L152" i="4" s="1"/>
  <c r="L49" i="4"/>
  <c r="X100" i="4"/>
  <c r="X49" i="4"/>
  <c r="T100" i="4"/>
  <c r="T49" i="4"/>
  <c r="Y100" i="4"/>
  <c r="Y49" i="4"/>
  <c r="U100" i="4"/>
  <c r="U49" i="4"/>
  <c r="F100" i="4"/>
  <c r="F152" i="4" s="1"/>
  <c r="F49" i="4"/>
  <c r="E100" i="4"/>
  <c r="E152" i="4" s="1"/>
  <c r="E49" i="4"/>
  <c r="G100" i="4"/>
  <c r="G152" i="4" s="1"/>
  <c r="G49" i="4"/>
  <c r="H100" i="4"/>
  <c r="H152" i="4" s="1"/>
  <c r="H49" i="4"/>
  <c r="D151" i="4"/>
  <c r="AC99" i="4"/>
  <c r="F30" i="19" a="1"/>
  <c r="F30" i="19" s="1"/>
  <c r="G30" i="19" s="1"/>
  <c r="F20" i="19" a="1"/>
  <c r="F20" i="19" s="1"/>
  <c r="E50" i="19" a="1"/>
  <c r="E50" i="19" s="1"/>
  <c r="F22" i="19" a="1"/>
  <c r="F22" i="19" s="1"/>
  <c r="E44" i="19" a="1"/>
  <c r="E44" i="19" s="1"/>
  <c r="E30" i="19" a="1"/>
  <c r="E30" i="19" s="1"/>
  <c r="F12" i="19" a="1"/>
  <c r="F12" i="19" s="1"/>
  <c r="F43" i="19" a="1"/>
  <c r="F43" i="19" s="1"/>
  <c r="G43" i="19" s="1"/>
  <c r="F42" i="19" a="1"/>
  <c r="F42" i="19" s="1"/>
  <c r="G42" i="19" s="1"/>
  <c r="E29" i="19" a="1"/>
  <c r="E29" i="19" s="1"/>
  <c r="E22" i="19" a="1"/>
  <c r="E22" i="19" s="1"/>
  <c r="E20" i="19" a="1"/>
  <c r="E20" i="19" s="1"/>
  <c r="F35" i="19" a="1"/>
  <c r="F35" i="19" s="1"/>
  <c r="G35" i="19" s="1"/>
  <c r="E10" i="19" a="1"/>
  <c r="E10" i="19" s="1"/>
  <c r="E25" i="19" a="1"/>
  <c r="E25" i="19" s="1"/>
  <c r="E43" i="19" a="1"/>
  <c r="E43" i="19" s="1"/>
  <c r="F37" i="19" a="1"/>
  <c r="F37" i="19" s="1"/>
  <c r="G37" i="19" s="1"/>
  <c r="F49" i="19" a="1"/>
  <c r="F49" i="19" s="1"/>
  <c r="G49" i="19" s="1"/>
  <c r="E31" i="19" a="1"/>
  <c r="E31" i="19" s="1"/>
  <c r="E11" i="19" a="1"/>
  <c r="E11" i="19" s="1"/>
  <c r="F19" i="19" a="1"/>
  <c r="F19" i="19" s="1"/>
  <c r="G19" i="19" s="1"/>
  <c r="E15" i="19" a="1"/>
  <c r="E15" i="19" s="1"/>
  <c r="F38" i="19" a="1"/>
  <c r="F38" i="19" s="1"/>
  <c r="G38" i="19" s="1"/>
  <c r="F31" i="19" a="1"/>
  <c r="F31" i="19" s="1"/>
  <c r="G31" i="19" s="1"/>
  <c r="F16" i="19" a="1"/>
  <c r="F16" i="19" s="1"/>
  <c r="F44" i="19" a="1"/>
  <c r="F44" i="19" s="1"/>
  <c r="G44" i="19" s="1"/>
  <c r="E24" i="19" a="1"/>
  <c r="E24" i="19" s="1"/>
  <c r="F34" i="19" a="1"/>
  <c r="F34" i="19" s="1"/>
  <c r="G34" i="19" s="1"/>
  <c r="E28" i="19" a="1"/>
  <c r="E28" i="19" s="1"/>
  <c r="E51" i="19" a="1"/>
  <c r="E51" i="19" s="1"/>
  <c r="E14" i="19" a="1"/>
  <c r="E14" i="19" s="1"/>
  <c r="E12" i="19" a="1"/>
  <c r="E12" i="19" s="1"/>
  <c r="E21" i="19" a="1"/>
  <c r="E21" i="19" s="1"/>
  <c r="F26" i="19" a="1"/>
  <c r="F26" i="19" s="1"/>
  <c r="G26" i="19" s="1"/>
  <c r="F17" i="19" a="1"/>
  <c r="F17" i="19" s="1"/>
  <c r="G17" i="19" s="1"/>
  <c r="E17" i="19" a="1"/>
  <c r="E17" i="19" s="1"/>
  <c r="F41" i="19" a="1"/>
  <c r="F41" i="19" s="1"/>
  <c r="G41" i="19" s="1"/>
  <c r="E49" i="19" a="1"/>
  <c r="E49" i="19" s="1"/>
  <c r="E36" i="19" a="1"/>
  <c r="E36" i="19" s="1"/>
  <c r="F40" i="19" a="1"/>
  <c r="F40" i="19" s="1"/>
  <c r="G40" i="19" s="1"/>
  <c r="F18" i="19" a="1"/>
  <c r="F18" i="19" s="1"/>
  <c r="G18" i="19" s="1"/>
  <c r="E46" i="19" a="1"/>
  <c r="E46" i="19" s="1"/>
  <c r="E23" i="19" a="1"/>
  <c r="E23" i="19" s="1"/>
  <c r="E9" i="19" a="1"/>
  <c r="E9" i="19" s="1"/>
  <c r="F36" i="19" a="1"/>
  <c r="F36" i="19" s="1"/>
  <c r="G36" i="19" s="1"/>
  <c r="E32" i="19" a="1"/>
  <c r="E32" i="19" s="1"/>
  <c r="E48" i="19" a="1"/>
  <c r="E48" i="19" s="1"/>
  <c r="F21" i="19" a="1"/>
  <c r="F21" i="19" s="1"/>
  <c r="G21" i="19" s="1"/>
  <c r="F29" i="19" a="1"/>
  <c r="F29" i="19" s="1"/>
  <c r="G29" i="19" s="1"/>
  <c r="F50" i="19" a="1"/>
  <c r="F50" i="19" s="1"/>
  <c r="G50" i="19" s="1"/>
  <c r="F25" i="19" a="1"/>
  <c r="F25" i="19" s="1"/>
  <c r="E27" i="19" a="1"/>
  <c r="E27" i="19" s="1"/>
  <c r="E13" i="19" a="1"/>
  <c r="E13" i="19" s="1"/>
  <c r="F11" i="19" a="1"/>
  <c r="F11" i="19" s="1"/>
  <c r="G11" i="19" s="1"/>
  <c r="E16" i="19" a="1"/>
  <c r="E16" i="19" s="1"/>
  <c r="F28" i="19" a="1"/>
  <c r="F28" i="19" s="1"/>
  <c r="E41" i="19" a="1"/>
  <c r="E41" i="19" s="1"/>
  <c r="E42" i="19" a="1"/>
  <c r="E42" i="19" s="1"/>
  <c r="E45" i="19" a="1"/>
  <c r="E45" i="19" s="1"/>
  <c r="F33" i="19" a="1"/>
  <c r="F33" i="19" s="1"/>
  <c r="G33" i="19" s="1"/>
  <c r="E40" i="19" a="1"/>
  <c r="E40" i="19" s="1"/>
  <c r="F45" i="19" a="1"/>
  <c r="F45" i="19" s="1"/>
  <c r="G45" i="19" s="1"/>
  <c r="E19" i="19" a="1"/>
  <c r="E19" i="19" s="1"/>
  <c r="F24" i="19" a="1"/>
  <c r="F24" i="19" s="1"/>
  <c r="G24" i="19" s="1"/>
  <c r="F39" i="19" a="1"/>
  <c r="F39" i="19" s="1"/>
  <c r="G39" i="19" s="1"/>
  <c r="F48" i="19" a="1"/>
  <c r="F48" i="19" s="1"/>
  <c r="G48" i="19" s="1"/>
  <c r="E8" i="19" a="1"/>
  <c r="E8" i="19" s="1"/>
  <c r="E35" i="19" a="1"/>
  <c r="E35" i="19" s="1"/>
  <c r="F13" i="19" a="1"/>
  <c r="F13" i="19" s="1"/>
  <c r="G13" i="19" s="1"/>
  <c r="F23" i="19" a="1"/>
  <c r="F23" i="19" s="1"/>
  <c r="G23" i="19" s="1"/>
  <c r="E47" i="19" a="1"/>
  <c r="E47" i="19" s="1"/>
  <c r="F51" i="19" a="1"/>
  <c r="F51" i="19" s="1"/>
  <c r="G51" i="19" s="1"/>
  <c r="F141" i="19" s="1"/>
  <c r="F9" i="19" a="1"/>
  <c r="F9" i="19" s="1"/>
  <c r="G9" i="19" s="1"/>
  <c r="F8" i="19" a="1"/>
  <c r="F8" i="19" s="1"/>
  <c r="G8" i="19" s="1"/>
  <c r="F47" i="19" a="1"/>
  <c r="F47" i="19" s="1"/>
  <c r="G47" i="19" s="1"/>
  <c r="E37" i="19" a="1"/>
  <c r="E37" i="19" s="1"/>
  <c r="F27" i="19" a="1"/>
  <c r="F27" i="19" s="1"/>
  <c r="G27" i="19" s="1"/>
  <c r="E34" i="19" a="1"/>
  <c r="E34" i="19" s="1"/>
  <c r="E38" i="19" a="1"/>
  <c r="E38" i="19" s="1"/>
  <c r="F32" i="19" a="1"/>
  <c r="F32" i="19" s="1"/>
  <c r="G32" i="19" s="1"/>
  <c r="F15" i="19" a="1"/>
  <c r="F15" i="19" s="1"/>
  <c r="G15" i="19" s="1"/>
  <c r="F14" i="19" a="1"/>
  <c r="F14" i="19" s="1"/>
  <c r="G14" i="19" s="1"/>
  <c r="E18" i="19" a="1"/>
  <c r="E18" i="19" s="1"/>
  <c r="E26" i="19" a="1"/>
  <c r="E26" i="19" s="1"/>
  <c r="F46" i="19" a="1"/>
  <c r="F46" i="19" s="1"/>
  <c r="G46" i="19" s="1"/>
  <c r="E39" i="19" a="1"/>
  <c r="E39" i="19" s="1"/>
  <c r="F10" i="19" a="1"/>
  <c r="F10" i="19" s="1"/>
  <c r="G10" i="19" s="1"/>
  <c r="AM56" i="19"/>
  <c r="AM58" i="19" s="1"/>
  <c r="AM60" i="19" s="1"/>
  <c r="AM61" i="19" s="1"/>
  <c r="W56" i="19"/>
  <c r="S79" i="19"/>
  <c r="S80" i="19"/>
  <c r="S81" i="19" s="1"/>
  <c r="F7" i="19" a="1"/>
  <c r="F7" i="19" s="1"/>
  <c r="AM53" i="19"/>
  <c r="AL4" i="19"/>
  <c r="W53" i="19"/>
  <c r="V4" i="19"/>
  <c r="E7" i="19" a="1"/>
  <c r="E7" i="19" s="1"/>
  <c r="C71" i="19"/>
  <c r="C72" i="19"/>
  <c r="F4" i="3"/>
  <c r="G6" i="2" s="1"/>
  <c r="G11" i="2"/>
  <c r="G28" i="19" l="1"/>
  <c r="I33" i="19"/>
  <c r="G25" i="19"/>
  <c r="I27" i="19"/>
  <c r="G22" i="19"/>
  <c r="F84" i="19" s="1"/>
  <c r="I24" i="19"/>
  <c r="I21" i="19"/>
  <c r="G16" i="19"/>
  <c r="F71" i="19" s="1"/>
  <c r="I15" i="19"/>
  <c r="G20" i="19"/>
  <c r="F79" i="19" s="1"/>
  <c r="G12" i="19"/>
  <c r="F63" i="19" s="1"/>
  <c r="I11" i="19"/>
  <c r="M152" i="4"/>
  <c r="W4" i="38"/>
  <c r="X5" i="38"/>
  <c r="V5" i="38"/>
  <c r="S5" i="38"/>
  <c r="U5" i="38"/>
  <c r="W5" i="38"/>
  <c r="H73" i="38" s="1"/>
  <c r="V6" i="38"/>
  <c r="AC6" i="38" s="1"/>
  <c r="U7" i="38"/>
  <c r="F75" i="38" s="1"/>
  <c r="T7" i="38"/>
  <c r="Z8" i="38"/>
  <c r="AC8" i="38" s="1"/>
  <c r="U9" i="38"/>
  <c r="V9" i="38"/>
  <c r="G77" i="38" s="1"/>
  <c r="S10" i="38"/>
  <c r="AC10" i="38" s="1"/>
  <c r="AB11" i="38"/>
  <c r="AC11" i="38" s="1"/>
  <c r="X12" i="38"/>
  <c r="I80" i="38" s="1"/>
  <c r="T12" i="38"/>
  <c r="Y12" i="38"/>
  <c r="J80" i="38" s="1"/>
  <c r="V12" i="38"/>
  <c r="G80" i="38" s="1"/>
  <c r="W12" i="38"/>
  <c r="H80" i="38" s="1"/>
  <c r="X13" i="38"/>
  <c r="AC13" i="38" s="1"/>
  <c r="Y14" i="38"/>
  <c r="AC14" i="38" s="1"/>
  <c r="U15" i="38"/>
  <c r="AC15" i="38" s="1"/>
  <c r="U16" i="38"/>
  <c r="F84" i="38" s="1"/>
  <c r="T16" i="38"/>
  <c r="V16" i="38"/>
  <c r="G84" i="38" s="1"/>
  <c r="Z17" i="38"/>
  <c r="AC17" i="38" s="1"/>
  <c r="U18" i="38"/>
  <c r="W18" i="38"/>
  <c r="H86" i="38" s="1"/>
  <c r="Y18" i="38"/>
  <c r="J86" i="38" s="1"/>
  <c r="Y19" i="38"/>
  <c r="J87" i="38" s="1"/>
  <c r="U19" i="38"/>
  <c r="W19" i="38"/>
  <c r="H87" i="38" s="1"/>
  <c r="T20" i="38"/>
  <c r="V20" i="38"/>
  <c r="G88" i="38" s="1"/>
  <c r="Y20" i="38"/>
  <c r="J88" i="38" s="1"/>
  <c r="S21" i="38"/>
  <c r="T21" i="38"/>
  <c r="E89" i="38" s="1"/>
  <c r="X21" i="38"/>
  <c r="I89" i="38" s="1"/>
  <c r="Z21" i="38"/>
  <c r="K89" i="38" s="1"/>
  <c r="T22" i="38"/>
  <c r="Y22" i="38"/>
  <c r="J90" i="38" s="1"/>
  <c r="X22" i="38"/>
  <c r="I90" i="38" s="1"/>
  <c r="V23" i="38"/>
  <c r="G91" i="38" s="1"/>
  <c r="Z23" i="38"/>
  <c r="K91" i="38" s="1"/>
  <c r="U23" i="38"/>
  <c r="Z24" i="38"/>
  <c r="K92" i="38" s="1"/>
  <c r="V24" i="38"/>
  <c r="G92" i="38" s="1"/>
  <c r="W24" i="38"/>
  <c r="H92" i="38" s="1"/>
  <c r="U24" i="38"/>
  <c r="F92" i="38" s="1"/>
  <c r="T24" i="38"/>
  <c r="V25" i="38"/>
  <c r="Y25" i="38"/>
  <c r="J93" i="38" s="1"/>
  <c r="V26" i="38"/>
  <c r="AC26" i="38" s="1"/>
  <c r="W27" i="38"/>
  <c r="AC27" i="38" s="1"/>
  <c r="AB28" i="38"/>
  <c r="AC28" i="38" s="1"/>
  <c r="W29" i="38"/>
  <c r="AA29" i="38"/>
  <c r="L97" i="38" s="1"/>
  <c r="T30" i="38"/>
  <c r="AC30" i="38" s="1"/>
  <c r="D152" i="4"/>
  <c r="AC100" i="4"/>
  <c r="D101" i="4"/>
  <c r="T152" i="4"/>
  <c r="T101" i="4"/>
  <c r="V152" i="4"/>
  <c r="V101" i="4"/>
  <c r="P152" i="4"/>
  <c r="P101" i="4"/>
  <c r="W152" i="4"/>
  <c r="W101" i="4"/>
  <c r="S152" i="4"/>
  <c r="S101" i="4"/>
  <c r="Y152" i="4"/>
  <c r="Y101" i="4"/>
  <c r="X152" i="4"/>
  <c r="X101" i="4"/>
  <c r="Z152" i="4"/>
  <c r="Z101" i="4"/>
  <c r="O152" i="4"/>
  <c r="O101" i="4"/>
  <c r="AA152" i="4"/>
  <c r="AA101" i="4"/>
  <c r="R152" i="4"/>
  <c r="R101" i="4"/>
  <c r="F75" i="4"/>
  <c r="H62" i="4"/>
  <c r="J72" i="4"/>
  <c r="L65" i="4"/>
  <c r="N70" i="4"/>
  <c r="G79" i="4"/>
  <c r="I56" i="4"/>
  <c r="G75" i="4"/>
  <c r="G127" i="4" s="1"/>
  <c r="H66" i="4"/>
  <c r="H118" i="4" s="1"/>
  <c r="I79" i="4"/>
  <c r="I131" i="4" s="1"/>
  <c r="J71" i="4"/>
  <c r="J123" i="4" s="1"/>
  <c r="E69" i="4"/>
  <c r="F64" i="4"/>
  <c r="K81" i="4"/>
  <c r="K133" i="4" s="1"/>
  <c r="G61" i="4"/>
  <c r="K71" i="4"/>
  <c r="G77" i="4"/>
  <c r="F71" i="4"/>
  <c r="H75" i="4"/>
  <c r="H127" i="4" s="1"/>
  <c r="K77" i="4"/>
  <c r="K129" i="4" s="1"/>
  <c r="H61" i="4"/>
  <c r="G74" i="4"/>
  <c r="H71" i="4"/>
  <c r="H123" i="4" s="1"/>
  <c r="I71" i="4"/>
  <c r="I123" i="4" s="1"/>
  <c r="I61" i="4"/>
  <c r="I113" i="4" s="1"/>
  <c r="K79" i="4"/>
  <c r="K131" i="4" s="1"/>
  <c r="E61" i="4"/>
  <c r="G64" i="4"/>
  <c r="G116" i="4" s="1"/>
  <c r="J61" i="4"/>
  <c r="K73" i="4"/>
  <c r="L76" i="4"/>
  <c r="G66" i="4"/>
  <c r="F81" i="4"/>
  <c r="I77" i="4"/>
  <c r="I129" i="4" s="1"/>
  <c r="H81" i="4"/>
  <c r="H133" i="4" s="1"/>
  <c r="L83" i="4"/>
  <c r="L135" i="4" s="1"/>
  <c r="E83" i="4"/>
  <c r="J83" i="4"/>
  <c r="J135" i="4" s="1"/>
  <c r="F83" i="4"/>
  <c r="F135" i="4" s="1"/>
  <c r="F84" i="4"/>
  <c r="J84" i="4"/>
  <c r="J136" i="4" s="1"/>
  <c r="K84" i="4"/>
  <c r="K136" i="4" s="1"/>
  <c r="G85" i="4"/>
  <c r="L85" i="4"/>
  <c r="L137" i="4" s="1"/>
  <c r="H85" i="4"/>
  <c r="H137" i="4" s="1"/>
  <c r="F86" i="4"/>
  <c r="G86" i="4"/>
  <c r="G138" i="4" s="1"/>
  <c r="L86" i="4"/>
  <c r="L138" i="4" s="1"/>
  <c r="I86" i="4"/>
  <c r="I138" i="4" s="1"/>
  <c r="H86" i="4"/>
  <c r="H138" i="4" s="1"/>
  <c r="H88" i="4"/>
  <c r="K88" i="4"/>
  <c r="K140" i="4" s="1"/>
  <c r="H89" i="4"/>
  <c r="I90" i="4"/>
  <c r="N91" i="4"/>
  <c r="I94" i="4"/>
  <c r="M94" i="4"/>
  <c r="M146" i="4" s="1"/>
  <c r="F96" i="4"/>
  <c r="U152" i="4"/>
  <c r="U101" i="4"/>
  <c r="Q152" i="4"/>
  <c r="Q101" i="4"/>
  <c r="AB152" i="4"/>
  <c r="AB101" i="4"/>
  <c r="AM57" i="19"/>
  <c r="AM59" i="19"/>
  <c r="AM62" i="19"/>
  <c r="AM64" i="19" s="1"/>
  <c r="W58" i="19"/>
  <c r="W57" i="19"/>
  <c r="F83" i="19"/>
  <c r="E112" i="19"/>
  <c r="E113" i="19"/>
  <c r="F107" i="19"/>
  <c r="F108" i="19"/>
  <c r="E125" i="19"/>
  <c r="E124" i="19"/>
  <c r="E138" i="19"/>
  <c r="E139" i="19"/>
  <c r="F88" i="19"/>
  <c r="F87" i="19"/>
  <c r="E60" i="19"/>
  <c r="E61" i="19"/>
  <c r="F135" i="19"/>
  <c r="F136" i="19"/>
  <c r="E56" i="19"/>
  <c r="E57" i="19"/>
  <c r="E80" i="19"/>
  <c r="E81" i="19"/>
  <c r="E75" i="19"/>
  <c r="E74" i="19"/>
  <c r="E111" i="19"/>
  <c r="E110" i="19"/>
  <c r="F127" i="19"/>
  <c r="F128" i="19"/>
  <c r="E63" i="19"/>
  <c r="E62" i="19"/>
  <c r="E141" i="19"/>
  <c r="E140" i="19"/>
  <c r="E92" i="19"/>
  <c r="E93" i="19"/>
  <c r="E122" i="19"/>
  <c r="E123" i="19"/>
  <c r="E128" i="19"/>
  <c r="E129" i="19"/>
  <c r="F95" i="19"/>
  <c r="F96" i="19"/>
  <c r="F119" i="19"/>
  <c r="F120" i="19"/>
  <c r="F112" i="19"/>
  <c r="F111" i="19"/>
  <c r="E134" i="19"/>
  <c r="E135" i="19"/>
  <c r="F124" i="19"/>
  <c r="F123" i="19"/>
  <c r="E84" i="19"/>
  <c r="E85" i="19"/>
  <c r="F66" i="19"/>
  <c r="F65" i="19"/>
  <c r="E106" i="19"/>
  <c r="E107" i="19"/>
  <c r="F67" i="19"/>
  <c r="F68" i="19"/>
  <c r="E100" i="19"/>
  <c r="E101" i="19"/>
  <c r="F106" i="19"/>
  <c r="F105" i="19"/>
  <c r="E99" i="19"/>
  <c r="E98" i="19"/>
  <c r="E72" i="19"/>
  <c r="E73" i="19"/>
  <c r="F110" i="19"/>
  <c r="F109" i="19"/>
  <c r="E64" i="19"/>
  <c r="E65" i="19"/>
  <c r="F82" i="19"/>
  <c r="F81" i="19"/>
  <c r="F125" i="19"/>
  <c r="F126" i="19"/>
  <c r="E88" i="19"/>
  <c r="E89" i="19"/>
  <c r="E130" i="19"/>
  <c r="E131" i="19"/>
  <c r="E108" i="19"/>
  <c r="E109" i="19"/>
  <c r="F114" i="19"/>
  <c r="F113" i="19"/>
  <c r="F138" i="19"/>
  <c r="F137" i="19"/>
  <c r="E68" i="19"/>
  <c r="E69" i="19"/>
  <c r="F129" i="19"/>
  <c r="F130" i="19"/>
  <c r="F73" i="19"/>
  <c r="F74" i="19"/>
  <c r="F98" i="19"/>
  <c r="F97" i="19"/>
  <c r="E71" i="19"/>
  <c r="E70" i="19"/>
  <c r="F101" i="19"/>
  <c r="F102" i="19"/>
  <c r="F94" i="19"/>
  <c r="F93" i="19"/>
  <c r="E52" i="19"/>
  <c r="E53" i="19"/>
  <c r="E55" i="19"/>
  <c r="E54" i="19"/>
  <c r="F77" i="19"/>
  <c r="F78" i="19"/>
  <c r="E96" i="19"/>
  <c r="E97" i="19"/>
  <c r="E103" i="19"/>
  <c r="E102" i="19"/>
  <c r="F92" i="19"/>
  <c r="F91" i="19"/>
  <c r="E83" i="19"/>
  <c r="E82" i="19"/>
  <c r="E67" i="19"/>
  <c r="E66" i="19"/>
  <c r="E114" i="19"/>
  <c r="E115" i="19"/>
  <c r="F118" i="19"/>
  <c r="F117" i="19"/>
  <c r="F75" i="19"/>
  <c r="F76" i="19"/>
  <c r="E95" i="19"/>
  <c r="E94" i="19"/>
  <c r="F4" i="19"/>
  <c r="G7" i="19"/>
  <c r="F62" i="19"/>
  <c r="F61" i="19"/>
  <c r="F60" i="19"/>
  <c r="F59" i="19"/>
  <c r="E126" i="19"/>
  <c r="E127" i="19"/>
  <c r="F85" i="19"/>
  <c r="F86" i="19"/>
  <c r="E76" i="19"/>
  <c r="E77" i="19"/>
  <c r="F122" i="19"/>
  <c r="F121" i="19"/>
  <c r="F104" i="19"/>
  <c r="F103" i="19"/>
  <c r="E91" i="19"/>
  <c r="E90" i="19"/>
  <c r="F131" i="19"/>
  <c r="F132" i="19"/>
  <c r="F140" i="19"/>
  <c r="F139" i="19"/>
  <c r="F57" i="19"/>
  <c r="F58" i="19"/>
  <c r="F99" i="19"/>
  <c r="F100" i="19"/>
  <c r="E132" i="19"/>
  <c r="E133" i="19"/>
  <c r="F115" i="19"/>
  <c r="F116" i="19"/>
  <c r="F55" i="19"/>
  <c r="F56" i="19"/>
  <c r="E59" i="19"/>
  <c r="E58" i="19"/>
  <c r="E118" i="19"/>
  <c r="E119" i="19"/>
  <c r="E116" i="19"/>
  <c r="E117" i="19"/>
  <c r="E79" i="19"/>
  <c r="E78" i="19"/>
  <c r="E104" i="19"/>
  <c r="E105" i="19"/>
  <c r="E121" i="19"/>
  <c r="E120" i="19"/>
  <c r="E137" i="19"/>
  <c r="E136" i="19"/>
  <c r="F70" i="19"/>
  <c r="F69" i="19"/>
  <c r="F90" i="19"/>
  <c r="F89" i="19"/>
  <c r="F133" i="19"/>
  <c r="F134" i="19"/>
  <c r="E87" i="19"/>
  <c r="E86" i="19"/>
  <c r="C73" i="19"/>
  <c r="C74" i="19"/>
  <c r="G51" i="3"/>
  <c r="G24" i="3"/>
  <c r="G8" i="3"/>
  <c r="G30" i="3"/>
  <c r="G14" i="3"/>
  <c r="G17" i="3"/>
  <c r="G15" i="3"/>
  <c r="G23" i="3"/>
  <c r="G26" i="3"/>
  <c r="G21" i="3"/>
  <c r="G16" i="3"/>
  <c r="G34" i="3"/>
  <c r="G25" i="3"/>
  <c r="G9" i="3"/>
  <c r="G11" i="3"/>
  <c r="G27" i="3"/>
  <c r="G20" i="3"/>
  <c r="G22" i="3"/>
  <c r="G32" i="3"/>
  <c r="G10" i="3"/>
  <c r="G28" i="3"/>
  <c r="G18" i="3"/>
  <c r="G12" i="3"/>
  <c r="G13" i="3"/>
  <c r="G7" i="3"/>
  <c r="G29" i="3"/>
  <c r="G19" i="3"/>
  <c r="G33" i="3"/>
  <c r="G31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F72" i="19" l="1"/>
  <c r="F80" i="19"/>
  <c r="F64" i="19"/>
  <c r="AC18" i="38"/>
  <c r="AC9" i="38"/>
  <c r="AC24" i="38"/>
  <c r="AC25" i="38"/>
  <c r="AC19" i="38"/>
  <c r="AC7" i="38"/>
  <c r="AC23" i="38"/>
  <c r="AC20" i="38"/>
  <c r="AC31" i="38"/>
  <c r="AC4" i="38"/>
  <c r="AC29" i="38"/>
  <c r="AC22" i="38"/>
  <c r="AC21" i="38"/>
  <c r="AC16" i="38"/>
  <c r="AC12" i="38"/>
  <c r="D73" i="38"/>
  <c r="AC5" i="38"/>
  <c r="AA31" i="38"/>
  <c r="Y31" i="38"/>
  <c r="I142" i="4"/>
  <c r="AC90" i="4"/>
  <c r="F138" i="4"/>
  <c r="AC86" i="4"/>
  <c r="H114" i="4"/>
  <c r="AC62" i="4"/>
  <c r="M96" i="38"/>
  <c r="G93" i="38"/>
  <c r="F87" i="38"/>
  <c r="F86" i="38"/>
  <c r="F77" i="38"/>
  <c r="G74" i="38"/>
  <c r="G73" i="38"/>
  <c r="V31" i="38"/>
  <c r="H141" i="4"/>
  <c r="AC89" i="4"/>
  <c r="E135" i="4"/>
  <c r="AC83" i="4"/>
  <c r="F133" i="4"/>
  <c r="AC81" i="4"/>
  <c r="J113" i="4"/>
  <c r="J101" i="4"/>
  <c r="H113" i="4"/>
  <c r="H101" i="4"/>
  <c r="G129" i="4"/>
  <c r="AC77" i="4"/>
  <c r="F116" i="4"/>
  <c r="AC64" i="4"/>
  <c r="F101" i="4"/>
  <c r="N122" i="4"/>
  <c r="AC70" i="4"/>
  <c r="N101" i="4"/>
  <c r="F127" i="4"/>
  <c r="AC75" i="4"/>
  <c r="E98" i="38"/>
  <c r="H95" i="38"/>
  <c r="E92" i="38"/>
  <c r="K85" i="38"/>
  <c r="F83" i="38"/>
  <c r="AB31" i="38"/>
  <c r="M79" i="38"/>
  <c r="K76" i="38"/>
  <c r="Z31" i="38"/>
  <c r="I73" i="38"/>
  <c r="X31" i="38"/>
  <c r="F148" i="4"/>
  <c r="AC96" i="4"/>
  <c r="K125" i="4"/>
  <c r="AC73" i="4"/>
  <c r="F123" i="4"/>
  <c r="AC71" i="4"/>
  <c r="I146" i="4"/>
  <c r="AC94" i="4"/>
  <c r="G118" i="4"/>
  <c r="AC66" i="4"/>
  <c r="G94" i="38"/>
  <c r="F91" i="38"/>
  <c r="E88" i="38"/>
  <c r="J82" i="38"/>
  <c r="D78" i="38"/>
  <c r="E75" i="38"/>
  <c r="T31" i="38"/>
  <c r="F73" i="38"/>
  <c r="U31" i="38"/>
  <c r="H72" i="38"/>
  <c r="W31" i="38"/>
  <c r="G126" i="4"/>
  <c r="AC74" i="4"/>
  <c r="G131" i="4"/>
  <c r="AC79" i="4"/>
  <c r="F136" i="4"/>
  <c r="AC84" i="4"/>
  <c r="K123" i="4"/>
  <c r="K101" i="4"/>
  <c r="E121" i="4"/>
  <c r="AC69" i="4"/>
  <c r="L117" i="4"/>
  <c r="AC65" i="4"/>
  <c r="L101" i="4"/>
  <c r="N143" i="4"/>
  <c r="AC91" i="4"/>
  <c r="H140" i="4"/>
  <c r="AC88" i="4"/>
  <c r="G137" i="4"/>
  <c r="AC85" i="4"/>
  <c r="L128" i="4"/>
  <c r="AC76" i="4"/>
  <c r="E113" i="4"/>
  <c r="AC61" i="4"/>
  <c r="E101" i="4"/>
  <c r="AG59" i="4" s="1"/>
  <c r="G113" i="4"/>
  <c r="G101" i="4"/>
  <c r="I108" i="4"/>
  <c r="AG106" i="4" s="1"/>
  <c r="AC56" i="4"/>
  <c r="AC101" i="4"/>
  <c r="I101" i="4"/>
  <c r="J124" i="4"/>
  <c r="AC72" i="4"/>
  <c r="H97" i="38"/>
  <c r="E90" i="38"/>
  <c r="D89" i="38"/>
  <c r="E84" i="38"/>
  <c r="I81" i="38"/>
  <c r="E80" i="38"/>
  <c r="S31" i="38"/>
  <c r="M101" i="4"/>
  <c r="AM63" i="19"/>
  <c r="W59" i="19"/>
  <c r="W60" i="19"/>
  <c r="AM66" i="19"/>
  <c r="AM65" i="19"/>
  <c r="G4" i="19"/>
  <c r="F53" i="19"/>
  <c r="G53" i="19" s="1"/>
  <c r="F54" i="19"/>
  <c r="G54" i="19" s="1"/>
  <c r="G56" i="19" s="1"/>
  <c r="C75" i="19"/>
  <c r="C76" i="19"/>
  <c r="G12" i="2"/>
  <c r="G7" i="2"/>
  <c r="G4" i="3"/>
  <c r="R38" i="38" l="1"/>
  <c r="AG60" i="4"/>
  <c r="AG107" i="4"/>
  <c r="AG108" i="4" s="1"/>
  <c r="AG110" i="4" s="1"/>
  <c r="R70" i="38"/>
  <c r="AG56" i="4"/>
  <c r="AG57" i="4" s="1"/>
  <c r="W61" i="19"/>
  <c r="W62" i="19"/>
  <c r="G55" i="19"/>
  <c r="G58" i="19"/>
  <c r="G57" i="19"/>
  <c r="AM68" i="19"/>
  <c r="AM67" i="19"/>
  <c r="C78" i="19"/>
  <c r="C77" i="19"/>
  <c r="J7" i="5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Z7" i="5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AH33" i="19"/>
  <c r="AI33" i="19" s="1"/>
  <c r="AI4" i="19"/>
  <c r="AH34" i="19"/>
  <c r="AI34" i="19" s="1"/>
  <c r="AI36" i="19" s="1"/>
  <c r="R71" i="38" l="1"/>
  <c r="R72" i="38" s="1"/>
  <c r="W63" i="19"/>
  <c r="W64" i="19"/>
  <c r="G59" i="19"/>
  <c r="G60" i="19"/>
  <c r="AM69" i="19"/>
  <c r="AM70" i="19"/>
  <c r="C79" i="19"/>
  <c r="C80" i="19"/>
  <c r="C81" i="19" s="1"/>
  <c r="AI37" i="19"/>
  <c r="AI38" i="19"/>
  <c r="AI35" i="19"/>
  <c r="W66" i="19" l="1"/>
  <c r="W65" i="19"/>
  <c r="AM72" i="19"/>
  <c r="AM71" i="19"/>
  <c r="G62" i="19"/>
  <c r="G61" i="19"/>
  <c r="AI40" i="19"/>
  <c r="AI39" i="19"/>
  <c r="W67" i="19" l="1"/>
  <c r="W68" i="19"/>
  <c r="G64" i="19"/>
  <c r="G63" i="19"/>
  <c r="AM73" i="19"/>
  <c r="AM74" i="19"/>
  <c r="AI41" i="19"/>
  <c r="AI42" i="19"/>
  <c r="W69" i="19" l="1"/>
  <c r="W70" i="19"/>
  <c r="G65" i="19"/>
  <c r="G66" i="19"/>
  <c r="AM75" i="19"/>
  <c r="AM76" i="19"/>
  <c r="AI43" i="19"/>
  <c r="AI44" i="19"/>
  <c r="W71" i="19" l="1"/>
  <c r="W72" i="19"/>
  <c r="AM78" i="19"/>
  <c r="AM77" i="19"/>
  <c r="G67" i="19"/>
  <c r="G68" i="19"/>
  <c r="AI45" i="19"/>
  <c r="AI46" i="19"/>
  <c r="W73" i="19" l="1"/>
  <c r="W74" i="19"/>
  <c r="AM80" i="19"/>
  <c r="AM79" i="19"/>
  <c r="G70" i="19"/>
  <c r="G69" i="19"/>
  <c r="AI48" i="19"/>
  <c r="AI47" i="19"/>
  <c r="W75" i="19" l="1"/>
  <c r="W76" i="19"/>
  <c r="G72" i="19"/>
  <c r="G71" i="19"/>
  <c r="AM81" i="19"/>
  <c r="AM82" i="19"/>
  <c r="AI49" i="19"/>
  <c r="AI50" i="19"/>
  <c r="W78" i="19" l="1"/>
  <c r="W77" i="19"/>
  <c r="G74" i="19"/>
  <c r="G73" i="19"/>
  <c r="AM84" i="19"/>
  <c r="AM83" i="19"/>
  <c r="AI51" i="19"/>
  <c r="AI52" i="19"/>
  <c r="W80" i="19" l="1"/>
  <c r="W79" i="19"/>
  <c r="AM86" i="19"/>
  <c r="AM85" i="19"/>
  <c r="G75" i="19"/>
  <c r="G76" i="19"/>
  <c r="AI53" i="19"/>
  <c r="AI54" i="19"/>
  <c r="W81" i="19" l="1"/>
  <c r="W82" i="19"/>
  <c r="AM88" i="19"/>
  <c r="AM87" i="19"/>
  <c r="G77" i="19"/>
  <c r="G78" i="19"/>
  <c r="AI55" i="19"/>
  <c r="AI56" i="19"/>
  <c r="W84" i="19" l="1"/>
  <c r="W83" i="19"/>
  <c r="AM89" i="19"/>
  <c r="AM90" i="19"/>
  <c r="G80" i="19"/>
  <c r="G79" i="19"/>
  <c r="AI57" i="19"/>
  <c r="AI58" i="19"/>
  <c r="W86" i="19" l="1"/>
  <c r="W85" i="19"/>
  <c r="AM92" i="19"/>
  <c r="AM91" i="19"/>
  <c r="G82" i="19"/>
  <c r="G81" i="19"/>
  <c r="AI59" i="19"/>
  <c r="AI60" i="19"/>
  <c r="W87" i="19" l="1"/>
  <c r="W88" i="19"/>
  <c r="G84" i="19"/>
  <c r="G83" i="19"/>
  <c r="AM93" i="19"/>
  <c r="AM94" i="19"/>
  <c r="AI62" i="19"/>
  <c r="AI61" i="19"/>
  <c r="W90" i="19" l="1"/>
  <c r="W89" i="19"/>
  <c r="AM96" i="19"/>
  <c r="AM95" i="19"/>
  <c r="G85" i="19"/>
  <c r="G86" i="19"/>
  <c r="AI63" i="19"/>
  <c r="AI64" i="19"/>
  <c r="W91" i="19" l="1"/>
  <c r="W92" i="19"/>
  <c r="G87" i="19"/>
  <c r="G88" i="19"/>
  <c r="AM97" i="19"/>
  <c r="AM98" i="19"/>
  <c r="AI66" i="19"/>
  <c r="AI65" i="19"/>
  <c r="W93" i="19" l="1"/>
  <c r="W94" i="19"/>
  <c r="G90" i="19"/>
  <c r="G89" i="19"/>
  <c r="AM99" i="19"/>
  <c r="AM100" i="19"/>
  <c r="AI68" i="19"/>
  <c r="AI67" i="19"/>
  <c r="W95" i="19" l="1"/>
  <c r="W96" i="19"/>
  <c r="G91" i="19"/>
  <c r="G92" i="19"/>
  <c r="AM101" i="19"/>
  <c r="AM102" i="19"/>
  <c r="AI70" i="19"/>
  <c r="AI69" i="19"/>
  <c r="W98" i="19" l="1"/>
  <c r="W97" i="19"/>
  <c r="G93" i="19"/>
  <c r="G94" i="19"/>
  <c r="AM103" i="19"/>
  <c r="AM104" i="19"/>
  <c r="AI72" i="19"/>
  <c r="AI71" i="19"/>
  <c r="W99" i="19" l="1"/>
  <c r="W100" i="19"/>
  <c r="AM105" i="19"/>
  <c r="AM106" i="19"/>
  <c r="G96" i="19"/>
  <c r="G95" i="19"/>
  <c r="AI74" i="19"/>
  <c r="AI73" i="19"/>
  <c r="W102" i="19" l="1"/>
  <c r="W101" i="19"/>
  <c r="G97" i="19"/>
  <c r="G98" i="19"/>
  <c r="AM107" i="19"/>
  <c r="AM108" i="19"/>
  <c r="AI75" i="19"/>
  <c r="AI76" i="19"/>
  <c r="W103" i="19" l="1"/>
  <c r="W104" i="19"/>
  <c r="AM109" i="19"/>
  <c r="AM110" i="19"/>
  <c r="G100" i="19"/>
  <c r="G99" i="19"/>
  <c r="AI78" i="19"/>
  <c r="AI77" i="19"/>
  <c r="W105" i="19" l="1"/>
  <c r="W106" i="19"/>
  <c r="G102" i="19"/>
  <c r="G101" i="19"/>
  <c r="AM112" i="19"/>
  <c r="AM111" i="19"/>
  <c r="AI79" i="19"/>
  <c r="AI80" i="19"/>
  <c r="AI81" i="19" s="1"/>
  <c r="W107" i="19" l="1"/>
  <c r="W108" i="19"/>
  <c r="AM114" i="19"/>
  <c r="AM113" i="19"/>
  <c r="G104" i="19"/>
  <c r="G103" i="19"/>
  <c r="W110" i="19" l="1"/>
  <c r="W109" i="19"/>
  <c r="G105" i="19"/>
  <c r="G106" i="19"/>
  <c r="AM115" i="19"/>
  <c r="AM116" i="19"/>
  <c r="W111" i="19" l="1"/>
  <c r="W112" i="19"/>
  <c r="AM117" i="19"/>
  <c r="AM118" i="19"/>
  <c r="G108" i="19"/>
  <c r="G107" i="19"/>
  <c r="W113" i="19" l="1"/>
  <c r="W114" i="19"/>
  <c r="AM120" i="19"/>
  <c r="AM119" i="19"/>
  <c r="G110" i="19"/>
  <c r="G109" i="19"/>
  <c r="W116" i="19" l="1"/>
  <c r="W115" i="19"/>
  <c r="AM121" i="19"/>
  <c r="AM122" i="19"/>
  <c r="G112" i="19"/>
  <c r="G111" i="19"/>
  <c r="W118" i="19" l="1"/>
  <c r="W117" i="19"/>
  <c r="AM124" i="19"/>
  <c r="AM123" i="19"/>
  <c r="G113" i="19"/>
  <c r="G114" i="19"/>
  <c r="W119" i="19" l="1"/>
  <c r="W120" i="19"/>
  <c r="G115" i="19"/>
  <c r="G116" i="19"/>
  <c r="AM126" i="19"/>
  <c r="AM125" i="19"/>
  <c r="W121" i="19" l="1"/>
  <c r="W122" i="19"/>
  <c r="G118" i="19"/>
  <c r="G117" i="19"/>
  <c r="AM127" i="19"/>
  <c r="AM128" i="19"/>
  <c r="W123" i="19" l="1"/>
  <c r="W124" i="19"/>
  <c r="G119" i="19"/>
  <c r="G120" i="19"/>
  <c r="AM129" i="19"/>
  <c r="AM130" i="19"/>
  <c r="W125" i="19" l="1"/>
  <c r="W126" i="19"/>
  <c r="AM132" i="19"/>
  <c r="AM131" i="19"/>
  <c r="G121" i="19"/>
  <c r="G122" i="19"/>
  <c r="W127" i="19" l="1"/>
  <c r="W128" i="19"/>
  <c r="AM133" i="19"/>
  <c r="AM134" i="19"/>
  <c r="G123" i="19"/>
  <c r="G124" i="19"/>
  <c r="W129" i="19" l="1"/>
  <c r="W130" i="19"/>
  <c r="AM136" i="19"/>
  <c r="AM135" i="19"/>
  <c r="G125" i="19"/>
  <c r="G126" i="19"/>
  <c r="W132" i="19" l="1"/>
  <c r="W131" i="19"/>
  <c r="AM137" i="19"/>
  <c r="AM138" i="19"/>
  <c r="G127" i="19"/>
  <c r="G128" i="19"/>
  <c r="W133" i="19" l="1"/>
  <c r="W134" i="19"/>
  <c r="AM139" i="19"/>
  <c r="AM140" i="19"/>
  <c r="AM141" i="19" s="1"/>
  <c r="G129" i="19"/>
  <c r="G130" i="19"/>
  <c r="W135" i="19" l="1"/>
  <c r="W136" i="19"/>
  <c r="G131" i="19"/>
  <c r="G132" i="19"/>
  <c r="W137" i="19" l="1"/>
  <c r="W138" i="19"/>
  <c r="G133" i="19"/>
  <c r="G134" i="19"/>
  <c r="W139" i="19" l="1"/>
  <c r="W140" i="19"/>
  <c r="W141" i="19" s="1"/>
  <c r="G136" i="19"/>
  <c r="G135" i="19"/>
  <c r="G138" i="19" l="1"/>
  <c r="G137" i="19"/>
  <c r="G139" i="19" l="1"/>
  <c r="G140" i="19"/>
  <c r="G141" i="19" s="1"/>
</calcChain>
</file>

<file path=xl/sharedStrings.xml><?xml version="1.0" encoding="utf-8"?>
<sst xmlns="http://schemas.openxmlformats.org/spreadsheetml/2006/main" count="3879" uniqueCount="259">
  <si>
    <t>Urliste</t>
  </si>
  <si>
    <r>
      <rPr>
        <sz val="11"/>
        <color theme="1"/>
        <rFont val="Symbol"/>
        <family val="1"/>
        <charset val="2"/>
      </rPr>
      <t>w</t>
    </r>
    <r>
      <rPr>
        <vertAlign val="subscript"/>
        <sz val="11"/>
        <color theme="1"/>
        <rFont val="Calibri"/>
        <family val="2"/>
        <scheme val="minor"/>
      </rPr>
      <t>i</t>
    </r>
  </si>
  <si>
    <r>
      <rPr>
        <i/>
        <sz val="11"/>
        <color theme="1"/>
        <rFont val="Calibri"/>
        <family val="2"/>
        <scheme val="minor"/>
      </rPr>
      <t>x</t>
    </r>
    <r>
      <rPr>
        <vertAlign val="subscript"/>
        <sz val="11"/>
        <color theme="1"/>
        <rFont val="Calibri"/>
        <family val="2"/>
        <scheme val="minor"/>
      </rPr>
      <t>i</t>
    </r>
  </si>
  <si>
    <r>
      <rPr>
        <i/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scheme val="minor"/>
      </rPr>
      <t>i</t>
    </r>
  </si>
  <si>
    <r>
      <rPr>
        <i/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i</t>
    </r>
  </si>
  <si>
    <t>zeitlich:</t>
  </si>
  <si>
    <t>räumlich:</t>
  </si>
  <si>
    <t>sachlich:</t>
  </si>
  <si>
    <t>Merkmalsausprägung:</t>
  </si>
  <si>
    <t>Alter</t>
  </si>
  <si>
    <t>Grundgesamtheit:</t>
  </si>
  <si>
    <t>Körperlänge</t>
  </si>
  <si>
    <t>Geschlecht</t>
  </si>
  <si>
    <r>
      <rPr>
        <i/>
        <sz val="11"/>
        <color theme="1"/>
        <rFont val="Calibri"/>
        <family val="2"/>
        <scheme val="minor"/>
      </rPr>
      <t>y</t>
    </r>
    <r>
      <rPr>
        <vertAlign val="subscript"/>
        <sz val="11"/>
        <color theme="1"/>
        <rFont val="Calibri"/>
        <family val="2"/>
        <scheme val="minor"/>
      </rPr>
      <t>i</t>
    </r>
  </si>
  <si>
    <r>
      <rPr>
        <i/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i</t>
    </r>
  </si>
  <si>
    <r>
      <rPr>
        <i/>
        <sz val="11"/>
        <color theme="1"/>
        <rFont val="Calibri"/>
        <family val="2"/>
        <scheme val="minor"/>
      </rPr>
      <t>g</t>
    </r>
    <r>
      <rPr>
        <vertAlign val="subscript"/>
        <sz val="11"/>
        <color theme="1"/>
        <rFont val="Calibri"/>
        <family val="2"/>
        <scheme val="minor"/>
      </rPr>
      <t>i</t>
    </r>
  </si>
  <si>
    <t>n</t>
  </si>
  <si>
    <t>m</t>
  </si>
  <si>
    <t>j</t>
  </si>
  <si>
    <t>w</t>
  </si>
  <si>
    <t>Alle Hörer der LV "Statistik"</t>
  </si>
  <si>
    <t>Köperlänge</t>
  </si>
  <si>
    <t>Berufsausb.</t>
  </si>
  <si>
    <t>Berufsausbildung</t>
  </si>
  <si>
    <t>KL, Schoenstrasse, Hörsaal H4</t>
  </si>
  <si>
    <t>Element#</t>
  </si>
  <si>
    <t>absH</t>
  </si>
  <si>
    <t>relH</t>
  </si>
  <si>
    <t>Mittelwert</t>
  </si>
  <si>
    <t>Varianz</t>
  </si>
  <si>
    <t>Elemente</t>
  </si>
  <si>
    <t>Umfang</t>
  </si>
  <si>
    <t>innere</t>
  </si>
  <si>
    <t>äußere</t>
  </si>
  <si>
    <t>Σ</t>
  </si>
  <si>
    <t>Min</t>
  </si>
  <si>
    <t>Max</t>
  </si>
  <si>
    <r>
      <t>absH(</t>
    </r>
    <r>
      <rPr>
        <b/>
        <i/>
        <sz val="11"/>
        <color theme="1"/>
        <rFont val="Calibri"/>
        <family val="2"/>
        <scheme val="minor"/>
      </rPr>
      <t>x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y</t>
    </r>
    <r>
      <rPr>
        <b/>
        <i/>
        <vertAlign val="subscript"/>
        <sz val="11"/>
        <color theme="1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>)</t>
    </r>
  </si>
  <si>
    <t>Y =</t>
  </si>
  <si>
    <t>X =</t>
  </si>
  <si>
    <r>
      <t>relH(</t>
    </r>
    <r>
      <rPr>
        <b/>
        <i/>
        <sz val="11"/>
        <color theme="1"/>
        <rFont val="Calibri"/>
        <family val="2"/>
        <scheme val="minor"/>
      </rPr>
      <t>x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y</t>
    </r>
    <r>
      <rPr>
        <b/>
        <i/>
        <vertAlign val="subscript"/>
        <sz val="11"/>
        <color theme="1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>)</t>
    </r>
  </si>
  <si>
    <r>
      <t xml:space="preserve">relH(xi, yj) </t>
    </r>
    <r>
      <rPr>
        <b/>
        <i/>
        <sz val="10"/>
        <color theme="1"/>
        <rFont val="Calibri"/>
        <family val="2"/>
        <scheme val="minor"/>
      </rPr>
      <t>x</t>
    </r>
    <r>
      <rPr>
        <b/>
        <i/>
        <vertAlign val="subscript"/>
        <sz val="10"/>
        <color theme="1"/>
        <rFont val="Calibri"/>
        <family val="2"/>
        <scheme val="minor"/>
      </rPr>
      <t xml:space="preserve">i </t>
    </r>
    <r>
      <rPr>
        <b/>
        <i/>
        <sz val="10"/>
        <color theme="1"/>
        <rFont val="Calibri"/>
        <family val="2"/>
        <scheme val="minor"/>
      </rPr>
      <t>y</t>
    </r>
    <r>
      <rPr>
        <b/>
        <i/>
        <vertAlign val="subscript"/>
        <sz val="10"/>
        <color theme="1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/>
    </r>
  </si>
  <si>
    <t>Summe</t>
  </si>
  <si>
    <r>
      <t>C</t>
    </r>
    <r>
      <rPr>
        <b/>
        <vertAlign val="subscript"/>
        <sz val="10"/>
        <color rgb="FFFF0000"/>
        <rFont val="Calibri"/>
        <family val="2"/>
        <scheme val="minor"/>
      </rPr>
      <t>XY</t>
    </r>
  </si>
  <si>
    <r>
      <rPr>
        <b/>
        <i/>
        <sz val="10"/>
        <color theme="1"/>
        <rFont val="Calibri"/>
        <family val="2"/>
        <scheme val="minor"/>
      </rPr>
      <t>r</t>
    </r>
    <r>
      <rPr>
        <b/>
        <vertAlign val="subscript"/>
        <sz val="10"/>
        <color theme="1"/>
        <rFont val="Calibri"/>
        <family val="2"/>
        <scheme val="minor"/>
      </rPr>
      <t>XY</t>
    </r>
  </si>
  <si>
    <t></t>
  </si>
  <si>
    <t></t>
  </si>
  <si>
    <r>
      <rPr>
        <sz val="11"/>
        <color theme="1"/>
        <rFont val="MS Reference Sans Serif"/>
        <family val="2"/>
      </rPr>
      <t>s</t>
    </r>
    <r>
      <rPr>
        <vertAlign val="subscript"/>
        <sz val="11"/>
        <color theme="1"/>
        <rFont val="MS Reference Sans Serif"/>
        <family val="2"/>
      </rPr>
      <t>X</t>
    </r>
    <r>
      <rPr>
        <vertAlign val="superscript"/>
        <sz val="11"/>
        <color theme="1"/>
        <rFont val="Calibri"/>
        <family val="2"/>
      </rPr>
      <t>2</t>
    </r>
  </si>
  <si>
    <r>
      <rPr>
        <sz val="11"/>
        <color theme="1"/>
        <rFont val="MS Reference Sans Serif"/>
        <family val="2"/>
      </rPr>
      <t>s</t>
    </r>
    <r>
      <rPr>
        <vertAlign val="subscript"/>
        <sz val="11"/>
        <color theme="1"/>
        <rFont val="MS Reference Sans Serif"/>
        <family val="2"/>
      </rPr>
      <t>Y</t>
    </r>
    <r>
      <rPr>
        <vertAlign val="superscript"/>
        <sz val="11"/>
        <color theme="1"/>
        <rFont val="Calibri"/>
        <family val="2"/>
      </rPr>
      <t>2</t>
    </r>
  </si>
  <si>
    <r>
      <t>-</t>
    </r>
    <r>
      <rPr>
        <sz val="10"/>
        <color theme="1"/>
        <rFont val="MS Reference Sans Serif"/>
        <family val="2"/>
      </rPr>
      <t>·</t>
    </r>
  </si>
  <si>
    <t>QK</t>
  </si>
  <si>
    <t>K</t>
  </si>
  <si>
    <r>
      <rPr>
        <b/>
        <i/>
        <sz val="11"/>
        <color theme="1"/>
        <rFont val="Calibri"/>
        <family val="2"/>
        <scheme val="minor"/>
      </rPr>
      <t>K</t>
    </r>
    <r>
      <rPr>
        <b/>
        <vertAlign val="subscript"/>
        <sz val="11"/>
        <color theme="1"/>
        <rFont val="Calibri"/>
        <family val="2"/>
        <scheme val="minor"/>
      </rPr>
      <t>max</t>
    </r>
  </si>
  <si>
    <r>
      <t>K*=</t>
    </r>
    <r>
      <rPr>
        <b/>
        <sz val="11"/>
        <color theme="1"/>
        <rFont val="Calibri"/>
        <family val="2"/>
        <scheme val="minor"/>
      </rPr>
      <t>K</t>
    </r>
    <r>
      <rPr>
        <b/>
        <i/>
        <sz val="11"/>
        <color theme="1"/>
        <rFont val="Calibri"/>
        <family val="2"/>
        <scheme val="minor"/>
      </rPr>
      <t>/</t>
    </r>
    <r>
      <rPr>
        <b/>
        <sz val="11"/>
        <color theme="1"/>
        <rFont val="Calibri"/>
        <family val="2"/>
        <scheme val="minor"/>
      </rPr>
      <t>K</t>
    </r>
    <r>
      <rPr>
        <b/>
        <i/>
        <vertAlign val="subscript"/>
        <sz val="11"/>
        <color theme="1"/>
        <rFont val="Calibri"/>
        <family val="2"/>
        <scheme val="minor"/>
      </rPr>
      <t>max</t>
    </r>
  </si>
  <si>
    <t>G =</t>
  </si>
  <si>
    <t>B =</t>
  </si>
  <si>
    <r>
      <t>(</t>
    </r>
    <r>
      <rPr>
        <b/>
        <i/>
        <sz val="11"/>
        <color theme="1"/>
        <rFont val="Calibri"/>
        <family val="2"/>
        <scheme val="minor"/>
      </rPr>
      <t>n</t>
    </r>
    <r>
      <rPr>
        <b/>
        <i/>
        <vertAlign val="subscript"/>
        <sz val="11"/>
        <color theme="1"/>
        <rFont val="Calibri"/>
        <family val="2"/>
        <scheme val="minor"/>
      </rPr>
      <t>ij</t>
    </r>
    <r>
      <rPr>
        <b/>
        <i/>
        <sz val="11"/>
        <color theme="1"/>
        <rFont val="Calibri"/>
        <family val="2"/>
        <scheme val="minor"/>
      </rPr>
      <t xml:space="preserve"> - E</t>
    </r>
    <r>
      <rPr>
        <b/>
        <i/>
        <vertAlign val="subscript"/>
        <sz val="11"/>
        <color theme="1"/>
        <rFont val="Calibri"/>
        <family val="2"/>
        <scheme val="minor"/>
      </rPr>
      <t>ij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</t>
    </r>
    <r>
      <rPr>
        <b/>
        <i/>
        <sz val="11"/>
        <color theme="1"/>
        <rFont val="Calibri"/>
        <family val="2"/>
        <scheme val="minor"/>
      </rPr>
      <t>E</t>
    </r>
    <r>
      <rPr>
        <b/>
        <i/>
        <vertAlign val="subscript"/>
        <sz val="11"/>
        <color theme="1"/>
        <rFont val="Calibri"/>
        <family val="2"/>
        <scheme val="minor"/>
      </rPr>
      <t>ij</t>
    </r>
  </si>
  <si>
    <r>
      <t>absH(</t>
    </r>
    <r>
      <rPr>
        <b/>
        <i/>
        <sz val="11"/>
        <color theme="1"/>
        <rFont val="Calibri"/>
        <family val="2"/>
        <scheme val="minor"/>
      </rPr>
      <t>b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g</t>
    </r>
    <r>
      <rPr>
        <b/>
        <i/>
        <vertAlign val="subscript"/>
        <sz val="11"/>
        <color theme="1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>)</t>
    </r>
  </si>
  <si>
    <r>
      <t>relH(</t>
    </r>
    <r>
      <rPr>
        <b/>
        <i/>
        <sz val="11"/>
        <color theme="1"/>
        <rFont val="Calibri"/>
        <family val="2"/>
        <scheme val="minor"/>
      </rPr>
      <t>b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g</t>
    </r>
    <r>
      <rPr>
        <b/>
        <i/>
        <vertAlign val="subscript"/>
        <sz val="11"/>
        <color theme="1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>)</t>
    </r>
  </si>
  <si>
    <r>
      <t>absH(b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g</t>
    </r>
    <r>
      <rPr>
        <b/>
        <i/>
        <vertAlign val="subscript"/>
        <sz val="11"/>
        <color theme="1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>)</t>
    </r>
  </si>
  <si>
    <t>Geschlecht [m/w]</t>
  </si>
  <si>
    <t>Alter [Jahre]</t>
  </si>
  <si>
    <t>Körperlänge [cm]</t>
  </si>
  <si>
    <t>Berufausbildung [j/n]</t>
  </si>
  <si>
    <t>Punktschätzungen Größe</t>
  </si>
  <si>
    <t>Emp. Mittelwert</t>
  </si>
  <si>
    <t>(2-3)</t>
  </si>
  <si>
    <t>(13-1)</t>
  </si>
  <si>
    <t>(2-19)</t>
  </si>
  <si>
    <t>(13-10)</t>
  </si>
  <si>
    <t>(13-11)</t>
  </si>
  <si>
    <t>Rel. Häufigkeit</t>
  </si>
  <si>
    <t>(1-6)</t>
  </si>
  <si>
    <t>Anteilswert</t>
  </si>
  <si>
    <t>(13-4)</t>
  </si>
  <si>
    <t>Merkmal Größe</t>
  </si>
  <si>
    <t>Punktschätzungen</t>
  </si>
  <si>
    <t>Merkmal Berufsausbildung (ja)</t>
  </si>
  <si>
    <t>Merkmal Geschlecht (männlich)</t>
  </si>
  <si>
    <t>Punktschätzung Berufsausbildung (ja)</t>
  </si>
  <si>
    <t>Punktschätzung Geschlecht (männlich)</t>
  </si>
  <si>
    <t>Parameter der Stichprobe</t>
  </si>
  <si>
    <t>Studierende)</t>
  </si>
  <si>
    <t>Merkmal Alter</t>
  </si>
  <si>
    <t>Punktschätzungen Alter</t>
  </si>
  <si>
    <t>Emp. Varianz</t>
  </si>
  <si>
    <t>Umfang Grundgesamtheit (GGH)</t>
  </si>
  <si>
    <t>(2-1) S. 8</t>
  </si>
  <si>
    <t>(2-15) S. 11</t>
  </si>
  <si>
    <t>(1-6) S. 4</t>
  </si>
  <si>
    <t>Punktschätzungen für die Merkmalsausprägungen der GGH</t>
  </si>
  <si>
    <t>(13-1) S. 66</t>
  </si>
  <si>
    <t>(13-11) S. 66</t>
  </si>
  <si>
    <t>(13-4) S. 66</t>
  </si>
  <si>
    <t>Annahme "Große" Stichprobe</t>
  </si>
  <si>
    <t>Annahme "Kleine" Stichprobe</t>
  </si>
  <si>
    <t>Intervallgrenzen</t>
  </si>
  <si>
    <t>KI für</t>
  </si>
  <si>
    <r>
      <t>1-</t>
    </r>
    <r>
      <rPr>
        <b/>
        <sz val="11"/>
        <color theme="1"/>
        <rFont val="Symbol"/>
        <family val="1"/>
        <charset val="2"/>
      </rPr>
      <t>a</t>
    </r>
  </si>
  <si>
    <r>
      <t>1-</t>
    </r>
    <r>
      <rPr>
        <b/>
        <sz val="11"/>
        <color theme="1"/>
        <rFont val="Symbol"/>
        <family val="1"/>
        <charset val="2"/>
      </rPr>
      <t>a</t>
    </r>
    <r>
      <rPr>
        <b/>
        <sz val="11"/>
        <color theme="1"/>
        <rFont val="Calibri"/>
        <family val="2"/>
        <scheme val="minor"/>
      </rPr>
      <t>/2</t>
    </r>
  </si>
  <si>
    <r>
      <t>z</t>
    </r>
    <r>
      <rPr>
        <b/>
        <vertAlign val="subscript"/>
        <sz val="11"/>
        <color theme="1"/>
        <rFont val="Calibri"/>
        <family val="2"/>
        <scheme val="minor"/>
      </rPr>
      <t>[1-</t>
    </r>
    <r>
      <rPr>
        <b/>
        <vertAlign val="subscript"/>
        <sz val="11"/>
        <color theme="1"/>
        <rFont val="Symbol"/>
        <family val="1"/>
        <charset val="2"/>
      </rPr>
      <t>a</t>
    </r>
    <r>
      <rPr>
        <b/>
        <vertAlign val="subscript"/>
        <sz val="11"/>
        <color theme="1"/>
        <rFont val="Calibri"/>
        <family val="2"/>
        <scheme val="minor"/>
      </rPr>
      <t>/2]</t>
    </r>
  </si>
  <si>
    <t>unten</t>
  </si>
  <si>
    <t>oben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</si>
  <si>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n-1,[1-</t>
    </r>
    <r>
      <rPr>
        <b/>
        <vertAlign val="subscript"/>
        <sz val="11"/>
        <color theme="1"/>
        <rFont val="Symbol"/>
        <family val="1"/>
        <charset val="2"/>
      </rPr>
      <t>a</t>
    </r>
    <r>
      <rPr>
        <b/>
        <vertAlign val="subscript"/>
        <sz val="11"/>
        <color theme="1"/>
        <rFont val="Calibri"/>
        <family val="2"/>
        <scheme val="minor"/>
      </rPr>
      <t>/2]</t>
    </r>
  </si>
  <si>
    <t>(14-7) S. 69</t>
  </si>
  <si>
    <t>(14-13) S. 71</t>
  </si>
  <si>
    <t>S. 70</t>
  </si>
  <si>
    <r>
      <rPr>
        <b/>
        <sz val="11"/>
        <color theme="1"/>
        <rFont val="Symbol"/>
        <family val="1"/>
        <charset val="2"/>
      </rPr>
      <t>a</t>
    </r>
    <r>
      <rPr>
        <b/>
        <sz val="11"/>
        <color theme="1"/>
        <rFont val="Calibri"/>
        <family val="2"/>
        <scheme val="minor"/>
      </rPr>
      <t>/2</t>
    </r>
  </si>
  <si>
    <r>
      <rPr>
        <b/>
        <sz val="11"/>
        <color theme="1"/>
        <rFont val="Symbol"/>
        <family val="1"/>
        <charset val="2"/>
      </rPr>
      <t>c</t>
    </r>
    <r>
      <rPr>
        <b/>
        <vertAlign val="superscript"/>
        <sz val="11"/>
        <color theme="1"/>
        <rFont val="Symbol"/>
        <family val="1"/>
        <charset val="2"/>
      </rPr>
      <t>2</t>
    </r>
    <r>
      <rPr>
        <b/>
        <vertAlign val="subscript"/>
        <sz val="11"/>
        <color theme="1"/>
        <rFont val="Calibri"/>
        <family val="2"/>
        <scheme val="minor"/>
      </rPr>
      <t>n-1,[</t>
    </r>
    <r>
      <rPr>
        <b/>
        <vertAlign val="subscript"/>
        <sz val="11"/>
        <color theme="1"/>
        <rFont val="Symbol"/>
        <family val="1"/>
        <charset val="2"/>
      </rPr>
      <t>a</t>
    </r>
    <r>
      <rPr>
        <b/>
        <vertAlign val="subscript"/>
        <sz val="11"/>
        <color theme="1"/>
        <rFont val="Calibri"/>
        <family val="2"/>
        <scheme val="minor"/>
      </rPr>
      <t>/2]</t>
    </r>
  </si>
  <si>
    <r>
      <rPr>
        <b/>
        <sz val="11"/>
        <color theme="1"/>
        <rFont val="Symbol"/>
        <family val="1"/>
        <charset val="2"/>
      </rPr>
      <t>c</t>
    </r>
    <r>
      <rPr>
        <b/>
        <vertAlign val="superscript"/>
        <sz val="11"/>
        <color theme="1"/>
        <rFont val="Symbol"/>
        <family val="1"/>
        <charset val="2"/>
      </rPr>
      <t>2</t>
    </r>
    <r>
      <rPr>
        <b/>
        <vertAlign val="subscript"/>
        <sz val="11"/>
        <color theme="1"/>
        <rFont val="Calibri"/>
        <family val="2"/>
        <scheme val="minor"/>
      </rPr>
      <t>n-1,[1-</t>
    </r>
    <r>
      <rPr>
        <b/>
        <vertAlign val="subscript"/>
        <sz val="11"/>
        <color theme="1"/>
        <rFont val="Symbol"/>
        <family val="1"/>
        <charset val="2"/>
      </rPr>
      <t>a</t>
    </r>
    <r>
      <rPr>
        <b/>
        <vertAlign val="subscript"/>
        <sz val="11"/>
        <color theme="1"/>
        <rFont val="Calibri"/>
        <family val="2"/>
        <scheme val="minor"/>
      </rPr>
      <t>/2]</t>
    </r>
  </si>
  <si>
    <t>(14-8) S. 70</t>
  </si>
  <si>
    <t>(14-15) S. 71</t>
  </si>
  <si>
    <r>
      <t xml:space="preserve">Hypothese über den Mittelwert </t>
    </r>
    <r>
      <rPr>
        <b/>
        <i/>
        <sz val="12"/>
        <color theme="1"/>
        <rFont val="Symbol"/>
        <family val="1"/>
        <charset val="2"/>
      </rPr>
      <t>m</t>
    </r>
    <r>
      <rPr>
        <b/>
        <vertAlign val="subscript"/>
        <sz val="12"/>
        <color theme="1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 xml:space="preserve"> =</t>
    </r>
  </si>
  <si>
    <t>Errechnetes Stichprobenmittel</t>
  </si>
  <si>
    <t>Großer Stichprobenumfang</t>
  </si>
  <si>
    <t>Kleiner Stichprobenumfang</t>
  </si>
  <si>
    <r>
      <rPr>
        <b/>
        <sz val="11"/>
        <color theme="1"/>
        <rFont val="Calibri"/>
        <family val="2"/>
        <scheme val="minor"/>
      </rPr>
      <t>Zweiseitiger Test</t>
    </r>
    <r>
      <rPr>
        <sz val="11"/>
        <color theme="1"/>
        <rFont val="Calibri"/>
        <family val="2"/>
        <scheme val="minor"/>
      </rPr>
      <t>: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gegen 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Calibri"/>
        <family val="2"/>
        <scheme val="minor"/>
      </rPr>
      <t>0</t>
    </r>
  </si>
  <si>
    <r>
      <rPr>
        <b/>
        <sz val="11"/>
        <color theme="1"/>
        <rFont val="Calibri"/>
        <family val="2"/>
        <scheme val="minor"/>
      </rPr>
      <t>Zweiseitiger Test</t>
    </r>
    <r>
      <rPr>
        <sz val="11"/>
        <color theme="1"/>
        <rFont val="Calibri"/>
        <family val="2"/>
        <scheme val="minor"/>
      </rPr>
      <t>: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gegen 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¹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Calibri"/>
        <family val="2"/>
        <scheme val="minor"/>
      </rPr>
      <t>0</t>
    </r>
  </si>
  <si>
    <t>Prüfgröße</t>
  </si>
  <si>
    <r>
      <t xml:space="preserve">Fehler 1. Art </t>
    </r>
    <r>
      <rPr>
        <i/>
        <sz val="11"/>
        <color theme="1"/>
        <rFont val="Symbol"/>
        <family val="1"/>
        <charset val="2"/>
      </rPr>
      <t>a</t>
    </r>
  </si>
  <si>
    <r>
      <t>Kritischer Wert z</t>
    </r>
    <r>
      <rPr>
        <vertAlign val="subscript"/>
        <sz val="11"/>
        <color theme="1"/>
        <rFont val="Calibri"/>
        <family val="2"/>
        <scheme val="minor"/>
      </rPr>
      <t>[1-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/2]</t>
    </r>
  </si>
  <si>
    <r>
      <t>Kritischer Wert t</t>
    </r>
    <r>
      <rPr>
        <vertAlign val="subscript"/>
        <sz val="11"/>
        <color theme="1"/>
        <rFont val="Calibri"/>
        <family val="2"/>
        <scheme val="minor"/>
      </rPr>
      <t>n-1,[1-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/2]</t>
    </r>
  </si>
  <si>
    <t>Testentscheidung</t>
  </si>
  <si>
    <r>
      <rPr>
        <b/>
        <sz val="11"/>
        <color theme="1"/>
        <rFont val="Calibri"/>
        <family val="2"/>
        <scheme val="minor"/>
      </rPr>
      <t>Oberseitiger Test</t>
    </r>
    <r>
      <rPr>
        <sz val="11"/>
        <color theme="1"/>
        <rFont val="Calibri"/>
        <family val="2"/>
        <scheme val="minor"/>
      </rPr>
      <t>: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gegen 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&gt; </t>
    </r>
    <r>
      <rPr>
        <i/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Calibri"/>
        <family val="2"/>
        <scheme val="minor"/>
      </rPr>
      <t>0</t>
    </r>
  </si>
  <si>
    <r>
      <t>Kritischer Wert z</t>
    </r>
    <r>
      <rPr>
        <vertAlign val="subscript"/>
        <sz val="11"/>
        <color theme="1"/>
        <rFont val="Calibri"/>
        <family val="2"/>
        <scheme val="minor"/>
      </rPr>
      <t>[1-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]</t>
    </r>
  </si>
  <si>
    <r>
      <t>Kritischer Wert t</t>
    </r>
    <r>
      <rPr>
        <vertAlign val="subscript"/>
        <sz val="11"/>
        <color theme="1"/>
        <rFont val="Calibri"/>
        <family val="2"/>
        <scheme val="minor"/>
      </rPr>
      <t>n-1,[1-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]</t>
    </r>
  </si>
  <si>
    <r>
      <rPr>
        <b/>
        <sz val="11"/>
        <color theme="1"/>
        <rFont val="Calibri"/>
        <family val="2"/>
        <scheme val="minor"/>
      </rPr>
      <t>Unterseitiger Test</t>
    </r>
    <r>
      <rPr>
        <sz val="11"/>
        <color theme="1"/>
        <rFont val="Calibri"/>
        <family val="2"/>
        <scheme val="minor"/>
      </rPr>
      <t>: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³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gegen 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 &lt; </t>
    </r>
    <r>
      <rPr>
        <i/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Calibri"/>
        <family val="2"/>
        <scheme val="minor"/>
      </rPr>
      <t>0</t>
    </r>
  </si>
  <si>
    <r>
      <t>Kritischer Wert z</t>
    </r>
    <r>
      <rPr>
        <vertAlign val="subscript"/>
        <sz val="11"/>
        <color theme="1"/>
        <rFont val="Calibri"/>
        <family val="2"/>
        <scheme val="minor"/>
      </rPr>
      <t>[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]</t>
    </r>
  </si>
  <si>
    <r>
      <t>Kritischer Wert t</t>
    </r>
    <r>
      <rPr>
        <vertAlign val="subscript"/>
        <sz val="11"/>
        <color theme="1"/>
        <rFont val="Calibri"/>
        <family val="2"/>
        <scheme val="minor"/>
      </rPr>
      <t>n-1,[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]</t>
    </r>
  </si>
  <si>
    <r>
      <t xml:space="preserve">Hypothese über die Varianz </t>
    </r>
    <r>
      <rPr>
        <b/>
        <i/>
        <sz val="12"/>
        <color theme="1"/>
        <rFont val="Symbol"/>
        <family val="1"/>
        <charset val="2"/>
      </rPr>
      <t>s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vertAlign val="subscript"/>
        <sz val="12"/>
        <color theme="1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 xml:space="preserve"> =</t>
    </r>
  </si>
  <si>
    <t>Errechnete empirische Varianz</t>
  </si>
  <si>
    <r>
      <rPr>
        <b/>
        <sz val="11"/>
        <color theme="1"/>
        <rFont val="Calibri"/>
        <family val="2"/>
        <scheme val="minor"/>
      </rPr>
      <t>Zweiseitiger Test</t>
    </r>
    <r>
      <rPr>
        <sz val="11"/>
        <color theme="1"/>
        <rFont val="Calibri"/>
        <family val="2"/>
        <scheme val="minor"/>
      </rPr>
      <t>: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 gegen 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¹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vertAlign val="subscript"/>
        <sz val="11"/>
        <color theme="1"/>
        <rFont val="Symbol"/>
        <family val="1"/>
        <charset val="2"/>
      </rPr>
      <t>0</t>
    </r>
  </si>
  <si>
    <r>
      <t xml:space="preserve">Kritischer unterer Wert  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  <scheme val="minor"/>
      </rPr>
      <t>2</t>
    </r>
    <r>
      <rPr>
        <vertAlign val="subscript"/>
        <sz val="11"/>
        <color theme="1"/>
        <rFont val="Calibri"/>
        <family val="2"/>
        <scheme val="minor"/>
      </rPr>
      <t>n-1,[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/2]</t>
    </r>
  </si>
  <si>
    <r>
      <t xml:space="preserve">Kritischer oberer Wert  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  <scheme val="minor"/>
      </rPr>
      <t>2</t>
    </r>
    <r>
      <rPr>
        <vertAlign val="subscript"/>
        <sz val="11"/>
        <color theme="1"/>
        <rFont val="Calibri"/>
        <family val="2"/>
        <scheme val="minor"/>
      </rPr>
      <t>n-1,[1-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/2]</t>
    </r>
  </si>
  <si>
    <r>
      <rPr>
        <b/>
        <sz val="11"/>
        <color theme="1"/>
        <rFont val="Calibri"/>
        <family val="2"/>
        <scheme val="minor"/>
      </rPr>
      <t>Oberseitiger Test</t>
    </r>
    <r>
      <rPr>
        <sz val="11"/>
        <color theme="1"/>
        <rFont val="Calibri"/>
        <family val="2"/>
        <scheme val="minor"/>
      </rPr>
      <t>: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 gegen 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&gt;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vertAlign val="subscript"/>
        <sz val="11"/>
        <color theme="1"/>
        <rFont val="Symbol"/>
        <family val="1"/>
        <charset val="2"/>
      </rPr>
      <t>0</t>
    </r>
  </si>
  <si>
    <r>
      <t xml:space="preserve">Kritischer oberer Wert  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  <scheme val="minor"/>
      </rPr>
      <t>2</t>
    </r>
    <r>
      <rPr>
        <vertAlign val="subscript"/>
        <sz val="11"/>
        <color theme="1"/>
        <rFont val="Calibri"/>
        <family val="2"/>
        <scheme val="minor"/>
      </rPr>
      <t>n-1,[1-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]</t>
    </r>
  </si>
  <si>
    <r>
      <rPr>
        <b/>
        <sz val="11"/>
        <color theme="1"/>
        <rFont val="Calibri"/>
        <family val="2"/>
        <scheme val="minor"/>
      </rPr>
      <t>Unterseitiger Test</t>
    </r>
    <r>
      <rPr>
        <sz val="11"/>
        <color theme="1"/>
        <rFont val="Calibri"/>
        <family val="2"/>
        <scheme val="minor"/>
      </rPr>
      <t>: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³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 gegen 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scheme val="minor"/>
      </rPr>
      <t xml:space="preserve"> &lt; </t>
    </r>
    <r>
      <rPr>
        <i/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Symbol"/>
        <family val="1"/>
        <charset val="2"/>
      </rPr>
      <t>2</t>
    </r>
    <r>
      <rPr>
        <vertAlign val="subscript"/>
        <sz val="11"/>
        <color theme="1"/>
        <rFont val="Symbol"/>
        <family val="1"/>
        <charset val="2"/>
      </rPr>
      <t>0</t>
    </r>
  </si>
  <si>
    <r>
      <t xml:space="preserve">Hypothese über den Anteilswert </t>
    </r>
    <r>
      <rPr>
        <b/>
        <i/>
        <sz val="12"/>
        <color theme="1"/>
        <rFont val="Calibri"/>
        <family val="2"/>
        <scheme val="minor"/>
      </rPr>
      <t>p</t>
    </r>
    <r>
      <rPr>
        <b/>
        <vertAlign val="subscript"/>
        <sz val="12"/>
        <color theme="1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 xml:space="preserve"> =</t>
    </r>
  </si>
  <si>
    <t>Errechnete relative Häufigkeit</t>
  </si>
  <si>
    <r>
      <rPr>
        <b/>
        <sz val="11"/>
        <color theme="1"/>
        <rFont val="Calibri"/>
        <family val="2"/>
        <scheme val="minor"/>
      </rPr>
      <t>Zweiseitiger Test</t>
    </r>
    <r>
      <rPr>
        <sz val="11"/>
        <color theme="1"/>
        <rFont val="Calibri"/>
        <family val="2"/>
        <scheme val="minor"/>
      </rPr>
      <t>: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gegen 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p</t>
    </r>
    <r>
      <rPr>
        <i/>
        <sz val="11"/>
        <color theme="1"/>
        <rFont val="Symbol"/>
        <family val="1"/>
        <charset val="2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¹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Symbol"/>
        <family val="1"/>
        <charset val="2"/>
      </rPr>
      <t>0</t>
    </r>
  </si>
  <si>
    <r>
      <rPr>
        <b/>
        <sz val="11"/>
        <color theme="1"/>
        <rFont val="Calibri"/>
        <family val="2"/>
        <scheme val="minor"/>
      </rPr>
      <t>Oberseitiger Test</t>
    </r>
    <r>
      <rPr>
        <sz val="11"/>
        <color theme="1"/>
        <rFont val="Calibri"/>
        <family val="2"/>
        <scheme val="minor"/>
      </rPr>
      <t>: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gegen 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&gt; </t>
    </r>
    <r>
      <rPr>
        <i/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0</t>
    </r>
  </si>
  <si>
    <r>
      <rPr>
        <b/>
        <sz val="11"/>
        <color theme="1"/>
        <rFont val="Calibri"/>
        <family val="2"/>
        <scheme val="minor"/>
      </rPr>
      <t>Unterseitiger Test</t>
    </r>
    <r>
      <rPr>
        <sz val="11"/>
        <color theme="1"/>
        <rFont val="Calibri"/>
        <family val="2"/>
        <scheme val="minor"/>
      </rPr>
      <t>: 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Symbol"/>
        <family val="1"/>
        <charset val="2"/>
      </rPr>
      <t>³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gegen 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&lt; </t>
    </r>
    <r>
      <rPr>
        <i/>
        <sz val="11"/>
        <color theme="1"/>
        <rFont val="Calibri"/>
        <family val="2"/>
        <scheme val="minor"/>
      </rPr>
      <t>p</t>
    </r>
    <r>
      <rPr>
        <vertAlign val="subscript"/>
        <sz val="11"/>
        <color theme="1"/>
        <rFont val="Calibri"/>
        <family val="2"/>
        <scheme val="minor"/>
      </rPr>
      <t>0</t>
    </r>
  </si>
  <si>
    <t>Differenz</t>
  </si>
  <si>
    <t>Schätzwert der StaAbW (Differenz)</t>
  </si>
  <si>
    <r>
      <t xml:space="preserve">Kritischer unterer Wert  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  <scheme val="minor"/>
      </rPr>
      <t>2</t>
    </r>
    <r>
      <rPr>
        <vertAlign val="subscript"/>
        <sz val="11"/>
        <color theme="1"/>
        <rFont val="Calibri"/>
        <family val="2"/>
        <scheme val="minor"/>
      </rPr>
      <t>n-1,[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]</t>
    </r>
  </si>
  <si>
    <t>Editierbar</t>
  </si>
  <si>
    <r>
      <t xml:space="preserve">Hypothese über das mittlere Alter </t>
    </r>
    <r>
      <rPr>
        <b/>
        <i/>
        <sz val="12"/>
        <color theme="1"/>
        <rFont val="Symbol"/>
        <family val="1"/>
        <charset val="2"/>
      </rPr>
      <t>m</t>
    </r>
    <r>
      <rPr>
        <b/>
        <vertAlign val="subscript"/>
        <sz val="12"/>
        <color theme="1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 xml:space="preserve"> =</t>
    </r>
  </si>
  <si>
    <r>
      <t xml:space="preserve">Hypothese über die Varianz des Alters </t>
    </r>
    <r>
      <rPr>
        <b/>
        <i/>
        <sz val="12"/>
        <color theme="1"/>
        <rFont val="Symbol"/>
        <family val="1"/>
        <charset val="2"/>
      </rPr>
      <t>s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vertAlign val="subscript"/>
        <sz val="12"/>
        <color theme="1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 xml:space="preserve"> =</t>
    </r>
  </si>
  <si>
    <r>
      <t xml:space="preserve">Kritischer unterer Wert  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Calibri"/>
        <family val="2"/>
        <scheme val="minor"/>
      </rPr>
      <t>[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/2]</t>
    </r>
  </si>
  <si>
    <r>
      <t xml:space="preserve">Kritischer oberer Wert  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Calibri"/>
        <family val="2"/>
        <scheme val="minor"/>
      </rPr>
      <t>[1-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/2]</t>
    </r>
  </si>
  <si>
    <t>Hypothese über die Gleichheit des mittleren Alters</t>
  </si>
  <si>
    <t>Hypothese über die Gleichheit der mittleren Größe</t>
  </si>
  <si>
    <t>Hypothese über die Gleichheit der Varianz der Größe</t>
  </si>
  <si>
    <t>Hypothese über die Gleichheit der Varianz des Alters</t>
  </si>
  <si>
    <t>Hypothese über die Gleichheit der beiden Anteilswerte</t>
  </si>
  <si>
    <t>Schätzwert Anteilswert (zusammengefasst)</t>
  </si>
  <si>
    <t>WS 1718, 4.10.2017, Züge a &amp; b</t>
  </si>
  <si>
    <t>Urlisten, nach Zügen getrennt:</t>
  </si>
  <si>
    <t>Urliste Zug b</t>
  </si>
  <si>
    <t>Urliste Zug a</t>
  </si>
  <si>
    <t>Zug a</t>
  </si>
  <si>
    <t>Zug b</t>
  </si>
  <si>
    <t>Urliste gesamt (Züge a &amp; b)</t>
  </si>
  <si>
    <t>Urliste 1 (Zug a)</t>
  </si>
  <si>
    <t>Urliste 2 (Zug b)</t>
  </si>
  <si>
    <r>
      <t>= n</t>
    </r>
    <r>
      <rPr>
        <b/>
        <vertAlign val="subscript"/>
        <sz val="11"/>
        <color theme="1"/>
        <rFont val="Calibri"/>
        <family val="2"/>
        <scheme val="minor"/>
      </rPr>
      <t>i·</t>
    </r>
  </si>
  <si>
    <r>
      <t>= n</t>
    </r>
    <r>
      <rPr>
        <b/>
        <vertAlign val="subscript"/>
        <sz val="11"/>
        <color theme="1"/>
        <rFont val="Calibri"/>
        <family val="2"/>
        <scheme val="minor"/>
      </rPr>
      <t>·j</t>
    </r>
  </si>
  <si>
    <r>
      <t>= n</t>
    </r>
    <r>
      <rPr>
        <b/>
        <vertAlign val="subscript"/>
        <sz val="10"/>
        <color theme="1"/>
        <rFont val="Calibri"/>
        <family val="2"/>
        <scheme val="minor"/>
      </rPr>
      <t>·j</t>
    </r>
  </si>
  <si>
    <r>
      <t>= h</t>
    </r>
    <r>
      <rPr>
        <b/>
        <vertAlign val="subscript"/>
        <sz val="11"/>
        <color theme="1"/>
        <rFont val="Calibri"/>
        <family val="2"/>
        <scheme val="minor"/>
      </rPr>
      <t>·j</t>
    </r>
  </si>
  <si>
    <r>
      <t>= h</t>
    </r>
    <r>
      <rPr>
        <b/>
        <vertAlign val="subscript"/>
        <sz val="11"/>
        <color theme="1"/>
        <rFont val="Calibri"/>
        <family val="2"/>
        <scheme val="minor"/>
      </rPr>
      <t>i·</t>
    </r>
  </si>
  <si>
    <r>
      <t>= h</t>
    </r>
    <r>
      <rPr>
        <b/>
        <vertAlign val="subscript"/>
        <sz val="10"/>
        <color theme="1"/>
        <rFont val="Calibri"/>
        <family val="2"/>
        <scheme val="minor"/>
      </rPr>
      <t>·j</t>
    </r>
  </si>
  <si>
    <r>
      <t>relH(g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y</t>
    </r>
    <r>
      <rPr>
        <b/>
        <i/>
        <vertAlign val="subscript"/>
        <sz val="11"/>
        <color theme="1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>)</t>
    </r>
  </si>
  <si>
    <t>Lt. Stichprobe</t>
  </si>
  <si>
    <t>zu Erwarten bei Unabhängigkeit</t>
  </si>
  <si>
    <t>Berechnen QK</t>
  </si>
  <si>
    <r>
      <rPr>
        <b/>
        <sz val="11"/>
        <color rgb="FFFF0000"/>
        <rFont val="Calibri"/>
        <family val="2"/>
        <scheme val="minor"/>
      </rPr>
      <t>n</t>
    </r>
    <r>
      <rPr>
        <b/>
        <vertAlign val="subscript"/>
        <sz val="11"/>
        <color rgb="FFFF0000"/>
        <rFont val="Calibri"/>
        <family val="2"/>
        <scheme val="minor"/>
      </rPr>
      <t>ij</t>
    </r>
    <r>
      <rPr>
        <b/>
        <sz val="11"/>
        <color theme="1"/>
        <rFont val="Calibri"/>
        <family val="2"/>
        <scheme val="minor"/>
      </rPr>
      <t xml:space="preserve"> = 
absH(g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y</t>
    </r>
    <r>
      <rPr>
        <b/>
        <i/>
        <vertAlign val="subscript"/>
        <sz val="11"/>
        <color theme="1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>)</t>
    </r>
  </si>
  <si>
    <r>
      <rPr>
        <b/>
        <sz val="11"/>
        <color rgb="FFFF0000"/>
        <rFont val="Calibri"/>
        <family val="2"/>
        <scheme val="minor"/>
      </rPr>
      <t>E</t>
    </r>
    <r>
      <rPr>
        <b/>
        <vertAlign val="subscript"/>
        <sz val="11"/>
        <color rgb="FFFF0000"/>
        <rFont val="Calibri"/>
        <family val="2"/>
        <scheme val="minor"/>
      </rPr>
      <t>ij</t>
    </r>
    <r>
      <rPr>
        <b/>
        <sz val="11"/>
        <color theme="1"/>
        <rFont val="Calibri"/>
        <family val="2"/>
        <scheme val="minor"/>
      </rPr>
      <t xml:space="preserve"> = 
absH(g</t>
    </r>
    <r>
      <rPr>
        <b/>
        <i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y</t>
    </r>
    <r>
      <rPr>
        <b/>
        <i/>
        <vertAlign val="subscript"/>
        <sz val="11"/>
        <color theme="1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>)</t>
    </r>
  </si>
  <si>
    <t/>
  </si>
  <si>
    <t>i</t>
  </si>
  <si>
    <t>18-20</t>
  </si>
  <si>
    <t>20-21</t>
  </si>
  <si>
    <t>21-22</t>
  </si>
  <si>
    <t>22-24</t>
  </si>
  <si>
    <t>24-30</t>
  </si>
  <si>
    <t>Urliste gesamt (Zug a &amp; b)</t>
  </si>
  <si>
    <t>Zusammenfassen Zug a &amp; b</t>
  </si>
  <si>
    <t>unterer Fehlerindikator</t>
  </si>
  <si>
    <t>oberer Fehlerindikator</t>
  </si>
  <si>
    <t>Berufsausbildung (nicht sinnvoll bei kleinen Stichproben)</t>
  </si>
  <si>
    <t>"Große" Stichprobe</t>
  </si>
  <si>
    <t>"Kleine" Stichprobe (nur Zug b)</t>
  </si>
  <si>
    <t>"Kleiner" Stichprobenumfang (nur Zug b)</t>
  </si>
  <si>
    <r>
      <t>Kritischer Wert t</t>
    </r>
    <r>
      <rPr>
        <vertAlign val="subscript"/>
        <sz val="11"/>
        <color theme="1"/>
        <rFont val="Calibri"/>
        <family val="2"/>
        <scheme val="minor"/>
      </rPr>
      <t>n-2,[1-</t>
    </r>
    <r>
      <rPr>
        <vertAlign val="subscript"/>
        <sz val="11"/>
        <color theme="1"/>
        <rFont val="Symbol"/>
        <family val="1"/>
        <charset val="2"/>
      </rPr>
      <t>a</t>
    </r>
    <r>
      <rPr>
        <vertAlign val="subscript"/>
        <sz val="11"/>
        <color theme="1"/>
        <rFont val="Calibri"/>
        <family val="2"/>
        <scheme val="minor"/>
      </rPr>
      <t>/2]</t>
    </r>
  </si>
  <si>
    <t>Kleiner Stichprobenumfang (Student-t-Verteilung)</t>
  </si>
  <si>
    <t>Großer Stichprobenumfang (Standard-NV)</t>
  </si>
  <si>
    <t>Errechnetes Stichprobenmittel (Zug a)</t>
  </si>
  <si>
    <t>Errechnetes Stichprobenmittel (Zug b)</t>
  </si>
  <si>
    <t>Punktschätzung Varianz (Zug b)</t>
  </si>
  <si>
    <t>Punktschätzung Varianz (Zug a)</t>
  </si>
  <si>
    <t>Errechnete empirische Varianz (Zug a)</t>
  </si>
  <si>
    <t>Errechnete empirische Varianz (Zug b)</t>
  </si>
  <si>
    <t>Errechneter Anteilswert (Zug a)</t>
  </si>
  <si>
    <t>Errechneter Anteilswert (Zug b)</t>
  </si>
  <si>
    <t>b</t>
  </si>
  <si>
    <t>g</t>
  </si>
  <si>
    <r>
      <rPr>
        <i/>
        <sz val="18"/>
        <color theme="1"/>
        <rFont val="Symbol"/>
        <family val="1"/>
        <charset val="2"/>
      </rPr>
      <t>x</t>
    </r>
    <r>
      <rPr>
        <i/>
        <vertAlign val="subscript"/>
        <sz val="18"/>
        <color theme="1"/>
        <rFont val="Times New Roman"/>
        <family val="1"/>
      </rPr>
      <t>i</t>
    </r>
  </si>
  <si>
    <r>
      <rPr>
        <sz val="18"/>
        <color theme="1"/>
        <rFont val="Symbol"/>
        <family val="1"/>
        <charset val="2"/>
      </rPr>
      <t>D</t>
    </r>
    <r>
      <rPr>
        <i/>
        <vertAlign val="subscript"/>
        <sz val="18"/>
        <color theme="1"/>
        <rFont val="Times New Roman"/>
        <family val="1"/>
      </rPr>
      <t>i</t>
    </r>
  </si>
  <si>
    <r>
      <rPr>
        <i/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i</t>
    </r>
  </si>
  <si>
    <r>
      <rPr>
        <i/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i</t>
    </r>
  </si>
  <si>
    <r>
      <rPr>
        <i/>
        <sz val="18"/>
        <color theme="1"/>
        <rFont val="Times New Roman"/>
        <family val="1"/>
      </rPr>
      <t>h</t>
    </r>
    <r>
      <rPr>
        <i/>
        <vertAlign val="subscript"/>
        <sz val="18"/>
        <color theme="1"/>
        <rFont val="Times New Roman"/>
        <family val="1"/>
      </rPr>
      <t>i</t>
    </r>
    <r>
      <rPr>
        <sz val="18"/>
        <color theme="1"/>
        <rFont val="Calibri"/>
        <family val="2"/>
        <scheme val="minor"/>
      </rPr>
      <t>/</t>
    </r>
    <r>
      <rPr>
        <sz val="18"/>
        <color theme="1"/>
        <rFont val="Symbol"/>
        <family val="1"/>
        <charset val="2"/>
      </rPr>
      <t>D</t>
    </r>
    <r>
      <rPr>
        <i/>
        <vertAlign val="subscript"/>
        <sz val="18"/>
        <color theme="1"/>
        <rFont val="Times New Roman"/>
        <family val="1"/>
      </rPr>
      <t>i</t>
    </r>
  </si>
  <si>
    <t>S</t>
  </si>
  <si>
    <r>
      <rPr>
        <i/>
        <sz val="18"/>
        <color theme="1"/>
        <rFont val="Times New Roman"/>
        <family val="1"/>
      </rPr>
      <t>H</t>
    </r>
    <r>
      <rPr>
        <sz val="18"/>
        <color theme="1"/>
        <rFont val="Times New Roman"/>
        <family val="1"/>
      </rPr>
      <t>(</t>
    </r>
    <r>
      <rPr>
        <i/>
        <sz val="18"/>
        <color theme="1"/>
        <rFont val="Symbol"/>
        <family val="1"/>
        <charset val="2"/>
      </rPr>
      <t>x</t>
    </r>
    <r>
      <rPr>
        <vertAlign val="subscript"/>
        <sz val="18"/>
        <color theme="1"/>
        <rFont val="Times New Roman"/>
        <family val="1"/>
      </rPr>
      <t>i</t>
    </r>
    <r>
      <rPr>
        <sz val="18"/>
        <color theme="1"/>
        <rFont val="Times New Roman"/>
        <family val="1"/>
      </rPr>
      <t>)</t>
    </r>
  </si>
  <si>
    <t>Mittelwert aus</t>
  </si>
  <si>
    <t>Varianz aus</t>
  </si>
  <si>
    <r>
      <t>x̅</t>
    </r>
    <r>
      <rPr>
        <i/>
        <vertAlign val="subscript"/>
        <sz val="18"/>
        <color theme="1"/>
        <rFont val="Times New Roman"/>
        <family val="1"/>
      </rPr>
      <t>i</t>
    </r>
  </si>
  <si>
    <r>
      <rPr>
        <i/>
        <sz val="18"/>
        <color theme="1"/>
        <rFont val="Times New Roman"/>
        <family val="1"/>
      </rPr>
      <t>n</t>
    </r>
    <r>
      <rPr>
        <i/>
        <vertAlign val="subscript"/>
        <sz val="18"/>
        <color theme="1"/>
        <rFont val="Times New Roman"/>
        <family val="1"/>
      </rPr>
      <t>i</t>
    </r>
  </si>
  <si>
    <r>
      <rPr>
        <i/>
        <sz val="18"/>
        <color theme="1"/>
        <rFont val="Times New Roman"/>
        <family val="1"/>
      </rPr>
      <t>h</t>
    </r>
    <r>
      <rPr>
        <i/>
        <vertAlign val="subscript"/>
        <sz val="18"/>
        <color theme="1"/>
        <rFont val="Times New Roman"/>
        <family val="1"/>
      </rPr>
      <t>i</t>
    </r>
  </si>
  <si>
    <r>
      <t xml:space="preserve">relH(xi, yj) </t>
    </r>
    <r>
      <rPr>
        <b/>
        <i/>
        <sz val="10"/>
        <color theme="1"/>
        <rFont val="Times New Roman"/>
        <family val="1"/>
      </rPr>
      <t>x</t>
    </r>
    <r>
      <rPr>
        <b/>
        <i/>
        <vertAlign val="subscript"/>
        <sz val="10"/>
        <color theme="1"/>
        <rFont val="Times New Roman"/>
        <family val="1"/>
      </rPr>
      <t xml:space="preserve">i </t>
    </r>
    <r>
      <rPr>
        <b/>
        <i/>
        <sz val="10"/>
        <color theme="1"/>
        <rFont val="Times New Roman"/>
        <family val="1"/>
      </rPr>
      <t>y</t>
    </r>
    <r>
      <rPr>
        <b/>
        <i/>
        <vertAlign val="subscript"/>
        <sz val="10"/>
        <color theme="1"/>
        <rFont val="Times New Roman"/>
        <family val="1"/>
      </rPr>
      <t>j</t>
    </r>
    <r>
      <rPr>
        <b/>
        <sz val="11"/>
        <color theme="1"/>
        <rFont val="Calibri"/>
        <family val="2"/>
        <scheme val="minor"/>
      </rPr>
      <t/>
    </r>
  </si>
  <si>
    <t>-·</t>
  </si>
  <si>
    <r>
      <t>C</t>
    </r>
    <r>
      <rPr>
        <b/>
        <vertAlign val="subscript"/>
        <sz val="10"/>
        <color rgb="FFFF0000"/>
        <rFont val="Times New Roman"/>
        <family val="1"/>
      </rPr>
      <t>XY</t>
    </r>
  </si>
  <si>
    <r>
      <t xml:space="preserve">= </t>
    </r>
    <r>
      <rPr>
        <b/>
        <i/>
        <sz val="11"/>
        <color theme="1"/>
        <rFont val="Times New Roman"/>
        <family val="1"/>
      </rPr>
      <t>n</t>
    </r>
    <r>
      <rPr>
        <b/>
        <i/>
        <vertAlign val="subscript"/>
        <sz val="11"/>
        <color theme="1"/>
        <rFont val="Times New Roman"/>
        <family val="1"/>
      </rPr>
      <t>i</t>
    </r>
    <r>
      <rPr>
        <b/>
        <vertAlign val="subscript"/>
        <sz val="11"/>
        <color theme="1"/>
        <rFont val="Times New Roman"/>
        <family val="1"/>
      </rPr>
      <t>·</t>
    </r>
  </si>
  <si>
    <r>
      <t xml:space="preserve">= </t>
    </r>
    <r>
      <rPr>
        <b/>
        <i/>
        <sz val="11"/>
        <color theme="1"/>
        <rFont val="Times New Roman"/>
        <family val="1"/>
      </rPr>
      <t>n</t>
    </r>
    <r>
      <rPr>
        <b/>
        <vertAlign val="subscript"/>
        <sz val="11"/>
        <color theme="1"/>
        <rFont val="Times New Roman"/>
        <family val="1"/>
      </rPr>
      <t>·</t>
    </r>
    <r>
      <rPr>
        <b/>
        <i/>
        <vertAlign val="subscript"/>
        <sz val="11"/>
        <color theme="1"/>
        <rFont val="Times New Roman"/>
        <family val="1"/>
      </rPr>
      <t>j</t>
    </r>
  </si>
  <si>
    <r>
      <t xml:space="preserve">= </t>
    </r>
    <r>
      <rPr>
        <b/>
        <i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·</t>
    </r>
    <r>
      <rPr>
        <b/>
        <i/>
        <vertAlign val="subscript"/>
        <sz val="11"/>
        <color theme="1"/>
        <rFont val="Times New Roman"/>
        <family val="1"/>
      </rPr>
      <t>j</t>
    </r>
  </si>
  <si>
    <r>
      <t xml:space="preserve">= </t>
    </r>
    <r>
      <rPr>
        <b/>
        <i/>
        <sz val="11"/>
        <color theme="1"/>
        <rFont val="Times New Roman"/>
        <family val="1"/>
      </rPr>
      <t>h</t>
    </r>
    <r>
      <rPr>
        <b/>
        <i/>
        <vertAlign val="subscript"/>
        <sz val="11"/>
        <color theme="1"/>
        <rFont val="Times New Roman"/>
        <family val="1"/>
      </rPr>
      <t>i</t>
    </r>
    <r>
      <rPr>
        <b/>
        <vertAlign val="subscript"/>
        <sz val="11"/>
        <color theme="1"/>
        <rFont val="Times New Roman"/>
        <family val="1"/>
      </rPr>
      <t>·</t>
    </r>
  </si>
  <si>
    <r>
      <t>absH(</t>
    </r>
    <r>
      <rPr>
        <b/>
        <i/>
        <sz val="11"/>
        <color theme="1"/>
        <rFont val="Times New Roman"/>
        <family val="1"/>
      </rPr>
      <t>x</t>
    </r>
    <r>
      <rPr>
        <b/>
        <i/>
        <vertAlign val="subscript"/>
        <sz val="11"/>
        <color theme="1"/>
        <rFont val="Times New Roman"/>
        <family val="1"/>
      </rPr>
      <t xml:space="preserve">i </t>
    </r>
    <r>
      <rPr>
        <b/>
        <sz val="11"/>
        <color theme="1"/>
        <rFont val="Times New Roman"/>
        <family val="1"/>
      </rPr>
      <t xml:space="preserve">∩ </t>
    </r>
    <r>
      <rPr>
        <b/>
        <i/>
        <sz val="11"/>
        <color theme="1"/>
        <rFont val="Times New Roman"/>
        <family val="1"/>
      </rPr>
      <t>y</t>
    </r>
    <r>
      <rPr>
        <b/>
        <i/>
        <vertAlign val="subscript"/>
        <sz val="11"/>
        <color theme="1"/>
        <rFont val="Times New Roman"/>
        <family val="1"/>
      </rPr>
      <t>j</t>
    </r>
    <r>
      <rPr>
        <b/>
        <sz val="11"/>
        <color theme="1"/>
        <rFont val="Times New Roman"/>
        <family val="1"/>
      </rPr>
      <t>)</t>
    </r>
  </si>
  <si>
    <r>
      <t>relH(</t>
    </r>
    <r>
      <rPr>
        <b/>
        <i/>
        <sz val="11"/>
        <color theme="1"/>
        <rFont val="Times New Roman"/>
        <family val="1"/>
      </rPr>
      <t>x</t>
    </r>
    <r>
      <rPr>
        <b/>
        <i/>
        <vertAlign val="subscript"/>
        <sz val="11"/>
        <color theme="1"/>
        <rFont val="Times New Roman"/>
        <family val="1"/>
      </rPr>
      <t xml:space="preserve">i </t>
    </r>
    <r>
      <rPr>
        <b/>
        <sz val="11"/>
        <color theme="1"/>
        <rFont val="Times New Roman"/>
        <family val="1"/>
      </rPr>
      <t xml:space="preserve">∩ </t>
    </r>
    <r>
      <rPr>
        <b/>
        <i/>
        <sz val="11"/>
        <color theme="1"/>
        <rFont val="Times New Roman"/>
        <family val="1"/>
      </rPr>
      <t>y</t>
    </r>
    <r>
      <rPr>
        <b/>
        <i/>
        <vertAlign val="subscript"/>
        <sz val="11"/>
        <color theme="1"/>
        <rFont val="Times New Roman"/>
        <family val="1"/>
      </rPr>
      <t>j</t>
    </r>
    <r>
      <rPr>
        <b/>
        <sz val="11"/>
        <color theme="1"/>
        <rFont val="Times New Roman"/>
        <family val="1"/>
      </rPr>
      <t>)</t>
    </r>
  </si>
  <si>
    <r>
      <t>absH(</t>
    </r>
    <r>
      <rPr>
        <i/>
        <sz val="11"/>
        <color theme="1"/>
        <rFont val="Times New Roman"/>
        <family val="1"/>
      </rPr>
      <t>x</t>
    </r>
    <r>
      <rPr>
        <i/>
        <vertAlign val="subscript"/>
        <sz val="11"/>
        <color theme="1"/>
        <rFont val="Times New Roman"/>
        <family val="1"/>
      </rPr>
      <t xml:space="preserve">i </t>
    </r>
    <r>
      <rPr>
        <sz val="11"/>
        <color theme="1"/>
        <rFont val="Times New Roman"/>
        <family val="1"/>
      </rPr>
      <t xml:space="preserve">∩ </t>
    </r>
    <r>
      <rPr>
        <i/>
        <sz val="11"/>
        <color theme="1"/>
        <rFont val="Times New Roman"/>
        <family val="1"/>
      </rPr>
      <t>y</t>
    </r>
    <r>
      <rPr>
        <i/>
        <vertAlign val="subscript"/>
        <sz val="11"/>
        <color theme="1"/>
        <rFont val="Times New Roman"/>
        <family val="1"/>
      </rPr>
      <t>j</t>
    </r>
    <r>
      <rPr>
        <sz val="11"/>
        <color theme="1"/>
        <rFont val="Times New Roman"/>
        <family val="1"/>
      </rPr>
      <t>)</t>
    </r>
  </si>
  <si>
    <r>
      <t>= n</t>
    </r>
    <r>
      <rPr>
        <vertAlign val="subscript"/>
        <sz val="11"/>
        <color theme="1"/>
        <rFont val="Times New Roman"/>
        <family val="1"/>
      </rPr>
      <t>i·</t>
    </r>
  </si>
  <si>
    <r>
      <t>= n</t>
    </r>
    <r>
      <rPr>
        <vertAlign val="subscript"/>
        <sz val="11"/>
        <color theme="1"/>
        <rFont val="Times New Roman"/>
        <family val="1"/>
      </rPr>
      <t>·j</t>
    </r>
  </si>
  <si>
    <r>
      <t>relH(</t>
    </r>
    <r>
      <rPr>
        <i/>
        <sz val="11"/>
        <color theme="1"/>
        <rFont val="Times New Roman"/>
        <family val="1"/>
      </rPr>
      <t>x</t>
    </r>
    <r>
      <rPr>
        <i/>
        <vertAlign val="subscript"/>
        <sz val="11"/>
        <color theme="1"/>
        <rFont val="Times New Roman"/>
        <family val="1"/>
      </rPr>
      <t xml:space="preserve">i </t>
    </r>
    <r>
      <rPr>
        <sz val="11"/>
        <color theme="1"/>
        <rFont val="Times New Roman"/>
        <family val="1"/>
      </rPr>
      <t xml:space="preserve">∩ </t>
    </r>
    <r>
      <rPr>
        <i/>
        <sz val="11"/>
        <color theme="1"/>
        <rFont val="Times New Roman"/>
        <family val="1"/>
      </rPr>
      <t>y</t>
    </r>
    <r>
      <rPr>
        <i/>
        <vertAlign val="subscript"/>
        <sz val="11"/>
        <color theme="1"/>
        <rFont val="Times New Roman"/>
        <family val="1"/>
      </rPr>
      <t>j</t>
    </r>
    <r>
      <rPr>
        <sz val="11"/>
        <color theme="1"/>
        <rFont val="Times New Roman"/>
        <family val="1"/>
      </rPr>
      <t>)</t>
    </r>
  </si>
  <si>
    <r>
      <t>= h</t>
    </r>
    <r>
      <rPr>
        <vertAlign val="subscript"/>
        <sz val="11"/>
        <color theme="1"/>
        <rFont val="Times New Roman"/>
        <family val="1"/>
      </rPr>
      <t>i·</t>
    </r>
  </si>
  <si>
    <r>
      <t>= h</t>
    </r>
    <r>
      <rPr>
        <vertAlign val="subscript"/>
        <sz val="11"/>
        <color theme="1"/>
        <rFont val="Times New Roman"/>
        <family val="1"/>
      </rPr>
      <t>·j</t>
    </r>
  </si>
  <si>
    <r>
      <t>y̅</t>
    </r>
    <r>
      <rPr>
        <i/>
        <vertAlign val="subscript"/>
        <sz val="18"/>
        <color theme="1"/>
        <rFont val="Times New Roman"/>
        <family val="1"/>
      </rPr>
      <t>i</t>
    </r>
  </si>
  <si>
    <r>
      <rPr>
        <i/>
        <sz val="18"/>
        <color theme="1"/>
        <rFont val="Times New Roman"/>
        <family val="1"/>
      </rPr>
      <t xml:space="preserve">H̅ </t>
    </r>
    <r>
      <rPr>
        <sz val="18"/>
        <color theme="1"/>
        <rFont val="Times New Roman"/>
        <family val="1"/>
      </rPr>
      <t>(</t>
    </r>
    <r>
      <rPr>
        <i/>
        <sz val="18"/>
        <color theme="1"/>
        <rFont val="Symbol"/>
        <family val="1"/>
        <charset val="2"/>
      </rPr>
      <t>x</t>
    </r>
    <r>
      <rPr>
        <vertAlign val="subscript"/>
        <sz val="18"/>
        <color theme="1"/>
        <rFont val="Times New Roman"/>
        <family val="1"/>
      </rPr>
      <t>i</t>
    </r>
    <r>
      <rPr>
        <sz val="18"/>
        <color theme="1"/>
        <rFont val="Times New Roman"/>
        <family val="1"/>
      </rPr>
      <t>)</t>
    </r>
  </si>
  <si>
    <r>
      <t>relH(</t>
    </r>
    <r>
      <rPr>
        <i/>
        <sz val="11"/>
        <color theme="1"/>
        <rFont val="Times New Roman"/>
        <family val="1"/>
      </rPr>
      <t>y</t>
    </r>
    <r>
      <rPr>
        <i/>
        <vertAlign val="subscript"/>
        <sz val="11"/>
        <color theme="1"/>
        <rFont val="Times New Roman"/>
        <family val="1"/>
      </rPr>
      <t>j</t>
    </r>
    <r>
      <rPr>
        <i/>
        <sz val="11"/>
        <color theme="1"/>
        <rFont val="Times New Roman"/>
        <family val="1"/>
      </rPr>
      <t xml:space="preserve"> | x</t>
    </r>
    <r>
      <rPr>
        <i/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)</t>
    </r>
  </si>
  <si>
    <r>
      <t>relH(</t>
    </r>
    <r>
      <rPr>
        <i/>
        <sz val="11"/>
        <color theme="1"/>
        <rFont val="Times New Roman"/>
        <family val="1"/>
      </rPr>
      <t>x</t>
    </r>
    <r>
      <rPr>
        <i/>
        <vertAlign val="subscript"/>
        <sz val="11"/>
        <color theme="1"/>
        <rFont val="Times New Roman"/>
        <family val="1"/>
      </rPr>
      <t>i</t>
    </r>
    <r>
      <rPr>
        <i/>
        <sz val="11"/>
        <color theme="1"/>
        <rFont val="Times New Roman"/>
        <family val="1"/>
      </rPr>
      <t xml:space="preserve"> | y</t>
    </r>
    <r>
      <rPr>
        <i/>
        <vertAlign val="subscript"/>
        <sz val="11"/>
        <color theme="1"/>
        <rFont val="Times New Roman"/>
        <family val="1"/>
      </rPr>
      <t>j</t>
    </r>
    <r>
      <rPr>
        <sz val="11"/>
        <color theme="1"/>
        <rFont val="Times New Roman"/>
        <family val="1"/>
      </rPr>
      <t>)</t>
    </r>
  </si>
  <si>
    <r>
      <t>x</t>
    </r>
    <r>
      <rPr>
        <i/>
        <vertAlign val="subscript"/>
        <sz val="11"/>
        <color theme="1"/>
        <rFont val="Times New Roman"/>
        <family val="1"/>
      </rPr>
      <t>i</t>
    </r>
    <r>
      <rPr>
        <i/>
        <sz val="11"/>
        <color theme="1"/>
        <rFont val="Times New Roman"/>
        <family val="1"/>
      </rPr>
      <t xml:space="preserve"> ⋅ </t>
    </r>
    <r>
      <rPr>
        <i/>
        <vertAlign val="subscript"/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y</t>
    </r>
    <r>
      <rPr>
        <i/>
        <vertAlign val="subscript"/>
        <sz val="11"/>
        <color theme="1"/>
        <rFont val="Times New Roman"/>
        <family val="1"/>
      </rPr>
      <t>j</t>
    </r>
    <r>
      <rPr>
        <i/>
        <sz val="11"/>
        <color theme="1"/>
        <rFont val="Times New Roman"/>
        <family val="1"/>
      </rPr>
      <t xml:space="preserve"> ⋅ h</t>
    </r>
    <r>
      <rPr>
        <i/>
        <vertAlign val="subscript"/>
        <sz val="11"/>
        <color theme="1"/>
        <rFont val="Times New Roman"/>
        <family val="1"/>
      </rPr>
      <t>ij</t>
    </r>
  </si>
  <si>
    <t>Männlich</t>
  </si>
  <si>
    <t>Weiblich</t>
  </si>
  <si>
    <r>
      <t>(</t>
    </r>
    <r>
      <rPr>
        <b/>
        <i/>
        <sz val="11"/>
        <color theme="1"/>
        <rFont val="Times New Roman"/>
        <family val="1"/>
      </rPr>
      <t>n</t>
    </r>
    <r>
      <rPr>
        <b/>
        <i/>
        <vertAlign val="subscript"/>
        <sz val="11"/>
        <color theme="1"/>
        <rFont val="Times New Roman"/>
        <family val="1"/>
      </rPr>
      <t>ij</t>
    </r>
    <r>
      <rPr>
        <b/>
        <i/>
        <sz val="11"/>
        <color theme="1"/>
        <rFont val="Times New Roman"/>
        <family val="1"/>
      </rPr>
      <t xml:space="preserve"> - E</t>
    </r>
    <r>
      <rPr>
        <b/>
        <i/>
        <vertAlign val="subscript"/>
        <sz val="11"/>
        <color theme="1"/>
        <rFont val="Times New Roman"/>
        <family val="1"/>
      </rPr>
      <t>ij</t>
    </r>
    <r>
      <rPr>
        <b/>
        <sz val="11"/>
        <color theme="1"/>
        <rFont val="Times New Roman"/>
        <family val="1"/>
      </rPr>
      <t>)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/</t>
    </r>
    <r>
      <rPr>
        <b/>
        <i/>
        <sz val="11"/>
        <color theme="1"/>
        <rFont val="Times New Roman"/>
        <family val="1"/>
      </rPr>
      <t>E</t>
    </r>
    <r>
      <rPr>
        <b/>
        <i/>
        <vertAlign val="subscript"/>
        <sz val="11"/>
        <color theme="1"/>
        <rFont val="Times New Roman"/>
        <family val="1"/>
      </rPr>
      <t>ij</t>
    </r>
  </si>
  <si>
    <t>Quadratische Kontingenz:</t>
  </si>
  <si>
    <t>Rechnung:</t>
  </si>
  <si>
    <t>Kontingenzkoeffizient:</t>
  </si>
  <si>
    <r>
      <rPr>
        <b/>
        <i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max</t>
    </r>
  </si>
  <si>
    <t>Korrigierter Kontingenzkoeffizient:</t>
  </si>
  <si>
    <r>
      <t>K*=</t>
    </r>
    <r>
      <rPr>
        <b/>
        <sz val="11"/>
        <color theme="1"/>
        <rFont val="Times New Roman"/>
        <family val="1"/>
      </rPr>
      <t>K</t>
    </r>
    <r>
      <rPr>
        <b/>
        <i/>
        <sz val="11"/>
        <color theme="1"/>
        <rFont val="Times New Roman"/>
        <family val="1"/>
      </rPr>
      <t>/</t>
    </r>
    <r>
      <rPr>
        <b/>
        <sz val="11"/>
        <color theme="1"/>
        <rFont val="Times New Roman"/>
        <family val="1"/>
      </rPr>
      <t>K</t>
    </r>
    <r>
      <rPr>
        <b/>
        <i/>
        <vertAlign val="subscript"/>
        <sz val="11"/>
        <color theme="1"/>
        <rFont val="Times New Roman"/>
        <family val="1"/>
      </rPr>
      <t>max</t>
    </r>
  </si>
  <si>
    <r>
      <rPr>
        <b/>
        <sz val="11"/>
        <color theme="1"/>
        <rFont val="Times New Roman"/>
        <family val="1"/>
      </rPr>
      <t>Y</t>
    </r>
    <r>
      <rPr>
        <sz val="11"/>
        <color theme="1"/>
        <rFont val="Times New Roman"/>
        <family val="1"/>
      </rPr>
      <t>:
Körper-länge
cm</t>
    </r>
  </si>
  <si>
    <r>
      <rPr>
        <b/>
        <sz val="11"/>
        <color theme="1"/>
        <rFont val="Times New Roman"/>
        <family val="1"/>
      </rPr>
      <t>G</t>
    </r>
    <r>
      <rPr>
        <sz val="11"/>
        <color theme="1"/>
        <rFont val="Times New Roman"/>
        <family val="1"/>
      </rPr>
      <t>:
Geschlecht</t>
    </r>
  </si>
  <si>
    <t>155 - 164</t>
  </si>
  <si>
    <t>165 - 170</t>
  </si>
  <si>
    <t>171 - 176</t>
  </si>
  <si>
    <t>177 - 182</t>
  </si>
  <si>
    <t>183 - 185</t>
  </si>
  <si>
    <t>186 - 195</t>
  </si>
  <si>
    <r>
      <rPr>
        <b/>
        <sz val="11"/>
        <color theme="1"/>
        <rFont val="Times New Roman"/>
        <family val="1"/>
      </rPr>
      <t>Y</t>
    </r>
    <r>
      <rPr>
        <sz val="11"/>
        <color theme="1"/>
        <rFont val="Times New Roman"/>
        <family val="1"/>
      </rPr>
      <t>:
Körperlänge
cm</t>
    </r>
  </si>
  <si>
    <r>
      <rPr>
        <b/>
        <i/>
        <sz val="11"/>
        <color theme="1"/>
        <rFont val="Times New Roman"/>
        <family val="1"/>
      </rPr>
      <t>h</t>
    </r>
    <r>
      <rPr>
        <b/>
        <i/>
        <vertAlign val="subscript"/>
        <sz val="11"/>
        <color theme="1"/>
        <rFont val="Times New Roman"/>
        <family val="1"/>
      </rPr>
      <t>ij</t>
    </r>
    <r>
      <rPr>
        <b/>
        <sz val="11"/>
        <color theme="1"/>
        <rFont val="Times New Roman"/>
        <family val="1"/>
      </rPr>
      <t xml:space="preserve"> = relH(</t>
    </r>
    <r>
      <rPr>
        <b/>
        <i/>
        <sz val="11"/>
        <color theme="1"/>
        <rFont val="Times New Roman"/>
        <family val="1"/>
      </rPr>
      <t>y</t>
    </r>
    <r>
      <rPr>
        <b/>
        <i/>
        <vertAlign val="subscript"/>
        <sz val="11"/>
        <color theme="1"/>
        <rFont val="Times New Roman"/>
        <family val="1"/>
      </rPr>
      <t>i</t>
    </r>
    <r>
      <rPr>
        <b/>
        <sz val="11"/>
        <color theme="1"/>
        <rFont val="Times New Roman"/>
        <family val="1"/>
      </rPr>
      <t xml:space="preserve">⋂ </t>
    </r>
    <r>
      <rPr>
        <b/>
        <i/>
        <sz val="11"/>
        <color theme="1"/>
        <rFont val="Times New Roman"/>
        <family val="1"/>
      </rPr>
      <t>g</t>
    </r>
    <r>
      <rPr>
        <b/>
        <i/>
        <vertAlign val="subscript"/>
        <sz val="11"/>
        <color theme="1"/>
        <rFont val="Times New Roman"/>
        <family val="1"/>
      </rPr>
      <t>j</t>
    </r>
    <r>
      <rPr>
        <b/>
        <sz val="11"/>
        <color theme="1"/>
        <rFont val="Times New Roman"/>
        <family val="1"/>
      </rPr>
      <t>)</t>
    </r>
  </si>
  <si>
    <r>
      <rPr>
        <b/>
        <i/>
        <sz val="11"/>
        <color theme="1"/>
        <rFont val="Times New Roman"/>
        <family val="1"/>
      </rPr>
      <t>n</t>
    </r>
    <r>
      <rPr>
        <b/>
        <i/>
        <vertAlign val="subscript"/>
        <sz val="11"/>
        <color theme="1"/>
        <rFont val="Times New Roman"/>
        <family val="1"/>
      </rPr>
      <t>ij</t>
    </r>
    <r>
      <rPr>
        <b/>
        <sz val="11"/>
        <color theme="1"/>
        <rFont val="Times New Roman"/>
        <family val="1"/>
      </rPr>
      <t xml:space="preserve"> = absH(</t>
    </r>
    <r>
      <rPr>
        <b/>
        <i/>
        <sz val="11"/>
        <color theme="1"/>
        <rFont val="Times New Roman"/>
        <family val="1"/>
      </rPr>
      <t>y</t>
    </r>
    <r>
      <rPr>
        <b/>
        <i/>
        <vertAlign val="subscript"/>
        <sz val="11"/>
        <color theme="1"/>
        <rFont val="Times New Roman"/>
        <family val="1"/>
      </rPr>
      <t>i</t>
    </r>
    <r>
      <rPr>
        <b/>
        <sz val="11"/>
        <color theme="1"/>
        <rFont val="Times New Roman"/>
        <family val="1"/>
      </rPr>
      <t xml:space="preserve">⋂ </t>
    </r>
    <r>
      <rPr>
        <b/>
        <i/>
        <sz val="11"/>
        <color theme="1"/>
        <rFont val="Times New Roman"/>
        <family val="1"/>
      </rPr>
      <t>g</t>
    </r>
    <r>
      <rPr>
        <b/>
        <i/>
        <vertAlign val="subscript"/>
        <sz val="11"/>
        <color theme="1"/>
        <rFont val="Times New Roman"/>
        <family val="1"/>
      </rPr>
      <t>j</t>
    </r>
    <r>
      <rPr>
        <b/>
        <sz val="11"/>
        <color theme="1"/>
        <rFont val="Times New Roman"/>
        <family val="1"/>
      </rPr>
      <t>)</t>
    </r>
  </si>
  <si>
    <r>
      <rPr>
        <b/>
        <i/>
        <sz val="11"/>
        <color theme="1"/>
        <rFont val="Times New Roman"/>
        <family val="1"/>
      </rPr>
      <t>E</t>
    </r>
    <r>
      <rPr>
        <b/>
        <i/>
        <vertAlign val="subscript"/>
        <sz val="11"/>
        <color theme="1"/>
        <rFont val="Times New Roman"/>
        <family val="1"/>
      </rPr>
      <t>ij</t>
    </r>
    <r>
      <rPr>
        <b/>
        <sz val="11"/>
        <color theme="1"/>
        <rFont val="Times New Roman"/>
        <family val="1"/>
      </rPr>
      <t xml:space="preserve"> = absH(</t>
    </r>
    <r>
      <rPr>
        <b/>
        <i/>
        <sz val="11"/>
        <color theme="1"/>
        <rFont val="Times New Roman"/>
        <family val="1"/>
      </rPr>
      <t>y</t>
    </r>
    <r>
      <rPr>
        <b/>
        <i/>
        <vertAlign val="subscript"/>
        <sz val="11"/>
        <color theme="1"/>
        <rFont val="Times New Roman"/>
        <family val="1"/>
      </rPr>
      <t>i</t>
    </r>
    <r>
      <rPr>
        <b/>
        <sz val="11"/>
        <color theme="1"/>
        <rFont val="Times New Roman"/>
        <family val="1"/>
      </rPr>
      <t xml:space="preserve">⋂ </t>
    </r>
    <r>
      <rPr>
        <b/>
        <i/>
        <sz val="11"/>
        <color theme="1"/>
        <rFont val="Times New Roman"/>
        <family val="1"/>
      </rPr>
      <t>g</t>
    </r>
    <r>
      <rPr>
        <b/>
        <i/>
        <vertAlign val="subscript"/>
        <sz val="11"/>
        <color theme="1"/>
        <rFont val="Times New Roman"/>
        <family val="1"/>
      </rPr>
      <t>j</t>
    </r>
    <r>
      <rPr>
        <b/>
        <sz val="11"/>
        <color theme="1"/>
        <rFont val="Times New Roman"/>
        <family val="1"/>
      </rPr>
      <t>)</t>
    </r>
  </si>
  <si>
    <r>
      <rPr>
        <b/>
        <i/>
        <sz val="11"/>
        <color theme="1"/>
        <rFont val="Times New Roman"/>
        <family val="1"/>
      </rPr>
      <t>h</t>
    </r>
    <r>
      <rPr>
        <b/>
        <i/>
        <vertAlign val="subscript"/>
        <sz val="11"/>
        <color theme="1"/>
        <rFont val="Times New Roman"/>
        <family val="1"/>
      </rPr>
      <t>ij</t>
    </r>
    <r>
      <rPr>
        <b/>
        <sz val="11"/>
        <color theme="1"/>
        <rFont val="Times New Roman"/>
        <family val="1"/>
      </rPr>
      <t xml:space="preserve"> = relH(</t>
    </r>
    <r>
      <rPr>
        <b/>
        <i/>
        <sz val="11"/>
        <color theme="1"/>
        <rFont val="Times New Roman"/>
        <family val="1"/>
      </rPr>
      <t>y</t>
    </r>
    <r>
      <rPr>
        <b/>
        <i/>
        <vertAlign val="subscript"/>
        <sz val="11"/>
        <color theme="1"/>
        <rFont val="Times New Roman"/>
        <family val="1"/>
      </rPr>
      <t>i</t>
    </r>
    <r>
      <rPr>
        <b/>
        <sz val="11"/>
        <color theme="1"/>
        <rFont val="Times New Roman"/>
        <family val="1"/>
      </rPr>
      <t xml:space="preserve">⋂ </t>
    </r>
    <r>
      <rPr>
        <b/>
        <i/>
        <sz val="11"/>
        <color theme="1"/>
        <rFont val="Times New Roman"/>
        <family val="1"/>
      </rPr>
      <t>g</t>
    </r>
    <r>
      <rPr>
        <b/>
        <i/>
        <vertAlign val="subscript"/>
        <sz val="11"/>
        <color theme="1"/>
        <rFont val="Times New Roman"/>
        <family val="1"/>
      </rPr>
      <t>j</t>
    </r>
    <r>
      <rPr>
        <b/>
        <sz val="11"/>
        <color theme="1"/>
        <rFont val="Times New Roman"/>
        <family val="1"/>
      </rPr>
      <t>)
(Unabhängigkeit)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</si>
</sst>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9">
    <numFmt numFmtId="164" formatCode="0.000"/>
    <numFmt numFmtId="165" formatCode="0.0"/>
    <numFmt numFmtId="166" formatCode="0.0%"/>
    <numFmt numFmtId="167" formatCode="#,##0.0"/>
    <numFmt numFmtId="168" formatCode="&quot;(&quot;0"/>
    <numFmt numFmtId="169" formatCode="#,##0.00\ _€"/>
    <numFmt numFmtId="170" formatCode="0.0000"/>
    <numFmt numFmtId="171" formatCode="#,##0.000"/>
    <numFmt numFmtId="172" formatCode="#\ ???/???"/>
    <numFmt numFmtId="173" formatCode="#\ ??/70"/>
    <numFmt numFmtId="174" formatCode="#\ ???/420"/>
    <numFmt numFmtId="175" formatCode="#\ ??/41"/>
    <numFmt numFmtId="176" formatCode="#\ ??/21"/>
    <numFmt numFmtId="177" formatCode="#\ ?/100"/>
    <numFmt numFmtId="178" formatCode="?/70"/>
    <numFmt numFmtId="179" formatCode="?/41"/>
    <numFmt numFmtId="180" formatCode="?/29"/>
    <numFmt numFmtId="181" formatCode="?/3"/>
    <numFmt numFmtId="182" formatCode="?/10"/>
    <numFmt numFmtId="183" formatCode="?/11"/>
    <numFmt numFmtId="184" formatCode="?/14"/>
    <numFmt numFmtId="185" formatCode="?/9"/>
    <numFmt numFmtId="186" formatCode="?/6"/>
    <numFmt numFmtId="187" formatCode="?/8"/>
    <numFmt numFmtId="188" formatCode="?/1"/>
    <numFmt numFmtId="189" formatCode="?/2"/>
    <numFmt numFmtId="190" formatCode="?/5"/>
    <numFmt numFmtId="191" formatCode="?/4"/>
    <numFmt numFmtId="192" formatCode="#,##0.00000000000"/>
  </numFmts>
  <fonts count="6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vertAlign val="subscript"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MS Reference Sans Serif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MS Reference Sans Serif"/>
      <family val="2"/>
    </font>
    <font>
      <sz val="10"/>
      <color theme="1"/>
      <name val="MS Reference Sans Serif"/>
      <family val="2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33CC33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Symbol"/>
      <family val="1"/>
      <charset val="2"/>
    </font>
    <font>
      <b/>
      <vertAlign val="superscript"/>
      <sz val="11"/>
      <color theme="1"/>
      <name val="Symbol"/>
      <family val="1"/>
      <charset val="2"/>
    </font>
    <font>
      <b/>
      <sz val="12"/>
      <color theme="1"/>
      <name val="Calibri"/>
      <family val="2"/>
      <scheme val="minor"/>
    </font>
    <font>
      <b/>
      <i/>
      <sz val="12"/>
      <color theme="1"/>
      <name val="Symbol"/>
      <family val="1"/>
      <charset val="2"/>
    </font>
    <font>
      <b/>
      <vertAlign val="subscript"/>
      <sz val="12"/>
      <color theme="1"/>
      <name val="Calibri"/>
      <family val="2"/>
      <scheme val="minor"/>
    </font>
    <font>
      <i/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b/>
      <vertAlign val="superscript"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Symbol"/>
      <family val="1"/>
      <charset val="2"/>
    </font>
    <font>
      <b/>
      <i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vertAlign val="subscript"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Symbol"/>
      <family val="1"/>
      <charset val="2"/>
    </font>
    <font>
      <i/>
      <sz val="18"/>
      <color theme="1"/>
      <name val="Symbol"/>
      <family val="1"/>
      <charset val="2"/>
    </font>
    <font>
      <sz val="18"/>
      <color theme="1"/>
      <name val="Times New Roman"/>
      <family val="1"/>
    </font>
    <font>
      <i/>
      <sz val="18"/>
      <color theme="1"/>
      <name val="Times New Roman"/>
      <family val="1"/>
    </font>
    <font>
      <vertAlign val="subscript"/>
      <sz val="18"/>
      <color theme="1"/>
      <name val="Times New Roman"/>
      <family val="1"/>
    </font>
    <font>
      <sz val="18"/>
      <color theme="1"/>
      <name val="Calibri"/>
      <family val="2"/>
    </font>
    <font>
      <i/>
      <vertAlign val="subscript"/>
      <sz val="18"/>
      <color theme="1"/>
      <name val="Times New Roman"/>
      <family val="1"/>
    </font>
    <font>
      <i/>
      <sz val="18"/>
      <color theme="1"/>
      <name val="Calibri"/>
      <family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vertAlign val="subscript"/>
      <sz val="11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FF0000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vertAlign val="subscript"/>
      <sz val="10"/>
      <color theme="1"/>
      <name val="Times New Roman"/>
      <family val="1"/>
    </font>
    <font>
      <sz val="11"/>
      <color rgb="FFFF0000"/>
      <name val="Times New Roman"/>
      <family val="1"/>
    </font>
    <font>
      <b/>
      <vertAlign val="subscript"/>
      <sz val="10"/>
      <color rgb="FFFF0000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1"/>
      <color rgb="FF0000FF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</fills>
  <borders count="12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0" fontId="1" fillId="4" borderId="0" xfId="0" applyFont="1" applyFill="1"/>
    <xf numFmtId="0" fontId="1" fillId="5" borderId="0" xfId="0" applyFont="1" applyFill="1"/>
    <xf numFmtId="0" fontId="0" fillId="6" borderId="0" xfId="0" applyFill="1" applyBorder="1" applyAlignment="1">
      <alignment vertical="center"/>
    </xf>
    <xf numFmtId="0" fontId="0" fillId="6" borderId="0" xfId="0" applyFill="1" applyBorder="1" applyAlignment="1">
      <alignment horizontal="center" vertical="center"/>
    </xf>
    <xf numFmtId="0" fontId="0" fillId="6" borderId="0" xfId="0" applyFill="1"/>
    <xf numFmtId="0" fontId="1" fillId="6" borderId="13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4" fontId="0" fillId="6" borderId="0" xfId="0" applyNumberFormat="1" applyFill="1" applyBorder="1" applyAlignment="1">
      <alignment vertical="center"/>
    </xf>
    <xf numFmtId="0" fontId="16" fillId="6" borderId="0" xfId="0" applyFont="1" applyFill="1" applyBorder="1" applyAlignment="1">
      <alignment horizontal="right" vertical="top" indent="1"/>
    </xf>
    <xf numFmtId="165" fontId="0" fillId="6" borderId="0" xfId="0" applyNumberFormat="1" applyFill="1" applyBorder="1" applyAlignment="1">
      <alignment horizontal="center" vertical="center"/>
    </xf>
    <xf numFmtId="0" fontId="19" fillId="6" borderId="0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right"/>
    </xf>
    <xf numFmtId="0" fontId="0" fillId="6" borderId="0" xfId="0" applyFill="1" applyAlignment="1">
      <alignment horizontal="right"/>
    </xf>
    <xf numFmtId="0" fontId="19" fillId="6" borderId="0" xfId="0" applyFont="1" applyFill="1" applyAlignment="1">
      <alignment horizontal="right"/>
    </xf>
    <xf numFmtId="2" fontId="18" fillId="6" borderId="19" xfId="0" quotePrefix="1" applyNumberFormat="1" applyFont="1" applyFill="1" applyBorder="1" applyAlignment="1">
      <alignment horizontal="right" vertical="top" indent="1"/>
    </xf>
    <xf numFmtId="0" fontId="7" fillId="6" borderId="0" xfId="0" applyFont="1" applyFill="1" applyBorder="1" applyAlignment="1">
      <alignment horizontal="right" vertical="center" indent="1"/>
    </xf>
    <xf numFmtId="0" fontId="1" fillId="6" borderId="0" xfId="0" applyFont="1" applyFill="1" applyBorder="1" applyAlignment="1">
      <alignment horizontal="left" vertical="center" indent="1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right" indent="1"/>
    </xf>
    <xf numFmtId="0" fontId="1" fillId="6" borderId="0" xfId="0" applyFont="1" applyFill="1" applyBorder="1" applyAlignment="1">
      <alignment horizontal="right" indent="1"/>
    </xf>
    <xf numFmtId="0" fontId="11" fillId="6" borderId="0" xfId="0" applyFont="1" applyFill="1" applyBorder="1" applyAlignment="1">
      <alignment horizontal="right" vertical="center" indent="1"/>
    </xf>
    <xf numFmtId="2" fontId="11" fillId="6" borderId="0" xfId="0" applyNumberFormat="1" applyFont="1" applyFill="1" applyBorder="1" applyAlignment="1">
      <alignment horizontal="right" vertical="center" indent="1"/>
    </xf>
    <xf numFmtId="0" fontId="0" fillId="4" borderId="0" xfId="0" applyFill="1" applyAlignment="1"/>
    <xf numFmtId="0" fontId="0" fillId="5" borderId="0" xfId="0" applyFill="1" applyAlignment="1"/>
    <xf numFmtId="0" fontId="1" fillId="6" borderId="0" xfId="0" applyFont="1" applyFill="1"/>
    <xf numFmtId="0" fontId="0" fillId="6" borderId="0" xfId="0" applyFont="1" applyFill="1"/>
    <xf numFmtId="0" fontId="0" fillId="6" borderId="0" xfId="0" applyFill="1" applyBorder="1" applyAlignment="1">
      <alignment horizontal="right"/>
    </xf>
    <xf numFmtId="0" fontId="0" fillId="6" borderId="10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6" borderId="12" xfId="0" applyFill="1" applyBorder="1" applyAlignment="1">
      <alignment horizontal="right"/>
    </xf>
    <xf numFmtId="0" fontId="0" fillId="6" borderId="7" xfId="0" applyFill="1" applyBorder="1" applyAlignment="1">
      <alignment horizontal="right"/>
    </xf>
    <xf numFmtId="0" fontId="0" fillId="6" borderId="8" xfId="0" applyFill="1" applyBorder="1" applyAlignment="1">
      <alignment horizontal="right"/>
    </xf>
    <xf numFmtId="0" fontId="0" fillId="6" borderId="9" xfId="0" applyFill="1" applyBorder="1" applyAlignment="1">
      <alignment horizontal="right"/>
    </xf>
    <xf numFmtId="0" fontId="0" fillId="6" borderId="11" xfId="0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0" fillId="6" borderId="6" xfId="0" applyFill="1" applyBorder="1" applyAlignment="1">
      <alignment horizontal="right"/>
    </xf>
    <xf numFmtId="0" fontId="0" fillId="6" borderId="0" xfId="0" applyFill="1" applyBorder="1"/>
    <xf numFmtId="0" fontId="0" fillId="4" borderId="0" xfId="0" applyFill="1"/>
    <xf numFmtId="0" fontId="0" fillId="5" borderId="0" xfId="0" applyFill="1"/>
    <xf numFmtId="0" fontId="0" fillId="6" borderId="7" xfId="0" applyFill="1" applyBorder="1"/>
    <xf numFmtId="0" fontId="0" fillId="6" borderId="8" xfId="0" applyFill="1" applyBorder="1"/>
    <xf numFmtId="13" fontId="0" fillId="6" borderId="9" xfId="0" applyNumberFormat="1" applyFill="1" applyBorder="1"/>
    <xf numFmtId="0" fontId="0" fillId="6" borderId="5" xfId="0" applyFill="1" applyBorder="1"/>
    <xf numFmtId="13" fontId="0" fillId="6" borderId="6" xfId="0" applyNumberFormat="1" applyFill="1" applyBorder="1"/>
    <xf numFmtId="0" fontId="0" fillId="6" borderId="0" xfId="0" applyFill="1" applyAlignment="1">
      <alignment horizontal="left"/>
    </xf>
    <xf numFmtId="2" fontId="0" fillId="6" borderId="0" xfId="0" applyNumberForma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1" fillId="5" borderId="0" xfId="0" applyFont="1" applyFill="1" applyAlignment="1">
      <alignment horizontal="left"/>
    </xf>
    <xf numFmtId="0" fontId="1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2" fontId="1" fillId="6" borderId="0" xfId="0" applyNumberFormat="1" applyFont="1" applyFill="1" applyBorder="1" applyAlignment="1">
      <alignment horizontal="center" vertical="center"/>
    </xf>
    <xf numFmtId="0" fontId="0" fillId="7" borderId="26" xfId="0" applyFill="1" applyBorder="1" applyAlignment="1">
      <alignment horizontal="right"/>
    </xf>
    <xf numFmtId="0" fontId="24" fillId="7" borderId="27" xfId="0" applyFont="1" applyFill="1" applyBorder="1"/>
    <xf numFmtId="0" fontId="25" fillId="7" borderId="27" xfId="0" applyFont="1" applyFill="1" applyBorder="1"/>
    <xf numFmtId="0" fontId="0" fillId="7" borderId="27" xfId="0" applyFill="1" applyBorder="1"/>
    <xf numFmtId="0" fontId="0" fillId="7" borderId="28" xfId="0" applyFill="1" applyBorder="1"/>
    <xf numFmtId="0" fontId="0" fillId="7" borderId="29" xfId="0" applyFill="1" applyBorder="1" applyAlignment="1">
      <alignment horizontal="right"/>
    </xf>
    <xf numFmtId="0" fontId="0" fillId="7" borderId="0" xfId="0" applyFill="1" applyBorder="1"/>
    <xf numFmtId="0" fontId="0" fillId="7" borderId="30" xfId="0" applyFill="1" applyBorder="1"/>
    <xf numFmtId="0" fontId="0" fillId="7" borderId="31" xfId="0" applyFill="1" applyBorder="1" applyAlignment="1">
      <alignment horizontal="right"/>
    </xf>
    <xf numFmtId="0" fontId="0" fillId="7" borderId="19" xfId="0" applyFill="1" applyBorder="1"/>
    <xf numFmtId="0" fontId="0" fillId="7" borderId="32" xfId="0" applyFill="1" applyBorder="1"/>
    <xf numFmtId="166" fontId="0" fillId="6" borderId="0" xfId="0" applyNumberFormat="1" applyFill="1" applyBorder="1"/>
    <xf numFmtId="167" fontId="0" fillId="6" borderId="0" xfId="0" applyNumberFormat="1" applyFont="1" applyFill="1" applyBorder="1"/>
    <xf numFmtId="2" fontId="0" fillId="6" borderId="0" xfId="0" applyNumberFormat="1" applyFill="1" applyBorder="1"/>
    <xf numFmtId="0" fontId="5" fillId="2" borderId="19" xfId="0" applyFont="1" applyFill="1" applyBorder="1" applyAlignment="1"/>
    <xf numFmtId="168" fontId="5" fillId="2" borderId="19" xfId="0" applyNumberFormat="1" applyFont="1" applyFill="1" applyBorder="1" applyAlignment="1">
      <alignment horizontal="center"/>
    </xf>
    <xf numFmtId="0" fontId="5" fillId="2" borderId="34" xfId="0" applyFont="1" applyFill="1" applyBorder="1" applyAlignment="1"/>
    <xf numFmtId="0" fontId="5" fillId="2" borderId="19" xfId="0" applyFont="1" applyFill="1" applyBorder="1" applyAlignment="1">
      <alignment horizontal="left" indent="1"/>
    </xf>
    <xf numFmtId="168" fontId="5" fillId="2" borderId="19" xfId="0" quotePrefix="1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right"/>
    </xf>
    <xf numFmtId="0" fontId="1" fillId="2" borderId="33" xfId="0" applyFont="1" applyFill="1" applyBorder="1" applyAlignment="1">
      <alignment horizontal="right"/>
    </xf>
    <xf numFmtId="166" fontId="1" fillId="2" borderId="0" xfId="0" applyNumberFormat="1" applyFont="1" applyFill="1" applyBorder="1" applyAlignment="1">
      <alignment horizontal="left" indent="1"/>
    </xf>
    <xf numFmtId="0" fontId="0" fillId="2" borderId="0" xfId="0" applyFill="1" applyBorder="1" applyAlignment="1">
      <alignment horizontal="right"/>
    </xf>
    <xf numFmtId="0" fontId="0" fillId="2" borderId="0" xfId="0" applyFill="1" applyBorder="1"/>
    <xf numFmtId="0" fontId="0" fillId="2" borderId="0" xfId="0" applyFont="1" applyFill="1" applyBorder="1" applyAlignment="1">
      <alignment horizontal="right"/>
    </xf>
    <xf numFmtId="2" fontId="0" fillId="2" borderId="0" xfId="0" applyNumberFormat="1" applyFont="1" applyFill="1" applyBorder="1"/>
    <xf numFmtId="0" fontId="0" fillId="2" borderId="33" xfId="0" applyFont="1" applyFill="1" applyBorder="1" applyAlignment="1">
      <alignment horizontal="right"/>
    </xf>
    <xf numFmtId="166" fontId="0" fillId="2" borderId="0" xfId="0" applyNumberFormat="1" applyFill="1" applyBorder="1" applyAlignment="1">
      <alignment horizontal="right"/>
    </xf>
    <xf numFmtId="0" fontId="26" fillId="2" borderId="0" xfId="0" applyFont="1" applyFill="1" applyBorder="1"/>
    <xf numFmtId="166" fontId="5" fillId="2" borderId="0" xfId="0" applyNumberFormat="1" applyFont="1" applyFill="1" applyBorder="1"/>
    <xf numFmtId="0" fontId="5" fillId="2" borderId="0" xfId="0" applyFont="1" applyFill="1" applyBorder="1"/>
    <xf numFmtId="0" fontId="1" fillId="2" borderId="0" xfId="0" applyFont="1" applyFill="1" applyBorder="1"/>
    <xf numFmtId="0" fontId="0" fillId="2" borderId="33" xfId="0" applyFill="1" applyBorder="1" applyAlignment="1">
      <alignment horizontal="right"/>
    </xf>
    <xf numFmtId="2" fontId="0" fillId="2" borderId="0" xfId="0" applyNumberFormat="1" applyFill="1" applyBorder="1"/>
    <xf numFmtId="166" fontId="0" fillId="2" borderId="0" xfId="0" applyNumberFormat="1" applyFill="1" applyBorder="1"/>
    <xf numFmtId="0" fontId="5" fillId="4" borderId="19" xfId="0" applyFont="1" applyFill="1" applyBorder="1" applyAlignment="1"/>
    <xf numFmtId="168" fontId="5" fillId="4" borderId="19" xfId="0" applyNumberFormat="1" applyFont="1" applyFill="1" applyBorder="1" applyAlignment="1">
      <alignment horizontal="center"/>
    </xf>
    <xf numFmtId="0" fontId="5" fillId="4" borderId="34" xfId="0" applyFont="1" applyFill="1" applyBorder="1" applyAlignment="1"/>
    <xf numFmtId="0" fontId="5" fillId="4" borderId="19" xfId="0" applyFont="1" applyFill="1" applyBorder="1" applyAlignment="1">
      <alignment horizontal="left" indent="1"/>
    </xf>
    <xf numFmtId="168" fontId="5" fillId="4" borderId="19" xfId="0" quotePrefix="1" applyNumberFormat="1" applyFont="1" applyFill="1" applyBorder="1" applyAlignment="1">
      <alignment horizontal="center"/>
    </xf>
    <xf numFmtId="0" fontId="1" fillId="4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right"/>
    </xf>
    <xf numFmtId="0" fontId="1" fillId="4" borderId="33" xfId="0" applyFont="1" applyFill="1" applyBorder="1" applyAlignment="1">
      <alignment horizontal="right"/>
    </xf>
    <xf numFmtId="166" fontId="1" fillId="4" borderId="0" xfId="0" applyNumberFormat="1" applyFont="1" applyFill="1" applyBorder="1" applyAlignment="1">
      <alignment horizontal="left" indent="1"/>
    </xf>
    <xf numFmtId="0" fontId="0" fillId="4" borderId="0" xfId="0" applyFill="1" applyBorder="1" applyAlignment="1">
      <alignment horizontal="right"/>
    </xf>
    <xf numFmtId="0" fontId="0" fillId="4" borderId="0" xfId="0" applyFill="1" applyBorder="1"/>
    <xf numFmtId="0" fontId="0" fillId="4" borderId="0" xfId="0" applyFont="1" applyFill="1" applyBorder="1" applyAlignment="1">
      <alignment horizontal="right"/>
    </xf>
    <xf numFmtId="2" fontId="0" fillId="4" borderId="0" xfId="0" applyNumberFormat="1" applyFont="1" applyFill="1" applyBorder="1"/>
    <xf numFmtId="0" fontId="0" fillId="4" borderId="33" xfId="0" applyFont="1" applyFill="1" applyBorder="1" applyAlignment="1">
      <alignment horizontal="right"/>
    </xf>
    <xf numFmtId="166" fontId="0" fillId="4" borderId="0" xfId="0" applyNumberFormat="1" applyFill="1" applyBorder="1" applyAlignment="1">
      <alignment horizontal="right"/>
    </xf>
    <xf numFmtId="0" fontId="26" fillId="4" borderId="0" xfId="0" applyFont="1" applyFill="1" applyBorder="1"/>
    <xf numFmtId="166" fontId="5" fillId="4" borderId="0" xfId="0" applyNumberFormat="1" applyFont="1" applyFill="1" applyBorder="1"/>
    <xf numFmtId="0" fontId="5" fillId="4" borderId="0" xfId="0" applyFont="1" applyFill="1" applyBorder="1"/>
    <xf numFmtId="0" fontId="1" fillId="4" borderId="0" xfId="0" applyFont="1" applyFill="1" applyBorder="1"/>
    <xf numFmtId="0" fontId="0" fillId="4" borderId="33" xfId="0" applyFill="1" applyBorder="1" applyAlignment="1">
      <alignment horizontal="right"/>
    </xf>
    <xf numFmtId="2" fontId="0" fillId="4" borderId="0" xfId="0" applyNumberFormat="1" applyFill="1" applyBorder="1"/>
    <xf numFmtId="166" fontId="0" fillId="4" borderId="0" xfId="0" applyNumberFormat="1" applyFill="1" applyBorder="1"/>
    <xf numFmtId="0" fontId="5" fillId="5" borderId="19" xfId="0" applyFont="1" applyFill="1" applyBorder="1" applyAlignment="1"/>
    <xf numFmtId="168" fontId="5" fillId="5" borderId="19" xfId="0" applyNumberFormat="1" applyFont="1" applyFill="1" applyBorder="1" applyAlignment="1">
      <alignment horizontal="center"/>
    </xf>
    <xf numFmtId="0" fontId="5" fillId="5" borderId="34" xfId="0" applyFont="1" applyFill="1" applyBorder="1" applyAlignment="1"/>
    <xf numFmtId="0" fontId="5" fillId="5" borderId="19" xfId="0" applyFont="1" applyFill="1" applyBorder="1" applyAlignment="1">
      <alignment horizontal="left" indent="1"/>
    </xf>
    <xf numFmtId="168" fontId="5" fillId="5" borderId="19" xfId="0" quotePrefix="1" applyNumberFormat="1" applyFont="1" applyFill="1" applyBorder="1" applyAlignment="1">
      <alignment horizontal="center"/>
    </xf>
    <xf numFmtId="0" fontId="1" fillId="5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horizontal="right"/>
    </xf>
    <xf numFmtId="0" fontId="1" fillId="5" borderId="33" xfId="0" applyFont="1" applyFill="1" applyBorder="1" applyAlignment="1">
      <alignment horizontal="right"/>
    </xf>
    <xf numFmtId="166" fontId="1" fillId="5" borderId="0" xfId="0" applyNumberFormat="1" applyFont="1" applyFill="1" applyBorder="1" applyAlignment="1">
      <alignment horizontal="left" indent="1"/>
    </xf>
    <xf numFmtId="0" fontId="0" fillId="5" borderId="0" xfId="0" applyFill="1" applyBorder="1" applyAlignment="1">
      <alignment horizontal="right"/>
    </xf>
    <xf numFmtId="0" fontId="0" fillId="5" borderId="0" xfId="0" applyFill="1" applyBorder="1"/>
    <xf numFmtId="0" fontId="0" fillId="5" borderId="0" xfId="0" applyFont="1" applyFill="1" applyBorder="1" applyAlignment="1">
      <alignment horizontal="right"/>
    </xf>
    <xf numFmtId="2" fontId="0" fillId="5" borderId="0" xfId="0" applyNumberFormat="1" applyFont="1" applyFill="1" applyBorder="1"/>
    <xf numFmtId="0" fontId="0" fillId="5" borderId="33" xfId="0" applyFont="1" applyFill="1" applyBorder="1" applyAlignment="1">
      <alignment horizontal="right"/>
    </xf>
    <xf numFmtId="166" fontId="0" fillId="5" borderId="0" xfId="0" applyNumberFormat="1" applyFill="1" applyBorder="1" applyAlignment="1">
      <alignment horizontal="right"/>
    </xf>
    <xf numFmtId="0" fontId="26" fillId="5" borderId="0" xfId="0" applyFont="1" applyFill="1" applyBorder="1"/>
    <xf numFmtId="166" fontId="5" fillId="5" borderId="0" xfId="0" applyNumberFormat="1" applyFont="1" applyFill="1" applyBorder="1"/>
    <xf numFmtId="0" fontId="5" fillId="5" borderId="0" xfId="0" applyFont="1" applyFill="1" applyBorder="1"/>
    <xf numFmtId="0" fontId="1" fillId="5" borderId="0" xfId="0" applyFont="1" applyFill="1" applyBorder="1"/>
    <xf numFmtId="0" fontId="0" fillId="5" borderId="33" xfId="0" applyFill="1" applyBorder="1" applyAlignment="1">
      <alignment horizontal="right"/>
    </xf>
    <xf numFmtId="2" fontId="0" fillId="5" borderId="0" xfId="0" applyNumberFormat="1" applyFill="1" applyBorder="1"/>
    <xf numFmtId="166" fontId="0" fillId="5" borderId="0" xfId="0" applyNumberFormat="1" applyFill="1" applyBorder="1"/>
    <xf numFmtId="2" fontId="27" fillId="2" borderId="0" xfId="0" applyNumberFormat="1" applyFont="1" applyFill="1" applyBorder="1"/>
    <xf numFmtId="0" fontId="27" fillId="2" borderId="0" xfId="0" applyFont="1" applyFill="1" applyBorder="1" applyAlignment="1">
      <alignment horizontal="right"/>
    </xf>
    <xf numFmtId="2" fontId="27" fillId="4" borderId="0" xfId="0" applyNumberFormat="1" applyFont="1" applyFill="1" applyBorder="1"/>
    <xf numFmtId="0" fontId="27" fillId="4" borderId="0" xfId="0" applyFont="1" applyFill="1" applyBorder="1" applyAlignment="1">
      <alignment horizontal="right"/>
    </xf>
    <xf numFmtId="2" fontId="27" fillId="5" borderId="0" xfId="0" applyNumberFormat="1" applyFont="1" applyFill="1" applyBorder="1"/>
    <xf numFmtId="0" fontId="27" fillId="5" borderId="0" xfId="0" applyFont="1" applyFill="1" applyBorder="1" applyAlignment="1">
      <alignment horizontal="right"/>
    </xf>
    <xf numFmtId="0" fontId="0" fillId="6" borderId="0" xfId="0" applyFill="1" applyAlignment="1">
      <alignment horizontal="right" indent="1"/>
    </xf>
    <xf numFmtId="3" fontId="0" fillId="6" borderId="0" xfId="0" applyNumberFormat="1" applyFill="1" applyAlignment="1">
      <alignment horizontal="left" indent="4"/>
    </xf>
    <xf numFmtId="0" fontId="0" fillId="6" borderId="0" xfId="0" applyFill="1" applyAlignment="1">
      <alignment horizontal="left" indent="1"/>
    </xf>
    <xf numFmtId="3" fontId="0" fillId="6" borderId="0" xfId="0" applyNumberFormat="1" applyFill="1" applyAlignment="1">
      <alignment horizontal="right" indent="1"/>
    </xf>
    <xf numFmtId="0" fontId="1" fillId="8" borderId="19" xfId="0" applyFont="1" applyFill="1" applyBorder="1" applyAlignment="1">
      <alignment horizontal="left"/>
    </xf>
    <xf numFmtId="0" fontId="0" fillId="8" borderId="19" xfId="0" applyFill="1" applyBorder="1"/>
    <xf numFmtId="0" fontId="0" fillId="8" borderId="19" xfId="0" applyFill="1" applyBorder="1" applyAlignment="1">
      <alignment horizontal="right" indent="1"/>
    </xf>
    <xf numFmtId="3" fontId="0" fillId="8" borderId="19" xfId="0" applyNumberFormat="1" applyFill="1" applyBorder="1" applyAlignment="1">
      <alignment horizontal="right" indent="1"/>
    </xf>
    <xf numFmtId="0" fontId="0" fillId="8" borderId="0" xfId="0" applyFill="1" applyAlignment="1">
      <alignment horizontal="left" indent="1"/>
    </xf>
    <xf numFmtId="0" fontId="0" fillId="8" borderId="0" xfId="0" applyFill="1"/>
    <xf numFmtId="0" fontId="0" fillId="8" borderId="0" xfId="0" applyFill="1" applyAlignment="1">
      <alignment horizontal="right" indent="1"/>
    </xf>
    <xf numFmtId="3" fontId="0" fillId="8" borderId="0" xfId="0" applyNumberFormat="1" applyFill="1" applyAlignment="1">
      <alignment horizontal="left" indent="4"/>
    </xf>
    <xf numFmtId="0" fontId="4" fillId="8" borderId="0" xfId="0" applyFont="1" applyFill="1" applyAlignment="1">
      <alignment horizontal="right" indent="1"/>
    </xf>
    <xf numFmtId="4" fontId="0" fillId="8" borderId="0" xfId="0" applyNumberFormat="1" applyFill="1" applyAlignment="1">
      <alignment horizontal="left" indent="4"/>
    </xf>
    <xf numFmtId="166" fontId="0" fillId="8" borderId="0" xfId="0" applyNumberFormat="1" applyFill="1" applyAlignment="1">
      <alignment horizontal="left" indent="4"/>
    </xf>
    <xf numFmtId="0" fontId="1" fillId="5" borderId="19" xfId="0" applyFont="1" applyFill="1" applyBorder="1" applyAlignment="1">
      <alignment horizontal="left"/>
    </xf>
    <xf numFmtId="0" fontId="0" fillId="5" borderId="19" xfId="0" applyFill="1" applyBorder="1"/>
    <xf numFmtId="0" fontId="0" fillId="5" borderId="0" xfId="0" applyFill="1" applyAlignment="1">
      <alignment horizontal="left" indent="1"/>
    </xf>
    <xf numFmtId="0" fontId="0" fillId="5" borderId="0" xfId="0" applyFill="1" applyAlignment="1">
      <alignment horizontal="right" indent="1"/>
    </xf>
    <xf numFmtId="2" fontId="0" fillId="5" borderId="0" xfId="0" applyNumberFormat="1" applyFill="1" applyAlignment="1">
      <alignment horizontal="left" indent="4"/>
    </xf>
    <xf numFmtId="0" fontId="4" fillId="5" borderId="0" xfId="0" applyFont="1" applyFill="1" applyAlignment="1">
      <alignment horizontal="right" indent="1"/>
    </xf>
    <xf numFmtId="166" fontId="0" fillId="5" borderId="0" xfId="0" applyNumberFormat="1" applyFill="1" applyAlignment="1">
      <alignment horizontal="left" indent="4"/>
    </xf>
    <xf numFmtId="0" fontId="1" fillId="6" borderId="35" xfId="0" applyFont="1" applyFill="1" applyBorder="1"/>
    <xf numFmtId="0" fontId="0" fillId="6" borderId="36" xfId="0" applyFill="1" applyBorder="1"/>
    <xf numFmtId="0" fontId="0" fillId="6" borderId="37" xfId="0" applyFill="1" applyBorder="1"/>
    <xf numFmtId="0" fontId="0" fillId="6" borderId="17" xfId="0" applyFill="1" applyBorder="1"/>
    <xf numFmtId="0" fontId="1" fillId="6" borderId="39" xfId="0" applyFont="1" applyFill="1" applyBorder="1" applyAlignment="1">
      <alignment horizontal="right" indent="1"/>
    </xf>
    <xf numFmtId="0" fontId="1" fillId="6" borderId="40" xfId="0" applyFont="1" applyFill="1" applyBorder="1" applyAlignment="1">
      <alignment horizontal="right" indent="1"/>
    </xf>
    <xf numFmtId="0" fontId="1" fillId="6" borderId="41" xfId="0" applyFont="1" applyFill="1" applyBorder="1" applyAlignment="1">
      <alignment horizontal="right" indent="1"/>
    </xf>
    <xf numFmtId="0" fontId="1" fillId="6" borderId="42" xfId="0" applyFont="1" applyFill="1" applyBorder="1" applyAlignment="1">
      <alignment horizontal="right" indent="1"/>
    </xf>
    <xf numFmtId="0" fontId="1" fillId="6" borderId="17" xfId="0" applyFont="1" applyFill="1" applyBorder="1" applyAlignment="1">
      <alignment horizontal="right" indent="1"/>
    </xf>
    <xf numFmtId="9" fontId="0" fillId="9" borderId="43" xfId="0" applyNumberFormat="1" applyFill="1" applyBorder="1" applyAlignment="1">
      <alignment horizontal="right" indent="1"/>
    </xf>
    <xf numFmtId="166" fontId="0" fillId="9" borderId="43" xfId="0" applyNumberFormat="1" applyFill="1" applyBorder="1" applyAlignment="1">
      <alignment horizontal="right" indent="1"/>
    </xf>
    <xf numFmtId="164" fontId="0" fillId="9" borderId="44" xfId="0" applyNumberFormat="1" applyFill="1" applyBorder="1" applyAlignment="1">
      <alignment horizontal="right" indent="1"/>
    </xf>
    <xf numFmtId="2" fontId="0" fillId="9" borderId="43" xfId="0" applyNumberFormat="1" applyFill="1" applyBorder="1" applyAlignment="1">
      <alignment horizontal="right" indent="1"/>
    </xf>
    <xf numFmtId="2" fontId="0" fillId="9" borderId="45" xfId="0" applyNumberFormat="1" applyFill="1" applyBorder="1" applyAlignment="1">
      <alignment horizontal="right" indent="1"/>
    </xf>
    <xf numFmtId="2" fontId="0" fillId="9" borderId="44" xfId="0" applyNumberFormat="1" applyFill="1" applyBorder="1" applyAlignment="1">
      <alignment horizontal="right" indent="1"/>
    </xf>
    <xf numFmtId="0" fontId="4" fillId="6" borderId="17" xfId="0" applyFont="1" applyFill="1" applyBorder="1" applyAlignment="1">
      <alignment horizontal="right" indent="1"/>
    </xf>
    <xf numFmtId="9" fontId="0" fillId="4" borderId="43" xfId="0" applyNumberFormat="1" applyFill="1" applyBorder="1" applyAlignment="1">
      <alignment horizontal="right" indent="1"/>
    </xf>
    <xf numFmtId="166" fontId="0" fillId="4" borderId="43" xfId="0" applyNumberFormat="1" applyFill="1" applyBorder="1" applyAlignment="1">
      <alignment horizontal="right" indent="1"/>
    </xf>
    <xf numFmtId="164" fontId="0" fillId="4" borderId="44" xfId="0" applyNumberFormat="1" applyFill="1" applyBorder="1" applyAlignment="1">
      <alignment horizontal="right" indent="1"/>
    </xf>
    <xf numFmtId="2" fontId="0" fillId="4" borderId="43" xfId="0" applyNumberFormat="1" applyFill="1" applyBorder="1" applyAlignment="1">
      <alignment horizontal="right" indent="1"/>
    </xf>
    <xf numFmtId="2" fontId="0" fillId="4" borderId="45" xfId="0" applyNumberFormat="1" applyFill="1" applyBorder="1" applyAlignment="1">
      <alignment horizontal="right" indent="1"/>
    </xf>
    <xf numFmtId="2" fontId="0" fillId="4" borderId="44" xfId="0" applyNumberFormat="1" applyFill="1" applyBorder="1" applyAlignment="1">
      <alignment horizontal="right" indent="1"/>
    </xf>
    <xf numFmtId="0" fontId="0" fillId="6" borderId="46" xfId="0" applyFill="1" applyBorder="1" applyAlignment="1">
      <alignment horizontal="right" indent="1"/>
    </xf>
    <xf numFmtId="9" fontId="0" fillId="10" borderId="3" xfId="0" applyNumberFormat="1" applyFill="1" applyBorder="1" applyAlignment="1">
      <alignment horizontal="right" indent="1"/>
    </xf>
    <xf numFmtId="166" fontId="0" fillId="10" borderId="3" xfId="0" applyNumberFormat="1" applyFill="1" applyBorder="1" applyAlignment="1">
      <alignment horizontal="right" indent="1"/>
    </xf>
    <xf numFmtId="164" fontId="0" fillId="10" borderId="2" xfId="0" applyNumberFormat="1" applyFill="1" applyBorder="1" applyAlignment="1">
      <alignment horizontal="right" indent="1"/>
    </xf>
    <xf numFmtId="2" fontId="0" fillId="10" borderId="3" xfId="0" applyNumberFormat="1" applyFill="1" applyBorder="1" applyAlignment="1">
      <alignment horizontal="right" indent="1"/>
    </xf>
    <xf numFmtId="2" fontId="0" fillId="10" borderId="47" xfId="0" applyNumberFormat="1" applyFill="1" applyBorder="1" applyAlignment="1">
      <alignment horizontal="right" indent="1"/>
    </xf>
    <xf numFmtId="2" fontId="0" fillId="10" borderId="2" xfId="0" applyNumberFormat="1" applyFill="1" applyBorder="1" applyAlignment="1">
      <alignment horizontal="right" indent="1"/>
    </xf>
    <xf numFmtId="0" fontId="0" fillId="6" borderId="17" xfId="0" applyFill="1" applyBorder="1" applyAlignment="1">
      <alignment horizontal="right" indent="1"/>
    </xf>
    <xf numFmtId="9" fontId="0" fillId="6" borderId="0" xfId="0" applyNumberFormat="1" applyFill="1" applyBorder="1" applyAlignment="1">
      <alignment horizontal="right" indent="1"/>
    </xf>
    <xf numFmtId="166" fontId="0" fillId="6" borderId="0" xfId="0" applyNumberFormat="1" applyFill="1" applyBorder="1" applyAlignment="1">
      <alignment horizontal="right" indent="1"/>
    </xf>
    <xf numFmtId="164" fontId="0" fillId="6" borderId="0" xfId="0" applyNumberFormat="1" applyFill="1" applyBorder="1" applyAlignment="1">
      <alignment horizontal="right" indent="1"/>
    </xf>
    <xf numFmtId="2" fontId="0" fillId="6" borderId="0" xfId="0" applyNumberFormat="1" applyFill="1" applyBorder="1" applyAlignment="1">
      <alignment horizontal="right" indent="1"/>
    </xf>
    <xf numFmtId="166" fontId="0" fillId="9" borderId="45" xfId="0" applyNumberFormat="1" applyFill="1" applyBorder="1" applyAlignment="1">
      <alignment horizontal="right" indent="1"/>
    </xf>
    <xf numFmtId="164" fontId="0" fillId="9" borderId="43" xfId="0" applyNumberFormat="1" applyFill="1" applyBorder="1" applyAlignment="1">
      <alignment horizontal="right" indent="1"/>
    </xf>
    <xf numFmtId="166" fontId="0" fillId="4" borderId="45" xfId="0" applyNumberFormat="1" applyFill="1" applyBorder="1" applyAlignment="1">
      <alignment horizontal="right" indent="1"/>
    </xf>
    <xf numFmtId="164" fontId="0" fillId="4" borderId="43" xfId="0" applyNumberFormat="1" applyFill="1" applyBorder="1" applyAlignment="1">
      <alignment horizontal="right" indent="1"/>
    </xf>
    <xf numFmtId="0" fontId="0" fillId="6" borderId="15" xfId="0" applyFill="1" applyBorder="1" applyAlignment="1">
      <alignment horizontal="right" indent="1"/>
    </xf>
    <xf numFmtId="9" fontId="0" fillId="10" borderId="48" xfId="0" applyNumberFormat="1" applyFill="1" applyBorder="1" applyAlignment="1">
      <alignment horizontal="right" indent="1"/>
    </xf>
    <xf numFmtId="166" fontId="0" fillId="10" borderId="48" xfId="0" applyNumberFormat="1" applyFill="1" applyBorder="1" applyAlignment="1">
      <alignment horizontal="right" indent="1"/>
    </xf>
    <xf numFmtId="164" fontId="0" fillId="10" borderId="49" xfId="0" applyNumberFormat="1" applyFill="1" applyBorder="1" applyAlignment="1">
      <alignment horizontal="right" indent="1"/>
    </xf>
    <xf numFmtId="166" fontId="0" fillId="10" borderId="50" xfId="0" applyNumberFormat="1" applyFill="1" applyBorder="1" applyAlignment="1">
      <alignment horizontal="right" indent="1"/>
    </xf>
    <xf numFmtId="164" fontId="0" fillId="10" borderId="48" xfId="0" applyNumberFormat="1" applyFill="1" applyBorder="1" applyAlignment="1">
      <alignment horizontal="right" indent="1"/>
    </xf>
    <xf numFmtId="2" fontId="0" fillId="10" borderId="48" xfId="0" applyNumberFormat="1" applyFill="1" applyBorder="1" applyAlignment="1">
      <alignment horizontal="right" indent="1"/>
    </xf>
    <xf numFmtId="2" fontId="0" fillId="10" borderId="50" xfId="0" applyNumberFormat="1" applyFill="1" applyBorder="1" applyAlignment="1">
      <alignment horizontal="right" indent="1"/>
    </xf>
    <xf numFmtId="0" fontId="1" fillId="6" borderId="51" xfId="0" applyFont="1" applyFill="1" applyBorder="1" applyAlignment="1">
      <alignment horizontal="right" indent="1"/>
    </xf>
    <xf numFmtId="9" fontId="0" fillId="9" borderId="52" xfId="0" applyNumberFormat="1" applyFill="1" applyBorder="1" applyAlignment="1">
      <alignment horizontal="right" indent="1"/>
    </xf>
    <xf numFmtId="166" fontId="0" fillId="9" borderId="52" xfId="0" applyNumberFormat="1" applyFill="1" applyBorder="1" applyAlignment="1">
      <alignment horizontal="right" indent="1"/>
    </xf>
    <xf numFmtId="164" fontId="0" fillId="9" borderId="53" xfId="0" applyNumberFormat="1" applyFill="1" applyBorder="1" applyAlignment="1">
      <alignment horizontal="right" indent="1"/>
    </xf>
    <xf numFmtId="2" fontId="0" fillId="9" borderId="52" xfId="0" applyNumberFormat="1" applyFill="1" applyBorder="1" applyAlignment="1">
      <alignment horizontal="right" indent="1"/>
    </xf>
    <xf numFmtId="2" fontId="0" fillId="9" borderId="54" xfId="0" applyNumberFormat="1" applyFill="1" applyBorder="1" applyAlignment="1">
      <alignment horizontal="right" indent="1"/>
    </xf>
    <xf numFmtId="9" fontId="0" fillId="6" borderId="43" xfId="0" applyNumberFormat="1" applyFill="1" applyBorder="1" applyAlignment="1">
      <alignment horizontal="right" indent="1"/>
    </xf>
    <xf numFmtId="166" fontId="0" fillId="6" borderId="43" xfId="0" applyNumberFormat="1" applyFill="1" applyBorder="1" applyAlignment="1">
      <alignment horizontal="right" indent="1"/>
    </xf>
    <xf numFmtId="164" fontId="0" fillId="6" borderId="44" xfId="0" applyNumberFormat="1" applyFill="1" applyBorder="1" applyAlignment="1">
      <alignment horizontal="right" indent="1"/>
    </xf>
    <xf numFmtId="2" fontId="0" fillId="6" borderId="43" xfId="0" applyNumberFormat="1" applyFill="1" applyBorder="1" applyAlignment="1">
      <alignment horizontal="right" indent="1"/>
    </xf>
    <xf numFmtId="2" fontId="0" fillId="6" borderId="45" xfId="0" applyNumberFormat="1" applyFill="1" applyBorder="1" applyAlignment="1">
      <alignment horizontal="right" indent="1"/>
    </xf>
    <xf numFmtId="0" fontId="0" fillId="6" borderId="0" xfId="0" applyFill="1" applyBorder="1" applyAlignment="1">
      <alignment horizontal="right" indent="1"/>
    </xf>
    <xf numFmtId="0" fontId="1" fillId="6" borderId="56" xfId="0" applyFont="1" applyFill="1" applyBorder="1" applyAlignment="1">
      <alignment horizontal="right" indent="1"/>
    </xf>
    <xf numFmtId="0" fontId="31" fillId="2" borderId="13" xfId="0" applyFont="1" applyFill="1" applyBorder="1"/>
    <xf numFmtId="0" fontId="31" fillId="11" borderId="17" xfId="0" applyFont="1" applyFill="1" applyBorder="1"/>
    <xf numFmtId="0" fontId="31" fillId="11" borderId="46" xfId="0" applyFont="1" applyFill="1" applyBorder="1"/>
    <xf numFmtId="0" fontId="0" fillId="0" borderId="17" xfId="0" applyBorder="1"/>
    <xf numFmtId="0" fontId="0" fillId="0" borderId="20" xfId="0" applyBorder="1"/>
    <xf numFmtId="0" fontId="0" fillId="0" borderId="46" xfId="0" applyBorder="1"/>
    <xf numFmtId="0" fontId="0" fillId="0" borderId="17" xfId="0" applyBorder="1" applyAlignment="1">
      <alignment horizontal="right"/>
    </xf>
    <xf numFmtId="0" fontId="1" fillId="0" borderId="17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2" fontId="31" fillId="2" borderId="14" xfId="0" applyNumberFormat="1" applyFont="1" applyFill="1" applyBorder="1"/>
    <xf numFmtId="165" fontId="31" fillId="11" borderId="20" xfId="0" applyNumberFormat="1" applyFont="1" applyFill="1" applyBorder="1"/>
    <xf numFmtId="2" fontId="31" fillId="11" borderId="38" xfId="0" applyNumberFormat="1" applyFont="1" applyFill="1" applyBorder="1"/>
    <xf numFmtId="0" fontId="0" fillId="0" borderId="38" xfId="0" applyBorder="1" applyAlignment="1">
      <alignment horizontal="right"/>
    </xf>
    <xf numFmtId="0" fontId="1" fillId="0" borderId="20" xfId="0" applyFont="1" applyFill="1" applyBorder="1" applyAlignment="1">
      <alignment horizontal="right"/>
    </xf>
    <xf numFmtId="0" fontId="0" fillId="0" borderId="38" xfId="0" applyBorder="1"/>
    <xf numFmtId="170" fontId="0" fillId="0" borderId="20" xfId="0" applyNumberFormat="1" applyBorder="1"/>
    <xf numFmtId="10" fontId="0" fillId="5" borderId="0" xfId="0" applyNumberFormat="1" applyFill="1" applyBorder="1" applyProtection="1">
      <protection locked="0"/>
    </xf>
    <xf numFmtId="10" fontId="0" fillId="5" borderId="20" xfId="0" applyNumberFormat="1" applyFill="1" applyBorder="1" applyProtection="1">
      <protection locked="0"/>
    </xf>
    <xf numFmtId="2" fontId="31" fillId="5" borderId="18" xfId="0" applyNumberFormat="1" applyFont="1" applyFill="1" applyBorder="1" applyProtection="1">
      <protection locked="0"/>
    </xf>
    <xf numFmtId="2" fontId="31" fillId="5" borderId="14" xfId="0" applyNumberFormat="1" applyFont="1" applyFill="1" applyBorder="1" applyProtection="1">
      <protection locked="0"/>
    </xf>
    <xf numFmtId="0" fontId="1" fillId="11" borderId="17" xfId="0" applyFont="1" applyFill="1" applyBorder="1"/>
    <xf numFmtId="0" fontId="1" fillId="11" borderId="46" xfId="0" applyFont="1" applyFill="1" applyBorder="1"/>
    <xf numFmtId="0" fontId="1" fillId="4" borderId="17" xfId="0" applyFont="1" applyFill="1" applyBorder="1"/>
    <xf numFmtId="0" fontId="0" fillId="0" borderId="0" xfId="0" applyFont="1"/>
    <xf numFmtId="0" fontId="31" fillId="2" borderId="13" xfId="0" applyFont="1" applyFill="1" applyBorder="1" applyProtection="1"/>
    <xf numFmtId="0" fontId="0" fillId="2" borderId="18" xfId="0" applyFill="1" applyBorder="1" applyProtection="1"/>
    <xf numFmtId="0" fontId="1" fillId="2" borderId="18" xfId="0" applyFont="1" applyFill="1" applyBorder="1" applyProtection="1"/>
    <xf numFmtId="169" fontId="1" fillId="2" borderId="14" xfId="0" applyNumberFormat="1" applyFont="1" applyFill="1" applyBorder="1" applyProtection="1"/>
    <xf numFmtId="0" fontId="0" fillId="0" borderId="0" xfId="0" applyFill="1" applyProtection="1"/>
    <xf numFmtId="0" fontId="1" fillId="5" borderId="0" xfId="0" applyFont="1" applyFill="1" applyAlignment="1" applyProtection="1">
      <alignment horizontal="center"/>
    </xf>
    <xf numFmtId="0" fontId="0" fillId="0" borderId="0" xfId="0" applyProtection="1"/>
    <xf numFmtId="0" fontId="31" fillId="11" borderId="17" xfId="0" applyFont="1" applyFill="1" applyBorder="1" applyProtection="1"/>
    <xf numFmtId="165" fontId="31" fillId="11" borderId="0" xfId="0" applyNumberFormat="1" applyFont="1" applyFill="1" applyBorder="1" applyProtection="1"/>
    <xf numFmtId="0" fontId="0" fillId="11" borderId="0" xfId="0" applyFill="1" applyBorder="1" applyProtection="1"/>
    <xf numFmtId="0" fontId="1" fillId="11" borderId="0" xfId="0" applyFont="1" applyFill="1" applyBorder="1" applyProtection="1"/>
    <xf numFmtId="0" fontId="0" fillId="11" borderId="20" xfId="0" applyFill="1" applyBorder="1" applyProtection="1"/>
    <xf numFmtId="0" fontId="31" fillId="11" borderId="46" xfId="0" applyFont="1" applyFill="1" applyBorder="1" applyProtection="1"/>
    <xf numFmtId="2" fontId="31" fillId="11" borderId="10" xfId="0" applyNumberFormat="1" applyFont="1" applyFill="1" applyBorder="1" applyProtection="1"/>
    <xf numFmtId="0" fontId="0" fillId="11" borderId="10" xfId="0" applyFill="1" applyBorder="1" applyProtection="1"/>
    <xf numFmtId="0" fontId="1" fillId="11" borderId="10" xfId="0" applyFont="1" applyFill="1" applyBorder="1" applyProtection="1"/>
    <xf numFmtId="0" fontId="0" fillId="0" borderId="17" xfId="0" applyBorder="1" applyProtection="1"/>
    <xf numFmtId="0" fontId="0" fillId="0" borderId="0" xfId="0" applyBorder="1" applyProtection="1"/>
    <xf numFmtId="0" fontId="0" fillId="0" borderId="20" xfId="0" applyBorder="1" applyProtection="1"/>
    <xf numFmtId="0" fontId="31" fillId="0" borderId="39" xfId="0" applyFont="1" applyBorder="1" applyProtection="1"/>
    <xf numFmtId="0" fontId="31" fillId="0" borderId="19" xfId="0" applyFont="1" applyBorder="1" applyProtection="1"/>
    <xf numFmtId="0" fontId="41" fillId="0" borderId="19" xfId="0" applyFont="1" applyFill="1" applyBorder="1" applyProtection="1"/>
    <xf numFmtId="0" fontId="41" fillId="0" borderId="56" xfId="0" applyFont="1" applyFill="1" applyBorder="1" applyProtection="1"/>
    <xf numFmtId="0" fontId="41" fillId="0" borderId="0" xfId="0" applyFont="1" applyFill="1" applyProtection="1"/>
    <xf numFmtId="0" fontId="41" fillId="0" borderId="0" xfId="0" applyFont="1" applyProtection="1"/>
    <xf numFmtId="0" fontId="0" fillId="0" borderId="46" xfId="0" applyBorder="1" applyProtection="1"/>
    <xf numFmtId="0" fontId="0" fillId="0" borderId="10" xfId="0" applyBorder="1" applyAlignment="1" applyProtection="1">
      <alignment horizontal="right"/>
    </xf>
    <xf numFmtId="0" fontId="0" fillId="0" borderId="0" xfId="0" applyFill="1" applyBorder="1" applyProtection="1"/>
    <xf numFmtId="0" fontId="0" fillId="0" borderId="10" xfId="0" applyBorder="1" applyProtection="1"/>
    <xf numFmtId="10" fontId="0" fillId="0" borderId="38" xfId="0" applyNumberFormat="1" applyFill="1" applyBorder="1" applyProtection="1"/>
    <xf numFmtId="0" fontId="0" fillId="0" borderId="17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20" xfId="0" applyFill="1" applyBorder="1" applyAlignment="1" applyProtection="1">
      <alignment horizontal="right"/>
    </xf>
    <xf numFmtId="10" fontId="0" fillId="0" borderId="0" xfId="0" applyNumberFormat="1" applyFill="1" applyProtection="1"/>
    <xf numFmtId="170" fontId="0" fillId="0" borderId="0" xfId="0" applyNumberFormat="1" applyBorder="1" applyProtection="1"/>
    <xf numFmtId="0" fontId="0" fillId="0" borderId="0" xfId="0" applyFill="1" applyBorder="1" applyAlignment="1" applyProtection="1">
      <alignment horizontal="right"/>
    </xf>
    <xf numFmtId="0" fontId="0" fillId="0" borderId="20" xfId="0" applyFill="1" applyBorder="1" applyProtection="1"/>
    <xf numFmtId="0" fontId="1" fillId="0" borderId="17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right"/>
    </xf>
    <xf numFmtId="0" fontId="1" fillId="0" borderId="20" xfId="0" applyFont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right"/>
    </xf>
    <xf numFmtId="0" fontId="0" fillId="0" borderId="38" xfId="0" applyFill="1" applyBorder="1" applyAlignment="1" applyProtection="1">
      <alignment horizontal="right"/>
    </xf>
    <xf numFmtId="2" fontId="1" fillId="0" borderId="0" xfId="0" applyNumberFormat="1" applyFont="1" applyFill="1" applyAlignment="1" applyProtection="1">
      <alignment horizontal="right"/>
    </xf>
    <xf numFmtId="2" fontId="0" fillId="0" borderId="0" xfId="0" applyNumberFormat="1" applyFill="1" applyProtection="1"/>
    <xf numFmtId="164" fontId="0" fillId="0" borderId="0" xfId="0" applyNumberFormat="1" applyFill="1" applyProtection="1"/>
    <xf numFmtId="0" fontId="0" fillId="0" borderId="0" xfId="0" applyFill="1" applyAlignment="1" applyProtection="1">
      <alignment horizontal="right"/>
    </xf>
    <xf numFmtId="0" fontId="1" fillId="0" borderId="15" xfId="0" applyFont="1" applyBorder="1" applyAlignment="1" applyProtection="1">
      <alignment horizontal="right"/>
    </xf>
    <xf numFmtId="0" fontId="1" fillId="0" borderId="21" xfId="0" applyFont="1" applyBorder="1" applyAlignment="1" applyProtection="1">
      <alignment horizontal="right"/>
    </xf>
    <xf numFmtId="0" fontId="0" fillId="0" borderId="21" xfId="0" applyFill="1" applyBorder="1" applyProtection="1"/>
    <xf numFmtId="0" fontId="1" fillId="0" borderId="16" xfId="0" applyFont="1" applyBorder="1" applyAlignment="1" applyProtection="1">
      <alignment horizontal="right"/>
    </xf>
    <xf numFmtId="2" fontId="0" fillId="0" borderId="0" xfId="0" applyNumberFormat="1" applyProtection="1"/>
    <xf numFmtId="165" fontId="31" fillId="11" borderId="20" xfId="0" applyNumberFormat="1" applyFont="1" applyFill="1" applyBorder="1" applyProtection="1"/>
    <xf numFmtId="2" fontId="31" fillId="11" borderId="38" xfId="0" applyNumberFormat="1" applyFont="1" applyFill="1" applyBorder="1" applyProtection="1"/>
    <xf numFmtId="0" fontId="0" fillId="0" borderId="38" xfId="0" applyBorder="1" applyAlignment="1" applyProtection="1">
      <alignment horizontal="right"/>
    </xf>
    <xf numFmtId="164" fontId="0" fillId="0" borderId="20" xfId="0" applyNumberFormat="1" applyBorder="1" applyProtection="1"/>
    <xf numFmtId="0" fontId="1" fillId="0" borderId="20" xfId="0" applyFont="1" applyFill="1" applyBorder="1" applyAlignment="1" applyProtection="1">
      <alignment horizontal="right"/>
    </xf>
    <xf numFmtId="0" fontId="0" fillId="0" borderId="38" xfId="0" applyBorder="1" applyProtection="1"/>
    <xf numFmtId="2" fontId="31" fillId="2" borderId="18" xfId="0" applyNumberFormat="1" applyFont="1" applyFill="1" applyBorder="1" applyProtection="1"/>
    <xf numFmtId="0" fontId="1" fillId="11" borderId="17" xfId="0" applyFont="1" applyFill="1" applyBorder="1" applyProtection="1"/>
    <xf numFmtId="2" fontId="1" fillId="11" borderId="0" xfId="0" applyNumberFormat="1" applyFont="1" applyFill="1" applyBorder="1" applyProtection="1"/>
    <xf numFmtId="0" fontId="1" fillId="11" borderId="20" xfId="0" applyFont="1" applyFill="1" applyBorder="1" applyProtection="1"/>
    <xf numFmtId="0" fontId="1" fillId="11" borderId="46" xfId="0" applyFont="1" applyFill="1" applyBorder="1" applyProtection="1"/>
    <xf numFmtId="2" fontId="1" fillId="11" borderId="10" xfId="0" applyNumberFormat="1" applyFont="1" applyFill="1" applyBorder="1" applyProtection="1"/>
    <xf numFmtId="0" fontId="1" fillId="11" borderId="38" xfId="0" applyFont="1" applyFill="1" applyBorder="1" applyProtection="1"/>
    <xf numFmtId="0" fontId="1" fillId="4" borderId="17" xfId="0" applyFont="1" applyFill="1" applyBorder="1" applyProtection="1"/>
    <xf numFmtId="2" fontId="1" fillId="4" borderId="0" xfId="0" applyNumberFormat="1" applyFont="1" applyFill="1" applyBorder="1" applyProtection="1"/>
    <xf numFmtId="0" fontId="0" fillId="4" borderId="0" xfId="0" applyFont="1" applyFill="1" applyBorder="1" applyProtection="1"/>
    <xf numFmtId="0" fontId="1" fillId="4" borderId="0" xfId="0" applyFont="1" applyFill="1" applyProtection="1"/>
    <xf numFmtId="2" fontId="1" fillId="4" borderId="57" xfId="0" applyNumberFormat="1" applyFont="1" applyFill="1" applyBorder="1" applyProtection="1"/>
    <xf numFmtId="164" fontId="1" fillId="4" borderId="0" xfId="0" applyNumberFormat="1" applyFont="1" applyFill="1" applyBorder="1" applyProtection="1"/>
    <xf numFmtId="0" fontId="1" fillId="4" borderId="0" xfId="0" applyFont="1" applyFill="1" applyBorder="1" applyProtection="1"/>
    <xf numFmtId="171" fontId="1" fillId="4" borderId="20" xfId="0" applyNumberFormat="1" applyFont="1" applyFill="1" applyBorder="1" applyProtection="1"/>
    <xf numFmtId="2" fontId="31" fillId="2" borderId="14" xfId="0" applyNumberFormat="1" applyFont="1" applyFill="1" applyBorder="1" applyProtection="1"/>
    <xf numFmtId="2" fontId="31" fillId="11" borderId="20" xfId="0" applyNumberFormat="1" applyFont="1" applyFill="1" applyBorder="1" applyProtection="1"/>
    <xf numFmtId="10" fontId="0" fillId="0" borderId="0" xfId="0" applyNumberFormat="1" applyFill="1" applyBorder="1" applyProtection="1"/>
    <xf numFmtId="0" fontId="0" fillId="11" borderId="0" xfId="0" applyFont="1" applyFill="1" applyBorder="1" applyProtection="1"/>
    <xf numFmtId="0" fontId="0" fillId="0" borderId="0" xfId="0" applyFont="1" applyProtection="1"/>
    <xf numFmtId="0" fontId="0" fillId="11" borderId="10" xfId="0" applyFont="1" applyFill="1" applyBorder="1" applyProtection="1"/>
    <xf numFmtId="2" fontId="1" fillId="11" borderId="20" xfId="0" applyNumberFormat="1" applyFont="1" applyFill="1" applyBorder="1"/>
    <xf numFmtId="2" fontId="1" fillId="11" borderId="38" xfId="0" applyNumberFormat="1" applyFont="1" applyFill="1" applyBorder="1"/>
    <xf numFmtId="2" fontId="1" fillId="4" borderId="20" xfId="0" applyNumberFormat="1" applyFont="1" applyFill="1" applyBorder="1"/>
    <xf numFmtId="164" fontId="1" fillId="4" borderId="20" xfId="0" applyNumberFormat="1" applyFont="1" applyFill="1" applyBorder="1"/>
    <xf numFmtId="0" fontId="0" fillId="6" borderId="0" xfId="0" applyFill="1" applyAlignment="1">
      <alignment horizontal="center"/>
    </xf>
    <xf numFmtId="0" fontId="1" fillId="6" borderId="58" xfId="0" applyFont="1" applyFill="1" applyBorder="1" applyAlignment="1">
      <alignment horizontal="center" vertical="center"/>
    </xf>
    <xf numFmtId="0" fontId="1" fillId="6" borderId="59" xfId="0" applyFont="1" applyFill="1" applyBorder="1" applyAlignment="1">
      <alignment horizontal="center" vertical="center"/>
    </xf>
    <xf numFmtId="0" fontId="1" fillId="6" borderId="60" xfId="0" applyFont="1" applyFill="1" applyBorder="1" applyAlignment="1">
      <alignment horizontal="center" vertical="center"/>
    </xf>
    <xf numFmtId="0" fontId="1" fillId="6" borderId="61" xfId="0" applyFont="1" applyFill="1" applyBorder="1" applyAlignment="1">
      <alignment horizontal="center" vertical="center"/>
    </xf>
    <xf numFmtId="0" fontId="1" fillId="6" borderId="62" xfId="0" applyFont="1" applyFill="1" applyBorder="1" applyAlignment="1">
      <alignment horizontal="center" vertical="center"/>
    </xf>
    <xf numFmtId="0" fontId="1" fillId="6" borderId="63" xfId="0" applyFont="1" applyFill="1" applyBorder="1" applyAlignment="1">
      <alignment horizontal="center" vertical="center"/>
    </xf>
    <xf numFmtId="0" fontId="1" fillId="6" borderId="64" xfId="0" applyFont="1" applyFill="1" applyBorder="1" applyAlignment="1">
      <alignment horizontal="center" vertical="center"/>
    </xf>
    <xf numFmtId="0" fontId="1" fillId="6" borderId="65" xfId="0" applyFont="1" applyFill="1" applyBorder="1" applyAlignment="1">
      <alignment horizontal="center" vertical="center"/>
    </xf>
    <xf numFmtId="0" fontId="1" fillId="6" borderId="66" xfId="0" applyFont="1" applyFill="1" applyBorder="1" applyAlignment="1">
      <alignment horizontal="center" vertical="center"/>
    </xf>
    <xf numFmtId="0" fontId="10" fillId="6" borderId="74" xfId="0" applyFont="1" applyFill="1" applyBorder="1" applyAlignment="1">
      <alignment vertical="center"/>
    </xf>
    <xf numFmtId="0" fontId="10" fillId="6" borderId="75" xfId="0" applyFont="1" applyFill="1" applyBorder="1" applyAlignment="1">
      <alignment vertical="center"/>
    </xf>
    <xf numFmtId="0" fontId="10" fillId="6" borderId="76" xfId="0" applyFont="1" applyFill="1" applyBorder="1" applyAlignment="1">
      <alignment vertical="center"/>
    </xf>
    <xf numFmtId="0" fontId="10" fillId="6" borderId="77" xfId="0" applyFont="1" applyFill="1" applyBorder="1" applyAlignment="1">
      <alignment horizontal="center" vertical="center"/>
    </xf>
    <xf numFmtId="0" fontId="10" fillId="6" borderId="78" xfId="0" applyFont="1" applyFill="1" applyBorder="1" applyAlignment="1">
      <alignment horizontal="center" vertical="center"/>
    </xf>
    <xf numFmtId="0" fontId="10" fillId="6" borderId="79" xfId="0" applyFont="1" applyFill="1" applyBorder="1" applyAlignment="1">
      <alignment horizontal="center" vertical="center"/>
    </xf>
    <xf numFmtId="0" fontId="5" fillId="6" borderId="80" xfId="0" applyFont="1" applyFill="1" applyBorder="1" applyAlignment="1">
      <alignment horizontal="center" vertical="center"/>
    </xf>
    <xf numFmtId="0" fontId="5" fillId="6" borderId="81" xfId="0" applyFont="1" applyFill="1" applyBorder="1" applyAlignment="1">
      <alignment horizontal="center" vertical="center"/>
    </xf>
    <xf numFmtId="0" fontId="5" fillId="6" borderId="82" xfId="0" applyFont="1" applyFill="1" applyBorder="1" applyAlignment="1">
      <alignment horizontal="center" vertical="center"/>
    </xf>
    <xf numFmtId="0" fontId="5" fillId="6" borderId="83" xfId="0" applyFont="1" applyFill="1" applyBorder="1" applyAlignment="1">
      <alignment horizontal="center" vertical="center"/>
    </xf>
    <xf numFmtId="0" fontId="5" fillId="6" borderId="84" xfId="0" applyFont="1" applyFill="1" applyBorder="1" applyAlignment="1">
      <alignment horizontal="center" vertical="center"/>
    </xf>
    <xf numFmtId="0" fontId="0" fillId="6" borderId="85" xfId="0" applyFill="1" applyBorder="1" applyAlignment="1">
      <alignment horizontal="center" vertical="center"/>
    </xf>
    <xf numFmtId="13" fontId="5" fillId="6" borderId="83" xfId="0" applyNumberFormat="1" applyFont="1" applyFill="1" applyBorder="1" applyAlignment="1">
      <alignment horizontal="center" vertical="center"/>
    </xf>
    <xf numFmtId="13" fontId="5" fillId="6" borderId="84" xfId="0" applyNumberFormat="1" applyFont="1" applyFill="1" applyBorder="1" applyAlignment="1">
      <alignment horizontal="center" vertical="center"/>
    </xf>
    <xf numFmtId="13" fontId="0" fillId="6" borderId="85" xfId="0" applyNumberFormat="1" applyFill="1" applyBorder="1" applyAlignment="1">
      <alignment horizontal="center" vertical="center"/>
    </xf>
    <xf numFmtId="13" fontId="5" fillId="6" borderId="80" xfId="0" applyNumberFormat="1" applyFont="1" applyFill="1" applyBorder="1" applyAlignment="1">
      <alignment horizontal="center" vertical="center"/>
    </xf>
    <xf numFmtId="13" fontId="5" fillId="6" borderId="81" xfId="0" applyNumberFormat="1" applyFont="1" applyFill="1" applyBorder="1" applyAlignment="1">
      <alignment horizontal="center" vertical="center"/>
    </xf>
    <xf numFmtId="13" fontId="5" fillId="6" borderId="82" xfId="0" applyNumberFormat="1" applyFont="1" applyFill="1" applyBorder="1" applyAlignment="1">
      <alignment horizontal="center" vertical="center"/>
    </xf>
    <xf numFmtId="2" fontId="1" fillId="6" borderId="60" xfId="0" applyNumberFormat="1" applyFont="1" applyFill="1" applyBorder="1" applyAlignment="1">
      <alignment horizontal="center" vertical="center"/>
    </xf>
    <xf numFmtId="2" fontId="1" fillId="6" borderId="86" xfId="0" applyNumberFormat="1" applyFont="1" applyFill="1" applyBorder="1" applyAlignment="1">
      <alignment horizontal="center" vertical="center"/>
    </xf>
    <xf numFmtId="2" fontId="1" fillId="6" borderId="87" xfId="0" applyNumberFormat="1" applyFont="1" applyFill="1" applyBorder="1" applyAlignment="1">
      <alignment horizontal="center" vertical="center"/>
    </xf>
    <xf numFmtId="2" fontId="1" fillId="6" borderId="16" xfId="0" applyNumberFormat="1" applyFont="1" applyFill="1" applyBorder="1" applyAlignment="1">
      <alignment horizontal="center" vertical="center"/>
    </xf>
    <xf numFmtId="2" fontId="7" fillId="6" borderId="0" xfId="0" applyNumberFormat="1" applyFont="1" applyFill="1" applyBorder="1" applyAlignment="1">
      <alignment horizontal="right" vertical="center" indent="1"/>
    </xf>
    <xf numFmtId="2" fontId="16" fillId="6" borderId="0" xfId="0" applyNumberFormat="1" applyFont="1" applyFill="1" applyBorder="1" applyAlignment="1">
      <alignment horizontal="right" vertical="top" indent="1"/>
    </xf>
    <xf numFmtId="2" fontId="18" fillId="6" borderId="20" xfId="0" quotePrefix="1" applyNumberFormat="1" applyFont="1" applyFill="1" applyBorder="1" applyAlignment="1">
      <alignment horizontal="right" vertical="top" indent="1"/>
    </xf>
    <xf numFmtId="0" fontId="1" fillId="6" borderId="88" xfId="0" applyFont="1" applyFill="1" applyBorder="1" applyAlignment="1">
      <alignment horizontal="center" vertical="center"/>
    </xf>
    <xf numFmtId="0" fontId="1" fillId="6" borderId="89" xfId="0" applyFont="1" applyFill="1" applyBorder="1" applyAlignment="1">
      <alignment horizontal="center" vertical="center"/>
    </xf>
    <xf numFmtId="0" fontId="1" fillId="6" borderId="90" xfId="0" applyFont="1" applyFill="1" applyBorder="1" applyAlignment="1">
      <alignment horizontal="center" vertical="center"/>
    </xf>
    <xf numFmtId="0" fontId="1" fillId="6" borderId="91" xfId="0" applyFont="1" applyFill="1" applyBorder="1" applyAlignment="1">
      <alignment horizontal="center" vertical="center"/>
    </xf>
    <xf numFmtId="0" fontId="1" fillId="6" borderId="92" xfId="0" applyFont="1" applyFill="1" applyBorder="1" applyAlignment="1">
      <alignment horizontal="center" vertical="center"/>
    </xf>
    <xf numFmtId="0" fontId="1" fillId="6" borderId="93" xfId="0" applyFont="1" applyFill="1" applyBorder="1" applyAlignment="1">
      <alignment horizontal="center" vertical="center"/>
    </xf>
    <xf numFmtId="0" fontId="5" fillId="6" borderId="85" xfId="0" applyFont="1" applyFill="1" applyBorder="1" applyAlignment="1">
      <alignment horizontal="center" vertical="center"/>
    </xf>
    <xf numFmtId="13" fontId="1" fillId="6" borderId="60" xfId="0" applyNumberFormat="1" applyFont="1" applyFill="1" applyBorder="1" applyAlignment="1">
      <alignment vertical="center"/>
    </xf>
    <xf numFmtId="2" fontId="0" fillId="6" borderId="0" xfId="0" applyNumberFormat="1" applyFill="1" applyBorder="1" applyAlignment="1">
      <alignment horizontal="center" vertical="center"/>
    </xf>
    <xf numFmtId="13" fontId="1" fillId="6" borderId="88" xfId="0" applyNumberFormat="1" applyFont="1" applyFill="1" applyBorder="1" applyAlignment="1">
      <alignment horizontal="center" vertical="center"/>
    </xf>
    <xf numFmtId="13" fontId="1" fillId="6" borderId="89" xfId="0" applyNumberFormat="1" applyFont="1" applyFill="1" applyBorder="1" applyAlignment="1">
      <alignment horizontal="center" vertical="center"/>
    </xf>
    <xf numFmtId="13" fontId="1" fillId="6" borderId="90" xfId="0" applyNumberFormat="1" applyFont="1" applyFill="1" applyBorder="1" applyAlignment="1">
      <alignment horizontal="center" vertical="center"/>
    </xf>
    <xf numFmtId="13" fontId="1" fillId="6" borderId="91" xfId="0" applyNumberFormat="1" applyFont="1" applyFill="1" applyBorder="1" applyAlignment="1">
      <alignment horizontal="center" vertical="center"/>
    </xf>
    <xf numFmtId="13" fontId="1" fillId="6" borderId="92" xfId="0" applyNumberFormat="1" applyFont="1" applyFill="1" applyBorder="1" applyAlignment="1">
      <alignment horizontal="center" vertical="center"/>
    </xf>
    <xf numFmtId="13" fontId="1" fillId="6" borderId="93" xfId="0" applyNumberFormat="1" applyFont="1" applyFill="1" applyBorder="1" applyAlignment="1">
      <alignment horizontal="center" vertical="center"/>
    </xf>
    <xf numFmtId="13" fontId="5" fillId="6" borderId="85" xfId="0" applyNumberFormat="1" applyFont="1" applyFill="1" applyBorder="1" applyAlignment="1">
      <alignment horizontal="center" vertical="center"/>
    </xf>
    <xf numFmtId="164" fontId="1" fillId="6" borderId="88" xfId="0" applyNumberFormat="1" applyFont="1" applyFill="1" applyBorder="1" applyAlignment="1">
      <alignment horizontal="center" vertical="center"/>
    </xf>
    <xf numFmtId="164" fontId="5" fillId="6" borderId="83" xfId="0" applyNumberFormat="1" applyFont="1" applyFill="1" applyBorder="1" applyAlignment="1">
      <alignment horizontal="center" vertical="center"/>
    </xf>
    <xf numFmtId="164" fontId="0" fillId="6" borderId="0" xfId="0" applyNumberFormat="1" applyFill="1" applyBorder="1" applyAlignment="1">
      <alignment vertical="center"/>
    </xf>
    <xf numFmtId="164" fontId="1" fillId="6" borderId="89" xfId="0" applyNumberFormat="1" applyFont="1" applyFill="1" applyBorder="1" applyAlignment="1">
      <alignment horizontal="center" vertical="center"/>
    </xf>
    <xf numFmtId="164" fontId="1" fillId="6" borderId="90" xfId="0" applyNumberFormat="1" applyFont="1" applyFill="1" applyBorder="1" applyAlignment="1">
      <alignment horizontal="center" vertical="center"/>
    </xf>
    <xf numFmtId="164" fontId="1" fillId="6" borderId="91" xfId="0" applyNumberFormat="1" applyFont="1" applyFill="1" applyBorder="1" applyAlignment="1">
      <alignment horizontal="center" vertical="center"/>
    </xf>
    <xf numFmtId="164" fontId="1" fillId="6" borderId="92" xfId="0" applyNumberFormat="1" applyFont="1" applyFill="1" applyBorder="1" applyAlignment="1">
      <alignment horizontal="center" vertical="center"/>
    </xf>
    <xf numFmtId="164" fontId="1" fillId="6" borderId="93" xfId="0" applyNumberFormat="1" applyFont="1" applyFill="1" applyBorder="1" applyAlignment="1">
      <alignment horizontal="center" vertical="center"/>
    </xf>
    <xf numFmtId="172" fontId="1" fillId="6" borderId="88" xfId="0" applyNumberFormat="1" applyFont="1" applyFill="1" applyBorder="1" applyAlignment="1">
      <alignment horizontal="center" vertical="center"/>
    </xf>
    <xf numFmtId="172" fontId="1" fillId="6" borderId="89" xfId="0" applyNumberFormat="1" applyFont="1" applyFill="1" applyBorder="1" applyAlignment="1">
      <alignment horizontal="center" vertical="center"/>
    </xf>
    <xf numFmtId="172" fontId="1" fillId="6" borderId="90" xfId="0" applyNumberFormat="1" applyFont="1" applyFill="1" applyBorder="1" applyAlignment="1">
      <alignment horizontal="center" vertical="center"/>
    </xf>
    <xf numFmtId="172" fontId="1" fillId="6" borderId="91" xfId="0" applyNumberFormat="1" applyFont="1" applyFill="1" applyBorder="1" applyAlignment="1">
      <alignment horizontal="center" vertical="center"/>
    </xf>
    <xf numFmtId="172" fontId="1" fillId="6" borderId="92" xfId="0" applyNumberFormat="1" applyFont="1" applyFill="1" applyBorder="1" applyAlignment="1">
      <alignment horizontal="center" vertical="center"/>
    </xf>
    <xf numFmtId="172" fontId="1" fillId="6" borderId="93" xfId="0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vertical="center"/>
    </xf>
    <xf numFmtId="0" fontId="0" fillId="13" borderId="0" xfId="0" applyFill="1" applyBorder="1" applyAlignment="1">
      <alignment horizontal="center" vertical="center"/>
    </xf>
    <xf numFmtId="0" fontId="5" fillId="6" borderId="94" xfId="0" applyFont="1" applyFill="1" applyBorder="1" applyAlignment="1">
      <alignment horizontal="center" vertical="center"/>
    </xf>
    <xf numFmtId="0" fontId="5" fillId="6" borderId="95" xfId="0" applyFont="1" applyFill="1" applyBorder="1" applyAlignment="1">
      <alignment horizontal="center" vertical="center"/>
    </xf>
    <xf numFmtId="13" fontId="5" fillId="6" borderId="94" xfId="0" applyNumberFormat="1" applyFont="1" applyFill="1" applyBorder="1" applyAlignment="1">
      <alignment horizontal="center" vertical="center"/>
    </xf>
    <xf numFmtId="13" fontId="5" fillId="6" borderId="95" xfId="0" applyNumberFormat="1" applyFont="1" applyFill="1" applyBorder="1" applyAlignment="1">
      <alignment horizontal="center" vertical="center"/>
    </xf>
    <xf numFmtId="0" fontId="0" fillId="6" borderId="17" xfId="0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164" fontId="1" fillId="6" borderId="20" xfId="0" applyNumberFormat="1" applyFont="1" applyFill="1" applyBorder="1" applyAlignment="1">
      <alignment vertical="center"/>
    </xf>
    <xf numFmtId="0" fontId="0" fillId="11" borderId="13" xfId="0" applyFill="1" applyBorder="1" applyAlignment="1">
      <alignment vertical="center"/>
    </xf>
    <xf numFmtId="0" fontId="8" fillId="11" borderId="18" xfId="0" applyFont="1" applyFill="1" applyBorder="1" applyAlignment="1">
      <alignment horizontal="right" indent="1"/>
    </xf>
    <xf numFmtId="164" fontId="1" fillId="11" borderId="14" xfId="0" applyNumberFormat="1" applyFon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8" fillId="2" borderId="21" xfId="0" applyFont="1" applyFill="1" applyBorder="1" applyAlignment="1">
      <alignment horizontal="right" indent="1"/>
    </xf>
    <xf numFmtId="164" fontId="1" fillId="2" borderId="16" xfId="0" applyNumberFormat="1" applyFont="1" applyFill="1" applyBorder="1" applyAlignment="1">
      <alignment vertical="center"/>
    </xf>
    <xf numFmtId="0" fontId="10" fillId="6" borderId="74" xfId="0" applyFont="1" applyFill="1" applyBorder="1" applyAlignment="1">
      <alignment horizontal="center" vertical="center"/>
    </xf>
    <xf numFmtId="0" fontId="10" fillId="6" borderId="76" xfId="0" applyFont="1" applyFill="1" applyBorder="1" applyAlignment="1">
      <alignment horizontal="center" vertical="center"/>
    </xf>
    <xf numFmtId="0" fontId="10" fillId="6" borderId="96" xfId="0" applyFont="1" applyFill="1" applyBorder="1" applyAlignment="1">
      <alignment horizontal="center" vertical="center"/>
    </xf>
    <xf numFmtId="0" fontId="10" fillId="6" borderId="97" xfId="0" applyFont="1" applyFill="1" applyBorder="1" applyAlignment="1">
      <alignment horizontal="center" vertical="center"/>
    </xf>
    <xf numFmtId="0" fontId="0" fillId="6" borderId="98" xfId="0" applyFill="1" applyBorder="1" applyAlignment="1">
      <alignment horizontal="right"/>
    </xf>
    <xf numFmtId="0" fontId="0" fillId="6" borderId="44" xfId="0" applyFill="1" applyBorder="1" applyAlignment="1">
      <alignment horizontal="right"/>
    </xf>
    <xf numFmtId="0" fontId="0" fillId="6" borderId="43" xfId="0" applyFill="1" applyBorder="1" applyAlignment="1">
      <alignment horizontal="right"/>
    </xf>
    <xf numFmtId="13" fontId="0" fillId="6" borderId="0" xfId="0" applyNumberFormat="1" applyFill="1" applyBorder="1"/>
    <xf numFmtId="0" fontId="0" fillId="6" borderId="21" xfId="0" applyFill="1" applyBorder="1"/>
    <xf numFmtId="164" fontId="0" fillId="6" borderId="0" xfId="0" applyNumberFormat="1" applyFill="1" applyBorder="1"/>
    <xf numFmtId="164" fontId="0" fillId="6" borderId="21" xfId="0" applyNumberFormat="1" applyFill="1" applyBorder="1"/>
    <xf numFmtId="0" fontId="0" fillId="11" borderId="0" xfId="0" applyFill="1" applyBorder="1"/>
    <xf numFmtId="0" fontId="0" fillId="11" borderId="0" xfId="0" applyFill="1"/>
    <xf numFmtId="0" fontId="1" fillId="6" borderId="0" xfId="0" applyFont="1" applyFill="1" applyBorder="1" applyAlignment="1">
      <alignment horizontal="center"/>
    </xf>
    <xf numFmtId="0" fontId="0" fillId="3" borderId="0" xfId="0" applyFill="1"/>
    <xf numFmtId="0" fontId="0" fillId="14" borderId="0" xfId="0" applyFill="1"/>
    <xf numFmtId="164" fontId="0" fillId="0" borderId="0" xfId="0" applyNumberFormat="1"/>
    <xf numFmtId="0" fontId="0" fillId="6" borderId="21" xfId="0" applyFill="1" applyBorder="1" applyAlignment="1">
      <alignment horizontal="right"/>
    </xf>
    <xf numFmtId="173" fontId="0" fillId="6" borderId="9" xfId="0" applyNumberFormat="1" applyFill="1" applyBorder="1"/>
    <xf numFmtId="173" fontId="0" fillId="6" borderId="6" xfId="0" applyNumberFormat="1" applyFill="1" applyBorder="1"/>
    <xf numFmtId="175" fontId="0" fillId="6" borderId="9" xfId="0" applyNumberFormat="1" applyFill="1" applyBorder="1"/>
    <xf numFmtId="176" fontId="0" fillId="6" borderId="9" xfId="0" applyNumberFormat="1" applyFill="1" applyBorder="1"/>
    <xf numFmtId="0" fontId="0" fillId="0" borderId="0" xfId="0" applyFill="1"/>
    <xf numFmtId="0" fontId="0" fillId="0" borderId="0" xfId="0" applyFill="1" applyAlignment="1">
      <alignment horizontal="right"/>
    </xf>
    <xf numFmtId="0" fontId="8" fillId="6" borderId="0" xfId="0" applyFont="1" applyFill="1"/>
    <xf numFmtId="9" fontId="0" fillId="6" borderId="0" xfId="0" applyNumberFormat="1" applyFill="1" applyAlignment="1">
      <alignment horizontal="right"/>
    </xf>
    <xf numFmtId="177" fontId="0" fillId="0" borderId="0" xfId="0" applyNumberFormat="1"/>
    <xf numFmtId="0" fontId="43" fillId="6" borderId="0" xfId="0" applyFont="1" applyFill="1"/>
    <xf numFmtId="0" fontId="47" fillId="6" borderId="21" xfId="0" applyFont="1" applyFill="1" applyBorder="1" applyAlignment="1">
      <alignment horizontal="right" indent="1"/>
    </xf>
    <xf numFmtId="0" fontId="51" fillId="6" borderId="21" xfId="0" applyFont="1" applyFill="1" applyBorder="1" applyAlignment="1">
      <alignment horizontal="right" indent="1"/>
    </xf>
    <xf numFmtId="0" fontId="49" fillId="6" borderId="21" xfId="0" applyFont="1" applyFill="1" applyBorder="1" applyAlignment="1">
      <alignment horizontal="right" indent="1"/>
    </xf>
    <xf numFmtId="0" fontId="46" fillId="6" borderId="21" xfId="0" applyFont="1" applyFill="1" applyBorder="1" applyAlignment="1">
      <alignment horizontal="right" indent="1"/>
    </xf>
    <xf numFmtId="0" fontId="43" fillId="6" borderId="21" xfId="0" applyFont="1" applyFill="1" applyBorder="1" applyAlignment="1">
      <alignment horizontal="right" indent="1"/>
    </xf>
    <xf numFmtId="0" fontId="46" fillId="6" borderId="0" xfId="0" applyFont="1" applyFill="1" applyAlignment="1">
      <alignment horizontal="right" indent="1"/>
    </xf>
    <xf numFmtId="164" fontId="46" fillId="0" borderId="0" xfId="0" applyNumberFormat="1" applyFont="1" applyAlignment="1">
      <alignment horizontal="right" indent="1"/>
    </xf>
    <xf numFmtId="0" fontId="44" fillId="6" borderId="0" xfId="0" applyFont="1" applyFill="1"/>
    <xf numFmtId="0" fontId="44" fillId="6" borderId="0" xfId="0" applyFont="1" applyFill="1" applyAlignment="1">
      <alignment horizontal="right"/>
    </xf>
    <xf numFmtId="1" fontId="46" fillId="6" borderId="0" xfId="0" applyNumberFormat="1" applyFont="1" applyFill="1" applyAlignment="1">
      <alignment horizontal="right" indent="1"/>
    </xf>
    <xf numFmtId="0" fontId="46" fillId="2" borderId="0" xfId="0" applyFont="1" applyFill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0" fontId="46" fillId="14" borderId="0" xfId="0" applyFont="1" applyFill="1" applyAlignment="1">
      <alignment horizontal="center" vertical="center"/>
    </xf>
    <xf numFmtId="0" fontId="46" fillId="4" borderId="0" xfId="0" applyFont="1" applyFill="1" applyAlignment="1">
      <alignment horizontal="center" vertical="center"/>
    </xf>
    <xf numFmtId="0" fontId="46" fillId="2" borderId="21" xfId="0" applyFont="1" applyFill="1" applyBorder="1" applyAlignment="1">
      <alignment horizontal="center" vertical="center"/>
    </xf>
    <xf numFmtId="0" fontId="46" fillId="5" borderId="21" xfId="0" applyFont="1" applyFill="1" applyBorder="1" applyAlignment="1">
      <alignment horizontal="center" vertical="center"/>
    </xf>
    <xf numFmtId="0" fontId="46" fillId="3" borderId="21" xfId="0" applyFont="1" applyFill="1" applyBorder="1" applyAlignment="1">
      <alignment horizontal="center" vertical="center"/>
    </xf>
    <xf numFmtId="0" fontId="46" fillId="14" borderId="21" xfId="0" applyFont="1" applyFill="1" applyBorder="1" applyAlignment="1">
      <alignment horizontal="center" vertical="center"/>
    </xf>
    <xf numFmtId="0" fontId="46" fillId="4" borderId="21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right" indent="1"/>
    </xf>
    <xf numFmtId="173" fontId="46" fillId="2" borderId="0" xfId="0" applyNumberFormat="1" applyFont="1" applyFill="1" applyAlignment="1">
      <alignment horizontal="right" indent="1"/>
    </xf>
    <xf numFmtId="174" fontId="46" fillId="2" borderId="0" xfId="0" applyNumberFormat="1" applyFont="1" applyFill="1" applyAlignment="1">
      <alignment horizontal="right" indent="1"/>
    </xf>
    <xf numFmtId="164" fontId="46" fillId="2" borderId="0" xfId="0" applyNumberFormat="1" applyFont="1" applyFill="1" applyAlignment="1">
      <alignment horizontal="right" indent="1"/>
    </xf>
    <xf numFmtId="0" fontId="46" fillId="5" borderId="0" xfId="0" applyFont="1" applyFill="1" applyAlignment="1">
      <alignment horizontal="right" indent="1"/>
    </xf>
    <xf numFmtId="173" fontId="46" fillId="5" borderId="0" xfId="0" applyNumberFormat="1" applyFont="1" applyFill="1" applyAlignment="1">
      <alignment horizontal="right" indent="1"/>
    </xf>
    <xf numFmtId="174" fontId="46" fillId="5" borderId="0" xfId="0" applyNumberFormat="1" applyFont="1" applyFill="1" applyAlignment="1">
      <alignment horizontal="right" indent="1"/>
    </xf>
    <xf numFmtId="164" fontId="46" fillId="5" borderId="0" xfId="0" applyNumberFormat="1" applyFont="1" applyFill="1" applyAlignment="1">
      <alignment horizontal="right" indent="1"/>
    </xf>
    <xf numFmtId="0" fontId="46" fillId="3" borderId="0" xfId="0" applyFont="1" applyFill="1" applyAlignment="1">
      <alignment horizontal="right" indent="1"/>
    </xf>
    <xf numFmtId="173" fontId="46" fillId="3" borderId="0" xfId="0" applyNumberFormat="1" applyFont="1" applyFill="1" applyAlignment="1">
      <alignment horizontal="right" indent="1"/>
    </xf>
    <xf numFmtId="174" fontId="46" fillId="3" borderId="0" xfId="0" applyNumberFormat="1" applyFont="1" applyFill="1" applyAlignment="1">
      <alignment horizontal="right" indent="1"/>
    </xf>
    <xf numFmtId="164" fontId="46" fillId="3" borderId="0" xfId="0" applyNumberFormat="1" applyFont="1" applyFill="1" applyAlignment="1">
      <alignment horizontal="right" indent="1"/>
    </xf>
    <xf numFmtId="0" fontId="46" fillId="4" borderId="0" xfId="0" applyFont="1" applyFill="1" applyAlignment="1">
      <alignment horizontal="right" indent="1"/>
    </xf>
    <xf numFmtId="173" fontId="46" fillId="4" borderId="0" xfId="0" applyNumberFormat="1" applyFont="1" applyFill="1" applyAlignment="1">
      <alignment horizontal="right" indent="1"/>
    </xf>
    <xf numFmtId="174" fontId="46" fillId="4" borderId="0" xfId="0" applyNumberFormat="1" applyFont="1" applyFill="1" applyAlignment="1">
      <alignment horizontal="right" indent="1"/>
    </xf>
    <xf numFmtId="164" fontId="46" fillId="4" borderId="0" xfId="0" applyNumberFormat="1" applyFont="1" applyFill="1" applyAlignment="1">
      <alignment horizontal="right" indent="1"/>
    </xf>
    <xf numFmtId="0" fontId="46" fillId="14" borderId="0" xfId="0" applyFont="1" applyFill="1" applyAlignment="1">
      <alignment horizontal="right" indent="1"/>
    </xf>
    <xf numFmtId="173" fontId="46" fillId="14" borderId="0" xfId="0" applyNumberFormat="1" applyFont="1" applyFill="1" applyAlignment="1">
      <alignment horizontal="right" indent="1"/>
    </xf>
    <xf numFmtId="174" fontId="46" fillId="14" borderId="0" xfId="0" applyNumberFormat="1" applyFont="1" applyFill="1" applyAlignment="1">
      <alignment horizontal="right" indent="1"/>
    </xf>
    <xf numFmtId="164" fontId="46" fillId="14" borderId="0" xfId="0" applyNumberFormat="1" applyFont="1" applyFill="1" applyAlignment="1">
      <alignment horizontal="right" indent="1"/>
    </xf>
    <xf numFmtId="164" fontId="0" fillId="6" borderId="0" xfId="0" applyNumberFormat="1" applyFill="1"/>
    <xf numFmtId="164" fontId="1" fillId="6" borderId="0" xfId="0" applyNumberFormat="1" applyFont="1" applyFill="1"/>
    <xf numFmtId="0" fontId="5" fillId="6" borderId="2" xfId="0" applyFont="1" applyFill="1" applyBorder="1" applyAlignment="1">
      <alignment horizontal="right"/>
    </xf>
    <xf numFmtId="0" fontId="5" fillId="6" borderId="8" xfId="0" applyFont="1" applyFill="1" applyBorder="1" applyAlignment="1">
      <alignment horizontal="right"/>
    </xf>
    <xf numFmtId="0" fontId="0" fillId="7" borderId="26" xfId="0" applyFill="1" applyBorder="1" applyAlignment="1">
      <alignment horizontal="right" indent="1"/>
    </xf>
    <xf numFmtId="0" fontId="0" fillId="7" borderId="29" xfId="0" applyFill="1" applyBorder="1" applyAlignment="1">
      <alignment horizontal="right" indent="1"/>
    </xf>
    <xf numFmtId="0" fontId="0" fillId="7" borderId="31" xfId="0" applyFill="1" applyBorder="1" applyAlignment="1">
      <alignment horizontal="right" indent="1"/>
    </xf>
    <xf numFmtId="0" fontId="0" fillId="6" borderId="1" xfId="0" applyFill="1" applyBorder="1" applyAlignment="1">
      <alignment horizontal="right" indent="1"/>
    </xf>
    <xf numFmtId="0" fontId="0" fillId="6" borderId="7" xfId="0" applyFill="1" applyBorder="1" applyAlignment="1">
      <alignment horizontal="right" indent="1"/>
    </xf>
    <xf numFmtId="0" fontId="0" fillId="6" borderId="4" xfId="0" applyFill="1" applyBorder="1" applyAlignment="1">
      <alignment horizontal="right" indent="1"/>
    </xf>
    <xf numFmtId="0" fontId="0" fillId="6" borderId="8" xfId="0" applyFont="1" applyFill="1" applyBorder="1" applyAlignment="1">
      <alignment horizontal="right"/>
    </xf>
    <xf numFmtId="0" fontId="10" fillId="6" borderId="99" xfId="0" applyFont="1" applyFill="1" applyBorder="1" applyAlignment="1">
      <alignment vertical="center"/>
    </xf>
    <xf numFmtId="0" fontId="10" fillId="6" borderId="100" xfId="0" applyFont="1" applyFill="1" applyBorder="1" applyAlignment="1">
      <alignment vertical="center"/>
    </xf>
    <xf numFmtId="0" fontId="10" fillId="6" borderId="101" xfId="0" applyFont="1" applyFill="1" applyBorder="1" applyAlignment="1">
      <alignment vertical="center"/>
    </xf>
    <xf numFmtId="0" fontId="40" fillId="6" borderId="0" xfId="0" applyFont="1" applyFill="1" applyBorder="1" applyAlignment="1">
      <alignment vertical="center"/>
    </xf>
    <xf numFmtId="0" fontId="40" fillId="6" borderId="0" xfId="0" applyFont="1" applyFill="1" applyBorder="1" applyAlignment="1">
      <alignment horizontal="center" vertical="center"/>
    </xf>
    <xf numFmtId="0" fontId="55" fillId="6" borderId="78" xfId="0" applyFont="1" applyFill="1" applyBorder="1" applyAlignment="1">
      <alignment horizontal="center" vertical="center"/>
    </xf>
    <xf numFmtId="0" fontId="55" fillId="6" borderId="74" xfId="0" applyFont="1" applyFill="1" applyBorder="1" applyAlignment="1">
      <alignment horizontal="center" vertical="center"/>
    </xf>
    <xf numFmtId="0" fontId="55" fillId="6" borderId="75" xfId="0" applyFont="1" applyFill="1" applyBorder="1" applyAlignment="1">
      <alignment horizontal="center" vertical="center"/>
    </xf>
    <xf numFmtId="0" fontId="52" fillId="6" borderId="0" xfId="0" applyFont="1" applyFill="1" applyBorder="1" applyAlignment="1">
      <alignment horizontal="center" vertical="center"/>
    </xf>
    <xf numFmtId="2" fontId="52" fillId="6" borderId="0" xfId="0" applyNumberFormat="1" applyFont="1" applyFill="1" applyBorder="1" applyAlignment="1">
      <alignment horizontal="center" vertical="center"/>
    </xf>
    <xf numFmtId="0" fontId="58" fillId="6" borderId="0" xfId="0" applyFont="1" applyFill="1" applyBorder="1" applyAlignment="1">
      <alignment horizontal="right" vertical="top" indent="1"/>
    </xf>
    <xf numFmtId="0" fontId="59" fillId="6" borderId="0" xfId="0" applyFont="1" applyFill="1" applyBorder="1" applyAlignment="1">
      <alignment horizontal="right" vertical="center" indent="1"/>
    </xf>
    <xf numFmtId="2" fontId="52" fillId="6" borderId="60" xfId="0" applyNumberFormat="1" applyFont="1" applyFill="1" applyBorder="1" applyAlignment="1">
      <alignment horizontal="center" vertical="center"/>
    </xf>
    <xf numFmtId="2" fontId="58" fillId="6" borderId="0" xfId="0" applyNumberFormat="1" applyFont="1" applyFill="1" applyBorder="1" applyAlignment="1">
      <alignment horizontal="right" vertical="top" indent="1"/>
    </xf>
    <xf numFmtId="0" fontId="52" fillId="6" borderId="0" xfId="0" applyFont="1" applyFill="1"/>
    <xf numFmtId="0" fontId="52" fillId="6" borderId="0" xfId="0" applyFont="1" applyFill="1" applyAlignment="1">
      <alignment horizontal="center"/>
    </xf>
    <xf numFmtId="0" fontId="52" fillId="6" borderId="0" xfId="0" applyFont="1" applyFill="1" applyBorder="1" applyAlignment="1">
      <alignment vertical="center"/>
    </xf>
    <xf numFmtId="4" fontId="52" fillId="6" borderId="0" xfId="0" applyNumberFormat="1" applyFont="1" applyFill="1" applyBorder="1" applyAlignment="1">
      <alignment vertical="center"/>
    </xf>
    <xf numFmtId="0" fontId="52" fillId="6" borderId="0" xfId="0" applyFont="1" applyFill="1" applyAlignment="1">
      <alignment horizontal="right"/>
    </xf>
    <xf numFmtId="2" fontId="59" fillId="6" borderId="20" xfId="0" quotePrefix="1" applyNumberFormat="1" applyFont="1" applyFill="1" applyBorder="1" applyAlignment="1">
      <alignment horizontal="right" vertical="top" indent="1"/>
    </xf>
    <xf numFmtId="0" fontId="56" fillId="6" borderId="0" xfId="0" applyFont="1" applyFill="1" applyBorder="1" applyAlignment="1">
      <alignment horizontal="right" vertical="center" indent="1"/>
    </xf>
    <xf numFmtId="2" fontId="56" fillId="6" borderId="0" xfId="0" applyNumberFormat="1" applyFont="1" applyFill="1" applyBorder="1" applyAlignment="1">
      <alignment horizontal="right" vertical="center" indent="1"/>
    </xf>
    <xf numFmtId="2" fontId="59" fillId="6" borderId="19" xfId="0" quotePrefix="1" applyNumberFormat="1" applyFont="1" applyFill="1" applyBorder="1" applyAlignment="1">
      <alignment horizontal="right" vertical="top" indent="1"/>
    </xf>
    <xf numFmtId="178" fontId="0" fillId="6" borderId="9" xfId="0" applyNumberFormat="1" applyFill="1" applyBorder="1"/>
    <xf numFmtId="178" fontId="0" fillId="6" borderId="6" xfId="0" applyNumberFormat="1" applyFill="1" applyBorder="1"/>
    <xf numFmtId="179" fontId="0" fillId="6" borderId="9" xfId="0" applyNumberFormat="1" applyFill="1" applyBorder="1"/>
    <xf numFmtId="179" fontId="0" fillId="6" borderId="6" xfId="0" applyNumberFormat="1" applyFill="1" applyBorder="1"/>
    <xf numFmtId="180" fontId="0" fillId="6" borderId="9" xfId="0" applyNumberFormat="1" applyFill="1" applyBorder="1"/>
    <xf numFmtId="180" fontId="0" fillId="6" borderId="6" xfId="0" applyNumberFormat="1" applyFill="1" applyBorder="1"/>
    <xf numFmtId="0" fontId="55" fillId="6" borderId="16" xfId="0" applyFont="1" applyFill="1" applyBorder="1" applyAlignment="1">
      <alignment horizontal="center" vertical="center"/>
    </xf>
    <xf numFmtId="0" fontId="56" fillId="6" borderId="107" xfId="0" applyFont="1" applyFill="1" applyBorder="1" applyAlignment="1">
      <alignment horizontal="center" vertical="center"/>
    </xf>
    <xf numFmtId="0" fontId="55" fillId="6" borderId="67" xfId="0" applyFont="1" applyFill="1" applyBorder="1" applyAlignment="1">
      <alignment horizontal="center" vertical="center"/>
    </xf>
    <xf numFmtId="0" fontId="56" fillId="6" borderId="105" xfId="0" applyFont="1" applyFill="1" applyBorder="1" applyAlignment="1">
      <alignment horizontal="center" vertical="center"/>
    </xf>
    <xf numFmtId="0" fontId="55" fillId="6" borderId="45" xfId="0" applyFont="1" applyFill="1" applyBorder="1" applyAlignment="1">
      <alignment horizontal="center" vertical="center"/>
    </xf>
    <xf numFmtId="0" fontId="56" fillId="6" borderId="106" xfId="0" applyFont="1" applyFill="1" applyBorder="1" applyAlignment="1">
      <alignment horizontal="center" vertical="center"/>
    </xf>
    <xf numFmtId="0" fontId="56" fillId="6" borderId="14" xfId="0" applyFont="1" applyFill="1" applyBorder="1" applyAlignment="1">
      <alignment horizontal="center" vertical="center"/>
    </xf>
    <xf numFmtId="0" fontId="55" fillId="6" borderId="71" xfId="0" applyFont="1" applyFill="1" applyBorder="1" applyAlignment="1">
      <alignment horizontal="center" vertical="center"/>
    </xf>
    <xf numFmtId="0" fontId="55" fillId="6" borderId="72" xfId="0" applyFont="1" applyFill="1" applyBorder="1" applyAlignment="1">
      <alignment horizontal="center" vertical="center"/>
    </xf>
    <xf numFmtId="0" fontId="52" fillId="6" borderId="13" xfId="0" applyFont="1" applyFill="1" applyBorder="1" applyAlignment="1">
      <alignment horizontal="center" vertical="center"/>
    </xf>
    <xf numFmtId="0" fontId="52" fillId="6" borderId="18" xfId="0" applyFont="1" applyFill="1" applyBorder="1" applyAlignment="1">
      <alignment horizontal="center" vertical="center"/>
    </xf>
    <xf numFmtId="0" fontId="52" fillId="6" borderId="17" xfId="0" applyFont="1" applyFill="1" applyBorder="1" applyAlignment="1">
      <alignment horizontal="center" vertical="center"/>
    </xf>
    <xf numFmtId="0" fontId="56" fillId="6" borderId="68" xfId="0" applyFont="1" applyFill="1" applyBorder="1" applyAlignment="1">
      <alignment horizontal="center" vertical="center"/>
    </xf>
    <xf numFmtId="0" fontId="56" fillId="6" borderId="69" xfId="0" applyFont="1" applyFill="1" applyBorder="1" applyAlignment="1">
      <alignment horizontal="center" vertical="center"/>
    </xf>
    <xf numFmtId="0" fontId="55" fillId="6" borderId="50" xfId="0" applyFont="1" applyFill="1" applyBorder="1" applyAlignment="1">
      <alignment horizontal="center" vertical="center"/>
    </xf>
    <xf numFmtId="178" fontId="56" fillId="6" borderId="107" xfId="0" applyNumberFormat="1" applyFont="1" applyFill="1" applyBorder="1" applyAlignment="1">
      <alignment horizontal="center" vertical="center"/>
    </xf>
    <xf numFmtId="178" fontId="56" fillId="6" borderId="105" xfId="0" applyNumberFormat="1" applyFont="1" applyFill="1" applyBorder="1" applyAlignment="1">
      <alignment horizontal="center" vertical="center"/>
    </xf>
    <xf numFmtId="178" fontId="56" fillId="6" borderId="106" xfId="0" applyNumberFormat="1" applyFont="1" applyFill="1" applyBorder="1" applyAlignment="1">
      <alignment horizontal="center" vertical="center"/>
    </xf>
    <xf numFmtId="178" fontId="56" fillId="6" borderId="14" xfId="0" applyNumberFormat="1" applyFont="1" applyFill="1" applyBorder="1" applyAlignment="1">
      <alignment horizontal="center" vertical="center"/>
    </xf>
    <xf numFmtId="178" fontId="52" fillId="6" borderId="13" xfId="0" applyNumberFormat="1" applyFont="1" applyFill="1" applyBorder="1" applyAlignment="1">
      <alignment horizontal="center" vertical="center"/>
    </xf>
    <xf numFmtId="178" fontId="52" fillId="6" borderId="18" xfId="0" applyNumberFormat="1" applyFont="1" applyFill="1" applyBorder="1" applyAlignment="1">
      <alignment horizontal="center" vertical="center"/>
    </xf>
    <xf numFmtId="178" fontId="52" fillId="6" borderId="17" xfId="0" applyNumberFormat="1" applyFont="1" applyFill="1" applyBorder="1" applyAlignment="1">
      <alignment horizontal="center" vertical="center"/>
    </xf>
    <xf numFmtId="178" fontId="52" fillId="6" borderId="0" xfId="0" applyNumberFormat="1" applyFont="1" applyFill="1" applyBorder="1" applyAlignment="1">
      <alignment horizontal="center" vertical="center"/>
    </xf>
    <xf numFmtId="178" fontId="56" fillId="6" borderId="68" xfId="0" applyNumberFormat="1" applyFont="1" applyFill="1" applyBorder="1" applyAlignment="1">
      <alignment horizontal="center" vertical="center"/>
    </xf>
    <xf numFmtId="178" fontId="56" fillId="6" borderId="69" xfId="0" applyNumberFormat="1" applyFont="1" applyFill="1" applyBorder="1" applyAlignment="1">
      <alignment horizontal="center" vertical="center"/>
    </xf>
    <xf numFmtId="0" fontId="55" fillId="15" borderId="45" xfId="0" applyFont="1" applyFill="1" applyBorder="1" applyAlignment="1">
      <alignment horizontal="center" vertical="center"/>
    </xf>
    <xf numFmtId="0" fontId="52" fillId="15" borderId="17" xfId="0" applyFont="1" applyFill="1" applyBorder="1" applyAlignment="1">
      <alignment horizontal="center" vertical="center"/>
    </xf>
    <xf numFmtId="0" fontId="52" fillId="15" borderId="0" xfId="0" applyFont="1" applyFill="1" applyBorder="1" applyAlignment="1">
      <alignment horizontal="center" vertical="center"/>
    </xf>
    <xf numFmtId="0" fontId="56" fillId="15" borderId="106" xfId="0" applyFont="1" applyFill="1" applyBorder="1" applyAlignment="1">
      <alignment horizontal="center" vertical="center"/>
    </xf>
    <xf numFmtId="178" fontId="52" fillId="15" borderId="17" xfId="0" applyNumberFormat="1" applyFont="1" applyFill="1" applyBorder="1" applyAlignment="1">
      <alignment horizontal="center" vertical="center"/>
    </xf>
    <xf numFmtId="178" fontId="52" fillId="15" borderId="0" xfId="0" applyNumberFormat="1" applyFont="1" applyFill="1" applyBorder="1" applyAlignment="1">
      <alignment horizontal="center" vertical="center"/>
    </xf>
    <xf numFmtId="178" fontId="56" fillId="15" borderId="106" xfId="0" applyNumberFormat="1" applyFont="1" applyFill="1" applyBorder="1" applyAlignment="1">
      <alignment horizontal="center" vertical="center"/>
    </xf>
    <xf numFmtId="178" fontId="52" fillId="6" borderId="14" xfId="0" applyNumberFormat="1" applyFont="1" applyFill="1" applyBorder="1" applyAlignment="1">
      <alignment horizontal="center" vertical="center"/>
    </xf>
    <xf numFmtId="178" fontId="52" fillId="15" borderId="20" xfId="0" applyNumberFormat="1" applyFont="1" applyFill="1" applyBorder="1" applyAlignment="1">
      <alignment horizontal="center" vertical="center"/>
    </xf>
    <xf numFmtId="178" fontId="52" fillId="6" borderId="20" xfId="0" applyNumberFormat="1" applyFont="1" applyFill="1" applyBorder="1" applyAlignment="1">
      <alignment horizontal="center" vertical="center"/>
    </xf>
    <xf numFmtId="178" fontId="52" fillId="6" borderId="15" xfId="0" applyNumberFormat="1" applyFont="1" applyFill="1" applyBorder="1" applyAlignment="1">
      <alignment horizontal="center" vertical="center"/>
    </xf>
    <xf numFmtId="178" fontId="52" fillId="6" borderId="21" xfId="0" applyNumberFormat="1" applyFont="1" applyFill="1" applyBorder="1" applyAlignment="1">
      <alignment horizontal="center" vertical="center"/>
    </xf>
    <xf numFmtId="178" fontId="52" fillId="6" borderId="16" xfId="0" applyNumberFormat="1" applyFont="1" applyFill="1" applyBorder="1" applyAlignment="1">
      <alignment horizontal="center" vertical="center"/>
    </xf>
    <xf numFmtId="0" fontId="52" fillId="6" borderId="14" xfId="0" applyFont="1" applyFill="1" applyBorder="1" applyAlignment="1">
      <alignment horizontal="center" vertical="center"/>
    </xf>
    <xf numFmtId="0" fontId="52" fillId="15" borderId="20" xfId="0" applyFont="1" applyFill="1" applyBorder="1" applyAlignment="1">
      <alignment horizontal="center" vertical="center"/>
    </xf>
    <xf numFmtId="0" fontId="52" fillId="6" borderId="20" xfId="0" applyFont="1" applyFill="1" applyBorder="1" applyAlignment="1">
      <alignment horizontal="center" vertical="center"/>
    </xf>
    <xf numFmtId="0" fontId="52" fillId="6" borderId="15" xfId="0" applyFont="1" applyFill="1" applyBorder="1" applyAlignment="1">
      <alignment horizontal="center" vertical="center"/>
    </xf>
    <xf numFmtId="0" fontId="52" fillId="6" borderId="21" xfId="0" applyFont="1" applyFill="1" applyBorder="1" applyAlignment="1">
      <alignment horizontal="center" vertical="center"/>
    </xf>
    <xf numFmtId="0" fontId="52" fillId="6" borderId="16" xfId="0" applyFont="1" applyFill="1" applyBorder="1" applyAlignment="1">
      <alignment horizontal="center" vertical="center"/>
    </xf>
    <xf numFmtId="0" fontId="40" fillId="6" borderId="20" xfId="0" applyFont="1" applyFill="1" applyBorder="1" applyAlignment="1">
      <alignment horizontal="center" vertical="center"/>
    </xf>
    <xf numFmtId="0" fontId="40" fillId="15" borderId="20" xfId="0" applyFont="1" applyFill="1" applyBorder="1" applyAlignment="1">
      <alignment horizontal="center" vertical="center"/>
    </xf>
    <xf numFmtId="0" fontId="40" fillId="15" borderId="16" xfId="0" applyFont="1" applyFill="1" applyBorder="1" applyAlignment="1">
      <alignment horizontal="center" vertical="center"/>
    </xf>
    <xf numFmtId="178" fontId="40" fillId="6" borderId="20" xfId="0" applyNumberFormat="1" applyFont="1" applyFill="1" applyBorder="1" applyAlignment="1">
      <alignment horizontal="center" vertical="center"/>
    </xf>
    <xf numFmtId="178" fontId="40" fillId="15" borderId="20" xfId="0" applyNumberFormat="1" applyFont="1" applyFill="1" applyBorder="1" applyAlignment="1">
      <alignment horizontal="center" vertical="center"/>
    </xf>
    <xf numFmtId="178" fontId="40" fillId="15" borderId="16" xfId="0" applyNumberFormat="1" applyFont="1" applyFill="1" applyBorder="1" applyAlignment="1">
      <alignment horizontal="center" vertical="center"/>
    </xf>
    <xf numFmtId="0" fontId="66" fillId="6" borderId="16" xfId="0" applyFont="1" applyFill="1" applyBorder="1" applyAlignment="1">
      <alignment horizontal="center" vertical="center"/>
    </xf>
    <xf numFmtId="0" fontId="66" fillId="6" borderId="14" xfId="0" applyFont="1" applyFill="1" applyBorder="1" applyAlignment="1">
      <alignment horizontal="center" vertical="center"/>
    </xf>
    <xf numFmtId="0" fontId="66" fillId="15" borderId="20" xfId="0" applyFont="1" applyFill="1" applyBorder="1" applyAlignment="1">
      <alignment horizontal="center" vertical="center"/>
    </xf>
    <xf numFmtId="0" fontId="66" fillId="6" borderId="20" xfId="0" applyFont="1" applyFill="1" applyBorder="1" applyAlignment="1">
      <alignment horizontal="center" vertical="center"/>
    </xf>
    <xf numFmtId="0" fontId="66" fillId="15" borderId="16" xfId="0" applyFont="1" applyFill="1" applyBorder="1" applyAlignment="1">
      <alignment horizontal="center" vertical="center"/>
    </xf>
    <xf numFmtId="0" fontId="62" fillId="6" borderId="14" xfId="0" applyFont="1" applyFill="1" applyBorder="1" applyAlignment="1">
      <alignment horizontal="center" vertical="center"/>
    </xf>
    <xf numFmtId="178" fontId="62" fillId="6" borderId="14" xfId="0" applyNumberFormat="1" applyFont="1" applyFill="1" applyBorder="1" applyAlignment="1">
      <alignment horizontal="center" vertical="center"/>
    </xf>
    <xf numFmtId="0" fontId="66" fillId="6" borderId="107" xfId="0" applyFont="1" applyFill="1" applyBorder="1" applyAlignment="1">
      <alignment horizontal="center" vertical="center"/>
    </xf>
    <xf numFmtId="0" fontId="66" fillId="6" borderId="49" xfId="0" applyFont="1" applyFill="1" applyBorder="1" applyAlignment="1">
      <alignment horizontal="center" vertical="center"/>
    </xf>
    <xf numFmtId="0" fontId="40" fillId="6" borderId="106" xfId="0" applyFont="1" applyFill="1" applyBorder="1" applyAlignment="1">
      <alignment horizontal="center" vertical="center"/>
    </xf>
    <xf numFmtId="0" fontId="40" fillId="6" borderId="44" xfId="0" applyFont="1" applyFill="1" applyBorder="1" applyAlignment="1">
      <alignment horizontal="center" vertical="center"/>
    </xf>
    <xf numFmtId="0" fontId="40" fillId="15" borderId="106" xfId="0" applyFont="1" applyFill="1" applyBorder="1" applyAlignment="1">
      <alignment horizontal="center" vertical="center"/>
    </xf>
    <xf numFmtId="0" fontId="40" fillId="15" borderId="44" xfId="0" applyFont="1" applyFill="1" applyBorder="1" applyAlignment="1">
      <alignment horizontal="center" vertical="center"/>
    </xf>
    <xf numFmtId="0" fontId="40" fillId="15" borderId="107" xfId="0" applyFont="1" applyFill="1" applyBorder="1" applyAlignment="1">
      <alignment horizontal="center" vertical="center"/>
    </xf>
    <xf numFmtId="0" fontId="40" fillId="15" borderId="49" xfId="0" applyFont="1" applyFill="1" applyBorder="1" applyAlignment="1">
      <alignment horizontal="center" vertical="center"/>
    </xf>
    <xf numFmtId="0" fontId="62" fillId="6" borderId="105" xfId="0" applyFont="1" applyFill="1" applyBorder="1" applyAlignment="1">
      <alignment horizontal="center" vertical="center"/>
    </xf>
    <xf numFmtId="0" fontId="62" fillId="6" borderId="108" xfId="0" applyFont="1" applyFill="1" applyBorder="1" applyAlignment="1">
      <alignment horizontal="center" vertical="center"/>
    </xf>
    <xf numFmtId="178" fontId="40" fillId="6" borderId="106" xfId="0" applyNumberFormat="1" applyFont="1" applyFill="1" applyBorder="1" applyAlignment="1">
      <alignment horizontal="center" vertical="center"/>
    </xf>
    <xf numFmtId="178" fontId="40" fillId="6" borderId="44" xfId="0" applyNumberFormat="1" applyFont="1" applyFill="1" applyBorder="1" applyAlignment="1">
      <alignment horizontal="center" vertical="center"/>
    </xf>
    <xf numFmtId="178" fontId="40" fillId="15" borderId="106" xfId="0" applyNumberFormat="1" applyFont="1" applyFill="1" applyBorder="1" applyAlignment="1">
      <alignment horizontal="center" vertical="center"/>
    </xf>
    <xf numFmtId="178" fontId="40" fillId="15" borderId="44" xfId="0" applyNumberFormat="1" applyFont="1" applyFill="1" applyBorder="1" applyAlignment="1">
      <alignment horizontal="center" vertical="center"/>
    </xf>
    <xf numFmtId="178" fontId="40" fillId="15" borderId="107" xfId="0" applyNumberFormat="1" applyFont="1" applyFill="1" applyBorder="1" applyAlignment="1">
      <alignment horizontal="center" vertical="center"/>
    </xf>
    <xf numFmtId="178" fontId="40" fillId="15" borderId="49" xfId="0" applyNumberFormat="1" applyFont="1" applyFill="1" applyBorder="1" applyAlignment="1">
      <alignment horizontal="center" vertical="center"/>
    </xf>
    <xf numFmtId="178" fontId="62" fillId="6" borderId="105" xfId="0" applyNumberFormat="1" applyFont="1" applyFill="1" applyBorder="1" applyAlignment="1">
      <alignment horizontal="center" vertical="center"/>
    </xf>
    <xf numFmtId="178" fontId="62" fillId="6" borderId="108" xfId="0" applyNumberFormat="1" applyFont="1" applyFill="1" applyBorder="1" applyAlignment="1">
      <alignment horizontal="center" vertical="center"/>
    </xf>
    <xf numFmtId="0" fontId="52" fillId="6" borderId="0" xfId="0" applyFont="1" applyFill="1" applyBorder="1" applyAlignment="1">
      <alignment horizontal="right" vertical="center"/>
    </xf>
    <xf numFmtId="0" fontId="40" fillId="6" borderId="0" xfId="0" applyFont="1" applyFill="1" applyBorder="1" applyAlignment="1">
      <alignment horizontal="right"/>
    </xf>
    <xf numFmtId="0" fontId="40" fillId="6" borderId="0" xfId="0" applyFont="1" applyFill="1" applyBorder="1" applyAlignment="1">
      <alignment horizontal="right" vertical="center"/>
    </xf>
    <xf numFmtId="0" fontId="62" fillId="6" borderId="13" xfId="0" applyFont="1" applyFill="1" applyBorder="1" applyAlignment="1">
      <alignment horizontal="right" vertical="center"/>
    </xf>
    <xf numFmtId="0" fontId="62" fillId="15" borderId="17" xfId="0" applyFont="1" applyFill="1" applyBorder="1" applyAlignment="1">
      <alignment horizontal="right" vertical="center"/>
    </xf>
    <xf numFmtId="0" fontId="62" fillId="6" borderId="17" xfId="0" applyFont="1" applyFill="1" applyBorder="1" applyAlignment="1">
      <alignment horizontal="right" vertical="center"/>
    </xf>
    <xf numFmtId="0" fontId="62" fillId="15" borderId="15" xfId="0" applyFont="1" applyFill="1" applyBorder="1" applyAlignment="1">
      <alignment horizontal="right" vertical="center"/>
    </xf>
    <xf numFmtId="178" fontId="62" fillId="6" borderId="13" xfId="0" applyNumberFormat="1" applyFont="1" applyFill="1" applyBorder="1" applyAlignment="1">
      <alignment horizontal="right" vertical="center"/>
    </xf>
    <xf numFmtId="178" fontId="62" fillId="15" borderId="17" xfId="0" applyNumberFormat="1" applyFont="1" applyFill="1" applyBorder="1" applyAlignment="1">
      <alignment horizontal="right" vertical="center"/>
    </xf>
    <xf numFmtId="178" fontId="62" fillId="6" borderId="17" xfId="0" applyNumberFormat="1" applyFont="1" applyFill="1" applyBorder="1" applyAlignment="1">
      <alignment horizontal="right" vertical="center"/>
    </xf>
    <xf numFmtId="178" fontId="62" fillId="15" borderId="15" xfId="0" applyNumberFormat="1" applyFont="1" applyFill="1" applyBorder="1" applyAlignment="1">
      <alignment horizontal="right" vertical="center"/>
    </xf>
    <xf numFmtId="2" fontId="40" fillId="6" borderId="0" xfId="0" applyNumberFormat="1" applyFont="1" applyFill="1" applyBorder="1" applyAlignment="1">
      <alignment horizontal="right" vertical="center"/>
    </xf>
    <xf numFmtId="0" fontId="0" fillId="15" borderId="0" xfId="0" applyFill="1"/>
    <xf numFmtId="0" fontId="46" fillId="15" borderId="0" xfId="0" applyFont="1" applyFill="1" applyAlignment="1">
      <alignment horizontal="right" indent="1"/>
    </xf>
    <xf numFmtId="173" fontId="46" fillId="15" borderId="0" xfId="0" applyNumberFormat="1" applyFont="1" applyFill="1" applyAlignment="1">
      <alignment horizontal="right" indent="1"/>
    </xf>
    <xf numFmtId="164" fontId="46" fillId="15" borderId="0" xfId="0" applyNumberFormat="1" applyFont="1" applyFill="1" applyAlignment="1">
      <alignment horizontal="right" indent="1"/>
    </xf>
    <xf numFmtId="49" fontId="47" fillId="6" borderId="21" xfId="0" applyNumberFormat="1" applyFont="1" applyFill="1" applyBorder="1" applyAlignment="1">
      <alignment horizontal="right" indent="1"/>
    </xf>
    <xf numFmtId="181" fontId="40" fillId="6" borderId="106" xfId="0" applyNumberFormat="1" applyFont="1" applyFill="1" applyBorder="1" applyAlignment="1">
      <alignment horizontal="center" vertical="center"/>
    </xf>
    <xf numFmtId="181" fontId="40" fillId="6" borderId="44" xfId="0" applyNumberFormat="1" applyFont="1" applyFill="1" applyBorder="1" applyAlignment="1">
      <alignment horizontal="center" vertical="center"/>
    </xf>
    <xf numFmtId="181" fontId="40" fillId="6" borderId="20" xfId="0" applyNumberFormat="1" applyFont="1" applyFill="1" applyBorder="1" applyAlignment="1">
      <alignment horizontal="center" vertical="center"/>
    </xf>
    <xf numFmtId="182" fontId="40" fillId="15" borderId="106" xfId="0" applyNumberFormat="1" applyFont="1" applyFill="1" applyBorder="1" applyAlignment="1">
      <alignment horizontal="center" vertical="center"/>
    </xf>
    <xf numFmtId="182" fontId="40" fillId="15" borderId="44" xfId="0" applyNumberFormat="1" applyFont="1" applyFill="1" applyBorder="1" applyAlignment="1">
      <alignment horizontal="center" vertical="center"/>
    </xf>
    <xf numFmtId="182" fontId="40" fillId="15" borderId="20" xfId="0" applyNumberFormat="1" applyFont="1" applyFill="1" applyBorder="1" applyAlignment="1">
      <alignment horizontal="center" vertical="center"/>
    </xf>
    <xf numFmtId="183" fontId="40" fillId="6" borderId="106" xfId="0" applyNumberFormat="1" applyFont="1" applyFill="1" applyBorder="1" applyAlignment="1">
      <alignment horizontal="center" vertical="center"/>
    </xf>
    <xf numFmtId="183" fontId="40" fillId="6" borderId="44" xfId="0" applyNumberFormat="1" applyFont="1" applyFill="1" applyBorder="1" applyAlignment="1">
      <alignment horizontal="center" vertical="center"/>
    </xf>
    <xf numFmtId="183" fontId="40" fillId="6" borderId="20" xfId="0" applyNumberFormat="1" applyFont="1" applyFill="1" applyBorder="1" applyAlignment="1">
      <alignment horizontal="center" vertical="center"/>
    </xf>
    <xf numFmtId="184" fontId="40" fillId="15" borderId="106" xfId="0" applyNumberFormat="1" applyFont="1" applyFill="1" applyBorder="1" applyAlignment="1">
      <alignment horizontal="center" vertical="center"/>
    </xf>
    <xf numFmtId="184" fontId="40" fillId="15" borderId="44" xfId="0" applyNumberFormat="1" applyFont="1" applyFill="1" applyBorder="1" applyAlignment="1">
      <alignment horizontal="center" vertical="center"/>
    </xf>
    <xf numFmtId="184" fontId="40" fillId="15" borderId="20" xfId="0" applyNumberFormat="1" applyFont="1" applyFill="1" applyBorder="1" applyAlignment="1">
      <alignment horizontal="center" vertical="center"/>
    </xf>
    <xf numFmtId="185" fontId="40" fillId="6" borderId="106" xfId="0" applyNumberFormat="1" applyFont="1" applyFill="1" applyBorder="1" applyAlignment="1">
      <alignment horizontal="center" vertical="center"/>
    </xf>
    <xf numFmtId="185" fontId="40" fillId="6" borderId="44" xfId="0" applyNumberFormat="1" applyFont="1" applyFill="1" applyBorder="1" applyAlignment="1">
      <alignment horizontal="center" vertical="center"/>
    </xf>
    <xf numFmtId="185" fontId="40" fillId="6" borderId="20" xfId="0" applyNumberFormat="1" applyFont="1" applyFill="1" applyBorder="1" applyAlignment="1">
      <alignment horizontal="center" vertical="center"/>
    </xf>
    <xf numFmtId="186" fontId="40" fillId="15" borderId="106" xfId="0" applyNumberFormat="1" applyFont="1" applyFill="1" applyBorder="1" applyAlignment="1">
      <alignment horizontal="center" vertical="center"/>
    </xf>
    <xf numFmtId="186" fontId="40" fillId="15" borderId="44" xfId="0" applyNumberFormat="1" applyFont="1" applyFill="1" applyBorder="1" applyAlignment="1">
      <alignment horizontal="center" vertical="center"/>
    </xf>
    <xf numFmtId="186" fontId="40" fillId="15" borderId="20" xfId="0" applyNumberFormat="1" applyFont="1" applyFill="1" applyBorder="1" applyAlignment="1">
      <alignment horizontal="center" vertical="center"/>
    </xf>
    <xf numFmtId="187" fontId="40" fillId="6" borderId="106" xfId="0" applyNumberFormat="1" applyFont="1" applyFill="1" applyBorder="1" applyAlignment="1">
      <alignment horizontal="center" vertical="center"/>
    </xf>
    <xf numFmtId="187" fontId="40" fillId="6" borderId="44" xfId="0" applyNumberFormat="1" applyFont="1" applyFill="1" applyBorder="1" applyAlignment="1">
      <alignment horizontal="center" vertical="center"/>
    </xf>
    <xf numFmtId="187" fontId="40" fillId="6" borderId="20" xfId="0" applyNumberFormat="1" applyFont="1" applyFill="1" applyBorder="1" applyAlignment="1">
      <alignment horizontal="center" vertical="center"/>
    </xf>
    <xf numFmtId="188" fontId="40" fillId="6" borderId="106" xfId="0" applyNumberFormat="1" applyFont="1" applyFill="1" applyBorder="1" applyAlignment="1">
      <alignment horizontal="center" vertical="center"/>
    </xf>
    <xf numFmtId="188" fontId="40" fillId="6" borderId="44" xfId="0" applyNumberFormat="1" applyFont="1" applyFill="1" applyBorder="1" applyAlignment="1">
      <alignment horizontal="center" vertical="center"/>
    </xf>
    <xf numFmtId="188" fontId="40" fillId="6" borderId="20" xfId="0" applyNumberFormat="1" applyFont="1" applyFill="1" applyBorder="1" applyAlignment="1">
      <alignment horizontal="center" vertical="center"/>
    </xf>
    <xf numFmtId="189" fontId="40" fillId="15" borderId="107" xfId="0" applyNumberFormat="1" applyFont="1" applyFill="1" applyBorder="1" applyAlignment="1">
      <alignment horizontal="center" vertical="center"/>
    </xf>
    <xf numFmtId="189" fontId="40" fillId="15" borderId="49" xfId="0" applyNumberFormat="1" applyFont="1" applyFill="1" applyBorder="1" applyAlignment="1">
      <alignment horizontal="center" vertical="center"/>
    </xf>
    <xf numFmtId="189" fontId="40" fillId="15" borderId="16" xfId="0" applyNumberFormat="1" applyFont="1" applyFill="1" applyBorder="1" applyAlignment="1">
      <alignment horizontal="center" vertical="center"/>
    </xf>
    <xf numFmtId="181" fontId="62" fillId="6" borderId="13" xfId="0" applyNumberFormat="1" applyFont="1" applyFill="1" applyBorder="1" applyAlignment="1">
      <alignment horizontal="right" vertical="center"/>
    </xf>
    <xf numFmtId="182" fontId="62" fillId="15" borderId="17" xfId="0" applyNumberFormat="1" applyFont="1" applyFill="1" applyBorder="1" applyAlignment="1">
      <alignment horizontal="right" vertical="center"/>
    </xf>
    <xf numFmtId="183" fontId="62" fillId="6" borderId="17" xfId="0" applyNumberFormat="1" applyFont="1" applyFill="1" applyBorder="1" applyAlignment="1">
      <alignment horizontal="right" vertical="center"/>
    </xf>
    <xf numFmtId="184" fontId="62" fillId="15" borderId="17" xfId="0" applyNumberFormat="1" applyFont="1" applyFill="1" applyBorder="1" applyAlignment="1">
      <alignment horizontal="right" vertical="center"/>
    </xf>
    <xf numFmtId="185" fontId="62" fillId="6" borderId="17" xfId="0" applyNumberFormat="1" applyFont="1" applyFill="1" applyBorder="1" applyAlignment="1">
      <alignment horizontal="right" vertical="center"/>
    </xf>
    <xf numFmtId="186" fontId="62" fillId="15" borderId="17" xfId="0" applyNumberFormat="1" applyFont="1" applyFill="1" applyBorder="1" applyAlignment="1">
      <alignment horizontal="right" vertical="center"/>
    </xf>
    <xf numFmtId="187" fontId="62" fillId="6" borderId="17" xfId="0" applyNumberFormat="1" applyFont="1" applyFill="1" applyBorder="1" applyAlignment="1">
      <alignment horizontal="right" vertical="center"/>
    </xf>
    <xf numFmtId="188" fontId="62" fillId="6" borderId="17" xfId="0" applyNumberFormat="1" applyFont="1" applyFill="1" applyBorder="1" applyAlignment="1">
      <alignment horizontal="right" vertical="center"/>
    </xf>
    <xf numFmtId="189" fontId="62" fillId="15" borderId="15" xfId="0" applyNumberFormat="1" applyFont="1" applyFill="1" applyBorder="1" applyAlignment="1">
      <alignment horizontal="right" vertical="center"/>
    </xf>
    <xf numFmtId="188" fontId="40" fillId="15" borderId="106" xfId="0" applyNumberFormat="1" applyFont="1" applyFill="1" applyBorder="1" applyAlignment="1">
      <alignment horizontal="center" vertical="center"/>
    </xf>
    <xf numFmtId="188" fontId="40" fillId="15" borderId="107" xfId="0" applyNumberFormat="1" applyFont="1" applyFill="1" applyBorder="1" applyAlignment="1">
      <alignment horizontal="center" vertical="center"/>
    </xf>
    <xf numFmtId="188" fontId="62" fillId="6" borderId="105" xfId="0" applyNumberFormat="1" applyFont="1" applyFill="1" applyBorder="1" applyAlignment="1">
      <alignment horizontal="center" vertical="center"/>
    </xf>
    <xf numFmtId="190" fontId="40" fillId="6" borderId="44" xfId="0" applyNumberFormat="1" applyFont="1" applyFill="1" applyBorder="1" applyAlignment="1">
      <alignment horizontal="center" vertical="center"/>
    </xf>
    <xf numFmtId="190" fontId="40" fillId="15" borderId="44" xfId="0" applyNumberFormat="1" applyFont="1" applyFill="1" applyBorder="1" applyAlignment="1">
      <alignment horizontal="center" vertical="center"/>
    </xf>
    <xf numFmtId="190" fontId="40" fillId="15" borderId="49" xfId="0" applyNumberFormat="1" applyFont="1" applyFill="1" applyBorder="1" applyAlignment="1">
      <alignment horizontal="center" vertical="center"/>
    </xf>
    <xf numFmtId="190" fontId="62" fillId="6" borderId="108" xfId="0" applyNumberFormat="1" applyFont="1" applyFill="1" applyBorder="1" applyAlignment="1">
      <alignment horizontal="center" vertical="center"/>
    </xf>
    <xf numFmtId="188" fontId="40" fillId="15" borderId="44" xfId="0" applyNumberFormat="1" applyFont="1" applyFill="1" applyBorder="1" applyAlignment="1">
      <alignment horizontal="center" vertical="center"/>
    </xf>
    <xf numFmtId="188" fontId="40" fillId="15" borderId="49" xfId="0" applyNumberFormat="1" applyFont="1" applyFill="1" applyBorder="1" applyAlignment="1">
      <alignment horizontal="center" vertical="center"/>
    </xf>
    <xf numFmtId="188" fontId="62" fillId="6" borderId="108" xfId="0" applyNumberFormat="1" applyFont="1" applyFill="1" applyBorder="1" applyAlignment="1">
      <alignment horizontal="center" vertical="center"/>
    </xf>
    <xf numFmtId="188" fontId="40" fillId="15" borderId="20" xfId="0" applyNumberFormat="1" applyFont="1" applyFill="1" applyBorder="1" applyAlignment="1">
      <alignment horizontal="center" vertical="center"/>
    </xf>
    <xf numFmtId="188" fontId="40" fillId="15" borderId="16" xfId="0" applyNumberFormat="1" applyFont="1" applyFill="1" applyBorder="1" applyAlignment="1">
      <alignment horizontal="center" vertical="center"/>
    </xf>
    <xf numFmtId="188" fontId="62" fillId="6" borderId="14" xfId="0" applyNumberFormat="1" applyFont="1" applyFill="1" applyBorder="1" applyAlignment="1">
      <alignment horizontal="center" vertical="center"/>
    </xf>
    <xf numFmtId="189" fontId="40" fillId="6" borderId="44" xfId="0" applyNumberFormat="1" applyFont="1" applyFill="1" applyBorder="1" applyAlignment="1">
      <alignment horizontal="center" vertical="center"/>
    </xf>
    <xf numFmtId="189" fontId="40" fillId="15" borderId="44" xfId="0" applyNumberFormat="1" applyFont="1" applyFill="1" applyBorder="1" applyAlignment="1">
      <alignment horizontal="center" vertical="center"/>
    </xf>
    <xf numFmtId="189" fontId="62" fillId="6" borderId="108" xfId="0" applyNumberFormat="1" applyFont="1" applyFill="1" applyBorder="1" applyAlignment="1">
      <alignment horizontal="center" vertical="center"/>
    </xf>
    <xf numFmtId="181" fontId="40" fillId="15" borderId="44" xfId="0" applyNumberFormat="1" applyFont="1" applyFill="1" applyBorder="1" applyAlignment="1">
      <alignment horizontal="center" vertical="center"/>
    </xf>
    <xf numFmtId="181" fontId="40" fillId="15" borderId="49" xfId="0" applyNumberFormat="1" applyFont="1" applyFill="1" applyBorder="1" applyAlignment="1">
      <alignment horizontal="center" vertical="center"/>
    </xf>
    <xf numFmtId="181" fontId="62" fillId="6" borderId="108" xfId="0" applyNumberFormat="1" applyFont="1" applyFill="1" applyBorder="1" applyAlignment="1">
      <alignment horizontal="center" vertical="center"/>
    </xf>
    <xf numFmtId="191" fontId="40" fillId="6" borderId="44" xfId="0" applyNumberFormat="1" applyFont="1" applyFill="1" applyBorder="1" applyAlignment="1">
      <alignment horizontal="center" vertical="center"/>
    </xf>
    <xf numFmtId="191" fontId="40" fillId="15" borderId="44" xfId="0" applyNumberFormat="1" applyFont="1" applyFill="1" applyBorder="1" applyAlignment="1">
      <alignment horizontal="center" vertical="center"/>
    </xf>
    <xf numFmtId="191" fontId="40" fillId="15" borderId="49" xfId="0" applyNumberFormat="1" applyFont="1" applyFill="1" applyBorder="1" applyAlignment="1">
      <alignment horizontal="center" vertical="center"/>
    </xf>
    <xf numFmtId="191" fontId="62" fillId="6" borderId="108" xfId="0" applyNumberFormat="1" applyFont="1" applyFill="1" applyBorder="1" applyAlignment="1">
      <alignment horizontal="center" vertical="center"/>
    </xf>
    <xf numFmtId="1" fontId="52" fillId="6" borderId="0" xfId="0" applyNumberFormat="1" applyFont="1" applyFill="1" applyBorder="1" applyAlignment="1">
      <alignment vertical="center"/>
    </xf>
    <xf numFmtId="192" fontId="52" fillId="6" borderId="0" xfId="0" applyNumberFormat="1" applyFont="1" applyFill="1" applyBorder="1" applyAlignment="1">
      <alignment vertical="center"/>
    </xf>
    <xf numFmtId="170" fontId="52" fillId="6" borderId="0" xfId="0" applyNumberFormat="1" applyFont="1" applyFill="1" applyBorder="1" applyAlignment="1">
      <alignment vertical="center"/>
    </xf>
    <xf numFmtId="0" fontId="40" fillId="6" borderId="0" xfId="0" applyFont="1" applyFill="1"/>
    <xf numFmtId="0" fontId="40" fillId="6" borderId="113" xfId="0" applyFont="1" applyFill="1" applyBorder="1" applyAlignment="1">
      <alignment horizontal="center"/>
    </xf>
    <xf numFmtId="0" fontId="40" fillId="6" borderId="114" xfId="0" applyFont="1" applyFill="1" applyBorder="1" applyAlignment="1">
      <alignment horizontal="center"/>
    </xf>
    <xf numFmtId="0" fontId="2" fillId="6" borderId="0" xfId="0" applyFont="1" applyFill="1" applyAlignment="1">
      <alignment horizontal="left" indent="1"/>
    </xf>
    <xf numFmtId="164" fontId="40" fillId="6" borderId="0" xfId="0" applyNumberFormat="1" applyFont="1" applyFill="1" applyAlignment="1">
      <alignment horizontal="left" indent="1"/>
    </xf>
    <xf numFmtId="0" fontId="40" fillId="6" borderId="115" xfId="0" applyFont="1" applyFill="1" applyBorder="1" applyAlignment="1">
      <alignment horizontal="right" indent="1"/>
    </xf>
    <xf numFmtId="0" fontId="40" fillId="6" borderId="116" xfId="0" applyFont="1" applyFill="1" applyBorder="1" applyAlignment="1">
      <alignment horizontal="right" indent="1"/>
    </xf>
    <xf numFmtId="164" fontId="40" fillId="6" borderId="0" xfId="0" applyNumberFormat="1" applyFont="1" applyFill="1" applyAlignment="1">
      <alignment horizontal="right" indent="1"/>
    </xf>
    <xf numFmtId="165" fontId="52" fillId="2" borderId="47" xfId="0" applyNumberFormat="1" applyFont="1" applyFill="1" applyBorder="1" applyAlignment="1">
      <alignment horizontal="right" indent="1"/>
    </xf>
    <xf numFmtId="165" fontId="52" fillId="2" borderId="117" xfId="0" applyNumberFormat="1" applyFont="1" applyFill="1" applyBorder="1" applyAlignment="1">
      <alignment horizontal="right" indent="1"/>
    </xf>
    <xf numFmtId="165" fontId="52" fillId="2" borderId="25" xfId="0" applyNumberFormat="1" applyFont="1" applyFill="1" applyBorder="1" applyAlignment="1">
      <alignment horizontal="right" indent="1"/>
    </xf>
    <xf numFmtId="165" fontId="40" fillId="6" borderId="0" xfId="0" applyNumberFormat="1" applyFont="1" applyFill="1" applyAlignment="1">
      <alignment horizontal="right" indent="1"/>
    </xf>
    <xf numFmtId="0" fontId="40" fillId="6" borderId="0" xfId="0" applyFont="1" applyFill="1" applyBorder="1" applyAlignment="1">
      <alignment horizontal="right" indent="1"/>
    </xf>
    <xf numFmtId="165" fontId="52" fillId="6" borderId="0" xfId="0" applyNumberFormat="1" applyFont="1" applyFill="1" applyAlignment="1">
      <alignment horizontal="right" indent="1"/>
    </xf>
    <xf numFmtId="165" fontId="53" fillId="6" borderId="0" xfId="0" applyNumberFormat="1" applyFont="1" applyFill="1" applyAlignment="1">
      <alignment horizontal="right" indent="1"/>
    </xf>
    <xf numFmtId="164" fontId="52" fillId="6" borderId="0" xfId="0" applyNumberFormat="1" applyFont="1" applyFill="1" applyAlignment="1">
      <alignment horizontal="right" indent="1"/>
    </xf>
    <xf numFmtId="0" fontId="56" fillId="6" borderId="13" xfId="0" applyFont="1" applyFill="1" applyBorder="1"/>
    <xf numFmtId="0" fontId="52" fillId="6" borderId="18" xfId="0" applyFont="1" applyFill="1" applyBorder="1"/>
    <xf numFmtId="0" fontId="53" fillId="6" borderId="18" xfId="0" applyFont="1" applyFill="1" applyBorder="1" applyAlignment="1">
      <alignment horizontal="right" indent="1"/>
    </xf>
    <xf numFmtId="164" fontId="52" fillId="6" borderId="14" xfId="0" applyNumberFormat="1" applyFont="1" applyFill="1" applyBorder="1" applyAlignment="1">
      <alignment horizontal="right" indent="1"/>
    </xf>
    <xf numFmtId="0" fontId="40" fillId="6" borderId="17" xfId="0" applyFont="1" applyFill="1" applyBorder="1"/>
    <xf numFmtId="0" fontId="52" fillId="6" borderId="0" xfId="0" applyFont="1" applyFill="1" applyBorder="1"/>
    <xf numFmtId="0" fontId="52" fillId="6" borderId="0" xfId="0" applyFont="1" applyFill="1" applyBorder="1" applyAlignment="1">
      <alignment horizontal="right"/>
    </xf>
    <xf numFmtId="0" fontId="53" fillId="6" borderId="0" xfId="0" applyFont="1" applyFill="1" applyBorder="1" applyAlignment="1">
      <alignment horizontal="right" indent="1"/>
    </xf>
    <xf numFmtId="164" fontId="52" fillId="6" borderId="20" xfId="0" applyNumberFormat="1" applyFont="1" applyFill="1" applyBorder="1" applyAlignment="1">
      <alignment horizontal="right" indent="1"/>
    </xf>
    <xf numFmtId="1" fontId="52" fillId="6" borderId="20" xfId="0" applyNumberFormat="1" applyFont="1" applyFill="1" applyBorder="1" applyAlignment="1">
      <alignment horizontal="right" indent="1"/>
    </xf>
    <xf numFmtId="0" fontId="52" fillId="6" borderId="0" xfId="0" applyFont="1" applyFill="1" applyBorder="1" applyAlignment="1">
      <alignment horizontal="right" indent="1"/>
    </xf>
    <xf numFmtId="0" fontId="40" fillId="6" borderId="15" xfId="0" applyFont="1" applyFill="1" applyBorder="1"/>
    <xf numFmtId="0" fontId="52" fillId="6" borderId="21" xfId="0" applyFont="1" applyFill="1" applyBorder="1"/>
    <xf numFmtId="0" fontId="52" fillId="6" borderId="21" xfId="0" applyFont="1" applyFill="1" applyBorder="1" applyAlignment="1">
      <alignment horizontal="right"/>
    </xf>
    <xf numFmtId="0" fontId="53" fillId="6" borderId="21" xfId="0" applyFont="1" applyFill="1" applyBorder="1" applyAlignment="1">
      <alignment horizontal="right" indent="1"/>
    </xf>
    <xf numFmtId="164" fontId="52" fillId="6" borderId="16" xfId="0" applyNumberFormat="1" applyFont="1" applyFill="1" applyBorder="1" applyAlignment="1">
      <alignment horizontal="right" indent="1"/>
    </xf>
    <xf numFmtId="1" fontId="52" fillId="2" borderId="47" xfId="0" applyNumberFormat="1" applyFont="1" applyFill="1" applyBorder="1" applyAlignment="1">
      <alignment horizontal="right" indent="1"/>
    </xf>
    <xf numFmtId="1" fontId="52" fillId="2" borderId="117" xfId="0" applyNumberFormat="1" applyFont="1" applyFill="1" applyBorder="1" applyAlignment="1">
      <alignment horizontal="right" indent="1"/>
    </xf>
    <xf numFmtId="1" fontId="52" fillId="2" borderId="25" xfId="0" applyNumberFormat="1" applyFont="1" applyFill="1" applyBorder="1" applyAlignment="1">
      <alignment horizontal="right" indent="1"/>
    </xf>
    <xf numFmtId="1" fontId="40" fillId="6" borderId="0" xfId="0" applyNumberFormat="1" applyFont="1" applyFill="1" applyAlignment="1">
      <alignment horizontal="left" indent="1"/>
    </xf>
    <xf numFmtId="1" fontId="40" fillId="6" borderId="0" xfId="0" applyNumberFormat="1" applyFont="1" applyFill="1" applyAlignment="1">
      <alignment horizontal="right" indent="1"/>
    </xf>
    <xf numFmtId="0" fontId="40" fillId="6" borderId="4" xfId="0" applyFont="1" applyFill="1" applyBorder="1" applyAlignment="1">
      <alignment horizontal="center"/>
    </xf>
    <xf numFmtId="0" fontId="40" fillId="6" borderId="118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right" indent="1"/>
    </xf>
    <xf numFmtId="0" fontId="40" fillId="6" borderId="9" xfId="0" applyFont="1" applyFill="1" applyBorder="1" applyAlignment="1">
      <alignment horizontal="right" indent="1"/>
    </xf>
    <xf numFmtId="0" fontId="40" fillId="6" borderId="3" xfId="0" applyFont="1" applyFill="1" applyBorder="1" applyAlignment="1">
      <alignment horizontal="right" indent="1"/>
    </xf>
    <xf numFmtId="0" fontId="40" fillId="6" borderId="120" xfId="0" applyFont="1" applyFill="1" applyBorder="1" applyAlignment="1">
      <alignment horizontal="right" indent="1"/>
    </xf>
    <xf numFmtId="164" fontId="52" fillId="2" borderId="119" xfId="0" applyNumberFormat="1" applyFont="1" applyFill="1" applyBorder="1" applyAlignment="1">
      <alignment horizontal="right" indent="1"/>
    </xf>
    <xf numFmtId="1" fontId="52" fillId="2" borderId="119" xfId="0" applyNumberFormat="1" applyFont="1" applyFill="1" applyBorder="1" applyAlignment="1">
      <alignment horizontal="right" indent="1"/>
    </xf>
    <xf numFmtId="165" fontId="52" fillId="2" borderId="119" xfId="0" applyNumberFormat="1" applyFont="1" applyFill="1" applyBorder="1" applyAlignment="1">
      <alignment horizontal="right" indent="1"/>
    </xf>
    <xf numFmtId="164" fontId="52" fillId="2" borderId="121" xfId="0" applyNumberFormat="1" applyFont="1" applyFill="1" applyBorder="1" applyAlignment="1">
      <alignment horizontal="right" indent="1"/>
    </xf>
    <xf numFmtId="165" fontId="52" fillId="2" borderId="121" xfId="0" applyNumberFormat="1" applyFont="1" applyFill="1" applyBorder="1" applyAlignment="1">
      <alignment horizontal="right" indent="1"/>
    </xf>
    <xf numFmtId="1" fontId="52" fillId="2" borderId="121" xfId="0" applyNumberFormat="1" applyFont="1" applyFill="1" applyBorder="1" applyAlignment="1">
      <alignment horizontal="right" indent="1"/>
    </xf>
    <xf numFmtId="1" fontId="52" fillId="2" borderId="122" xfId="0" applyNumberFormat="1" applyFont="1" applyFill="1" applyBorder="1" applyAlignment="1">
      <alignment horizontal="right" indent="1"/>
    </xf>
    <xf numFmtId="164" fontId="52" fillId="2" borderId="47" xfId="0" applyNumberFormat="1" applyFont="1" applyFill="1" applyBorder="1" applyAlignment="1">
      <alignment horizontal="right" indent="1"/>
    </xf>
    <xf numFmtId="164" fontId="52" fillId="2" borderId="117" xfId="0" applyNumberFormat="1" applyFont="1" applyFill="1" applyBorder="1" applyAlignment="1">
      <alignment horizontal="right" indent="1"/>
    </xf>
    <xf numFmtId="164" fontId="52" fillId="2" borderId="122" xfId="0" applyNumberFormat="1" applyFont="1" applyFill="1" applyBorder="1" applyAlignment="1">
      <alignment horizontal="right" indent="1"/>
    </xf>
    <xf numFmtId="164" fontId="52" fillId="2" borderId="25" xfId="0" applyNumberFormat="1" applyFont="1" applyFill="1" applyBorder="1" applyAlignment="1">
      <alignment horizontal="right" indent="1"/>
    </xf>
    <xf numFmtId="165" fontId="52" fillId="2" borderId="122" xfId="0" applyNumberFormat="1" applyFont="1" applyFill="1" applyBorder="1" applyAlignment="1">
      <alignment horizontal="right" indent="1"/>
    </xf>
    <xf numFmtId="0" fontId="40" fillId="6" borderId="0" xfId="0" applyFont="1" applyFill="1" applyBorder="1" applyAlignment="1">
      <alignment horizontal="center" wrapText="1"/>
    </xf>
    <xf numFmtId="0" fontId="40" fillId="6" borderId="0" xfId="0" applyFont="1" applyFill="1" applyBorder="1" applyAlignment="1">
      <alignment horizontal="center"/>
    </xf>
    <xf numFmtId="164" fontId="52" fillId="6" borderId="0" xfId="0" applyNumberFormat="1" applyFont="1" applyFill="1" applyBorder="1" applyAlignment="1">
      <alignment horizontal="right" indent="1"/>
    </xf>
    <xf numFmtId="164" fontId="52" fillId="2" borderId="126" xfId="0" applyNumberFormat="1" applyFont="1" applyFill="1" applyBorder="1" applyAlignment="1">
      <alignment horizontal="right" indent="1"/>
    </xf>
    <xf numFmtId="164" fontId="52" fillId="2" borderId="127" xfId="0" applyNumberFormat="1" applyFont="1" applyFill="1" applyBorder="1" applyAlignment="1">
      <alignment horizontal="right" indent="1"/>
    </xf>
    <xf numFmtId="0" fontId="66" fillId="6" borderId="50" xfId="0" applyFont="1" applyFill="1" applyBorder="1" applyAlignment="1">
      <alignment horizontal="center" vertical="center"/>
    </xf>
    <xf numFmtId="178" fontId="40" fillId="6" borderId="105" xfId="0" applyNumberFormat="1" applyFont="1" applyFill="1" applyBorder="1" applyAlignment="1">
      <alignment horizontal="center" vertical="center"/>
    </xf>
    <xf numFmtId="178" fontId="40" fillId="6" borderId="108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6" borderId="67" xfId="0" quotePrefix="1" applyFont="1" applyFill="1" applyBorder="1" applyAlignment="1">
      <alignment vertical="center"/>
    </xf>
    <xf numFmtId="0" fontId="1" fillId="6" borderId="45" xfId="0" applyFont="1" applyFill="1" applyBorder="1" applyAlignment="1">
      <alignment vertical="center"/>
    </xf>
    <xf numFmtId="0" fontId="1" fillId="6" borderId="50" xfId="0" applyFont="1" applyFill="1" applyBorder="1" applyAlignment="1">
      <alignment vertical="center"/>
    </xf>
    <xf numFmtId="0" fontId="1" fillId="6" borderId="71" xfId="0" quotePrefix="1" applyFont="1" applyFill="1" applyBorder="1" applyAlignment="1">
      <alignment horizontal="center" vertical="center"/>
    </xf>
    <xf numFmtId="0" fontId="1" fillId="6" borderId="72" xfId="0" applyFont="1" applyFill="1" applyBorder="1" applyAlignment="1">
      <alignment horizontal="center" vertical="center"/>
    </xf>
    <xf numFmtId="0" fontId="1" fillId="6" borderId="73" xfId="0" applyFont="1" applyFill="1" applyBorder="1" applyAlignment="1">
      <alignment horizontal="center" vertical="center"/>
    </xf>
    <xf numFmtId="0" fontId="1" fillId="6" borderId="68" xfId="0" applyFont="1" applyFill="1" applyBorder="1" applyAlignment="1">
      <alignment horizontal="center" vertical="center"/>
    </xf>
    <xf numFmtId="0" fontId="1" fillId="6" borderId="69" xfId="0" applyFont="1" applyFill="1" applyBorder="1" applyAlignment="1">
      <alignment horizontal="center" vertical="center"/>
    </xf>
    <xf numFmtId="0" fontId="1" fillId="6" borderId="70" xfId="0" applyFont="1" applyFill="1" applyBorder="1" applyAlignment="1">
      <alignment horizontal="center" vertical="center"/>
    </xf>
    <xf numFmtId="0" fontId="1" fillId="6" borderId="102" xfId="0" applyFont="1" applyFill="1" applyBorder="1" applyAlignment="1">
      <alignment horizontal="center" vertical="center"/>
    </xf>
    <xf numFmtId="0" fontId="1" fillId="0" borderId="103" xfId="0" applyFont="1" applyBorder="1" applyAlignment="1">
      <alignment horizontal="center"/>
    </xf>
    <xf numFmtId="0" fontId="1" fillId="0" borderId="104" xfId="0" applyFont="1" applyBorder="1" applyAlignment="1">
      <alignment horizont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2" fillId="6" borderId="67" xfId="0" quotePrefix="1" applyFont="1" applyFill="1" applyBorder="1" applyAlignment="1">
      <alignment vertical="center"/>
    </xf>
    <xf numFmtId="0" fontId="52" fillId="6" borderId="45" xfId="0" quotePrefix="1" applyFont="1" applyFill="1" applyBorder="1" applyAlignment="1">
      <alignment vertical="center"/>
    </xf>
    <xf numFmtId="0" fontId="52" fillId="6" borderId="50" xfId="0" quotePrefix="1" applyFont="1" applyFill="1" applyBorder="1" applyAlignment="1">
      <alignment vertical="center"/>
    </xf>
    <xf numFmtId="0" fontId="52" fillId="6" borderId="13" xfId="0" applyFont="1" applyFill="1" applyBorder="1" applyAlignment="1">
      <alignment horizontal="center" vertical="center"/>
    </xf>
    <xf numFmtId="0" fontId="52" fillId="6" borderId="17" xfId="0" applyFont="1" applyFill="1" applyBorder="1" applyAlignment="1">
      <alignment horizontal="center"/>
    </xf>
    <xf numFmtId="0" fontId="52" fillId="6" borderId="15" xfId="0" applyFont="1" applyFill="1" applyBorder="1" applyAlignment="1">
      <alignment horizontal="center"/>
    </xf>
    <xf numFmtId="0" fontId="52" fillId="6" borderId="71" xfId="0" quotePrefix="1" applyFont="1" applyFill="1" applyBorder="1" applyAlignment="1">
      <alignment horizontal="center" vertical="center"/>
    </xf>
    <xf numFmtId="0" fontId="52" fillId="6" borderId="72" xfId="0" applyFont="1" applyFill="1" applyBorder="1" applyAlignment="1">
      <alignment horizontal="center" vertical="center"/>
    </xf>
    <xf numFmtId="0" fontId="52" fillId="6" borderId="73" xfId="0" applyFont="1" applyFill="1" applyBorder="1" applyAlignment="1">
      <alignment horizontal="center" vertical="center"/>
    </xf>
    <xf numFmtId="0" fontId="59" fillId="6" borderId="13" xfId="0" applyFont="1" applyFill="1" applyBorder="1" applyAlignment="1">
      <alignment horizontal="center" vertical="center"/>
    </xf>
    <xf numFmtId="0" fontId="59" fillId="6" borderId="14" xfId="0" applyFont="1" applyFill="1" applyBorder="1" applyAlignment="1">
      <alignment horizontal="center" vertical="center"/>
    </xf>
    <xf numFmtId="0" fontId="59" fillId="6" borderId="15" xfId="0" applyFont="1" applyFill="1" applyBorder="1" applyAlignment="1">
      <alignment horizontal="center" vertical="center"/>
    </xf>
    <xf numFmtId="0" fontId="59" fillId="6" borderId="16" xfId="0" applyFont="1" applyFill="1" applyBorder="1" applyAlignment="1">
      <alignment horizontal="center" vertical="center"/>
    </xf>
    <xf numFmtId="0" fontId="52" fillId="6" borderId="69" xfId="0" applyFont="1" applyFill="1" applyBorder="1" applyAlignment="1">
      <alignment horizontal="center" vertical="center"/>
    </xf>
    <xf numFmtId="0" fontId="52" fillId="6" borderId="14" xfId="0" applyFont="1" applyFill="1" applyBorder="1" applyAlignment="1">
      <alignment horizontal="center" vertical="center"/>
    </xf>
    <xf numFmtId="0" fontId="52" fillId="6" borderId="15" xfId="0" applyFont="1" applyFill="1" applyBorder="1" applyAlignment="1">
      <alignment horizontal="center" vertical="center"/>
    </xf>
    <xf numFmtId="0" fontId="52" fillId="6" borderId="16" xfId="0" applyFont="1" applyFill="1" applyBorder="1" applyAlignment="1">
      <alignment horizontal="center" vertical="center"/>
    </xf>
    <xf numFmtId="0" fontId="52" fillId="6" borderId="68" xfId="0" applyFont="1" applyFill="1" applyBorder="1" applyAlignment="1">
      <alignment horizontal="center" vertical="center"/>
    </xf>
    <xf numFmtId="0" fontId="52" fillId="6" borderId="70" xfId="0" applyFont="1" applyFill="1" applyBorder="1" applyAlignment="1">
      <alignment horizontal="center" vertical="center"/>
    </xf>
    <xf numFmtId="0" fontId="52" fillId="6" borderId="105" xfId="0" applyFont="1" applyFill="1" applyBorder="1" applyAlignment="1">
      <alignment horizontal="center" vertical="center"/>
    </xf>
    <xf numFmtId="0" fontId="52" fillId="6" borderId="106" xfId="0" applyFont="1" applyFill="1" applyBorder="1" applyAlignment="1">
      <alignment horizontal="center"/>
    </xf>
    <xf numFmtId="0" fontId="52" fillId="6" borderId="107" xfId="0" applyFont="1" applyFill="1" applyBorder="1" applyAlignment="1">
      <alignment horizontal="center"/>
    </xf>
    <xf numFmtId="0" fontId="40" fillId="6" borderId="13" xfId="0" applyFont="1" applyFill="1" applyBorder="1" applyAlignment="1">
      <alignment horizontal="center" vertical="center"/>
    </xf>
    <xf numFmtId="0" fontId="40" fillId="6" borderId="14" xfId="0" applyFont="1" applyFill="1" applyBorder="1" applyAlignment="1">
      <alignment horizontal="center" vertical="center"/>
    </xf>
    <xf numFmtId="0" fontId="40" fillId="6" borderId="15" xfId="0" applyFont="1" applyFill="1" applyBorder="1" applyAlignment="1">
      <alignment horizontal="center" vertical="center"/>
    </xf>
    <xf numFmtId="0" fontId="40" fillId="6" borderId="16" xfId="0" applyFont="1" applyFill="1" applyBorder="1" applyAlignment="1">
      <alignment horizontal="center" vertical="center"/>
    </xf>
    <xf numFmtId="0" fontId="40" fillId="6" borderId="18" xfId="0" applyFont="1" applyFill="1" applyBorder="1" applyAlignment="1">
      <alignment horizontal="center"/>
    </xf>
    <xf numFmtId="0" fontId="40" fillId="6" borderId="14" xfId="0" applyFont="1" applyFill="1" applyBorder="1" applyAlignment="1">
      <alignment horizontal="center"/>
    </xf>
    <xf numFmtId="0" fontId="40" fillId="6" borderId="17" xfId="0" applyFont="1" applyFill="1" applyBorder="1" applyAlignment="1">
      <alignment horizontal="center" vertical="center"/>
    </xf>
    <xf numFmtId="0" fontId="40" fillId="6" borderId="15" xfId="0" quotePrefix="1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64" fillId="6" borderId="13" xfId="0" applyFont="1" applyFill="1" applyBorder="1" applyAlignment="1">
      <alignment horizontal="center" vertical="center"/>
    </xf>
    <xf numFmtId="0" fontId="40" fillId="6" borderId="18" xfId="0" applyFont="1" applyFill="1" applyBorder="1" applyAlignment="1">
      <alignment horizontal="center" vertical="center"/>
    </xf>
    <xf numFmtId="0" fontId="40" fillId="6" borderId="14" xfId="0" quotePrefix="1" applyFont="1" applyFill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6" borderId="15" xfId="0" quotePrefix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6" borderId="14" xfId="0" quotePrefix="1" applyFont="1" applyFill="1" applyBorder="1" applyAlignment="1">
      <alignment vertical="center"/>
    </xf>
    <xf numFmtId="0" fontId="40" fillId="6" borderId="20" xfId="0" quotePrefix="1" applyFont="1" applyFill="1" applyBorder="1" applyAlignment="1">
      <alignment vertical="center"/>
    </xf>
    <xf numFmtId="0" fontId="40" fillId="6" borderId="16" xfId="0" quotePrefix="1" applyFont="1" applyFill="1" applyBorder="1" applyAlignment="1">
      <alignment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1" fillId="6" borderId="15" xfId="0" quotePrefix="1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/>
    </xf>
    <xf numFmtId="0" fontId="1" fillId="5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6" borderId="14" xfId="0" quotePrefix="1" applyFont="1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1" fillId="6" borderId="16" xfId="0" applyFont="1" applyFill="1" applyBorder="1" applyAlignment="1">
      <alignment vertical="center"/>
    </xf>
    <xf numFmtId="0" fontId="1" fillId="12" borderId="13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right" vertical="center" indent="1"/>
    </xf>
    <xf numFmtId="0" fontId="1" fillId="6" borderId="15" xfId="0" applyFont="1" applyFill="1" applyBorder="1" applyAlignment="1">
      <alignment horizontal="right" vertical="center" indent="1"/>
    </xf>
    <xf numFmtId="0" fontId="1" fillId="6" borderId="14" xfId="0" quotePrefix="1" applyFont="1" applyFill="1" applyBorder="1" applyAlignment="1">
      <alignment horizontal="left" vertical="center" indent="1"/>
    </xf>
    <xf numFmtId="0" fontId="1" fillId="6" borderId="16" xfId="0" applyFont="1" applyFill="1" applyBorder="1" applyAlignment="1">
      <alignment horizontal="left" vertical="center" indent="1"/>
    </xf>
    <xf numFmtId="0" fontId="1" fillId="6" borderId="17" xfId="0" applyFont="1" applyFill="1" applyBorder="1" applyAlignment="1">
      <alignment horizontal="right" vertical="center" indent="1"/>
    </xf>
    <xf numFmtId="0" fontId="52" fillId="2" borderId="22" xfId="0" applyFont="1" applyFill="1" applyBorder="1" applyAlignment="1">
      <alignment horizontal="center" vertical="center"/>
    </xf>
    <xf numFmtId="0" fontId="52" fillId="2" borderId="109" xfId="0" applyFont="1" applyFill="1" applyBorder="1" applyAlignment="1">
      <alignment horizontal="center" vertical="center"/>
    </xf>
    <xf numFmtId="0" fontId="52" fillId="2" borderId="111" xfId="0" applyFont="1" applyFill="1" applyBorder="1" applyAlignment="1">
      <alignment horizontal="center" vertical="center"/>
    </xf>
    <xf numFmtId="0" fontId="52" fillId="2" borderId="112" xfId="0" applyFont="1" applyFill="1" applyBorder="1" applyAlignment="1">
      <alignment horizontal="center" vertical="center"/>
    </xf>
    <xf numFmtId="0" fontId="40" fillId="6" borderId="110" xfId="0" applyFont="1" applyFill="1" applyBorder="1" applyAlignment="1">
      <alignment horizontal="center" wrapText="1"/>
    </xf>
    <xf numFmtId="0" fontId="40" fillId="6" borderId="23" xfId="0" applyFont="1" applyFill="1" applyBorder="1" applyAlignment="1">
      <alignment horizontal="center"/>
    </xf>
    <xf numFmtId="0" fontId="52" fillId="2" borderId="22" xfId="0" applyFont="1" applyFill="1" applyBorder="1" applyAlignment="1">
      <alignment horizontal="center" vertical="center" wrapText="1"/>
    </xf>
    <xf numFmtId="0" fontId="40" fillId="6" borderId="124" xfId="0" applyFont="1" applyFill="1" applyBorder="1" applyAlignment="1">
      <alignment vertical="center" textRotation="90" wrapText="1"/>
    </xf>
    <xf numFmtId="0" fontId="40" fillId="6" borderId="106" xfId="0" applyFont="1" applyFill="1" applyBorder="1" applyAlignment="1">
      <alignment vertical="center" textRotation="90" wrapText="1"/>
    </xf>
    <xf numFmtId="0" fontId="40" fillId="6" borderId="107" xfId="0" applyFont="1" applyFill="1" applyBorder="1" applyAlignment="1">
      <alignment vertical="center" textRotation="90" wrapText="1"/>
    </xf>
    <xf numFmtId="0" fontId="52" fillId="2" borderId="13" xfId="0" applyFont="1" applyFill="1" applyBorder="1" applyAlignment="1">
      <alignment horizontal="center" vertical="center"/>
    </xf>
    <xf numFmtId="0" fontId="52" fillId="2" borderId="125" xfId="0" applyFont="1" applyFill="1" applyBorder="1" applyAlignment="1">
      <alignment horizontal="center" vertical="center"/>
    </xf>
    <xf numFmtId="0" fontId="52" fillId="2" borderId="39" xfId="0" applyFont="1" applyFill="1" applyBorder="1" applyAlignment="1">
      <alignment horizontal="center" vertical="center"/>
    </xf>
    <xf numFmtId="0" fontId="52" fillId="2" borderId="32" xfId="0" applyFont="1" applyFill="1" applyBorder="1" applyAlignment="1">
      <alignment horizontal="center" vertical="center"/>
    </xf>
    <xf numFmtId="0" fontId="40" fillId="6" borderId="123" xfId="0" applyFont="1" applyFill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40" fillId="6" borderId="17" xfId="0" applyFont="1" applyFill="1" applyBorder="1" applyAlignment="1">
      <alignment vertical="center" textRotation="90" wrapText="1"/>
    </xf>
    <xf numFmtId="0" fontId="0" fillId="0" borderId="17" xfId="0" applyBorder="1" applyAlignment="1">
      <alignment vertical="center" textRotation="90" wrapText="1"/>
    </xf>
    <xf numFmtId="0" fontId="0" fillId="0" borderId="15" xfId="0" applyBorder="1" applyAlignment="1">
      <alignment vertical="center" textRotation="90" wrapText="1"/>
    </xf>
    <xf numFmtId="0" fontId="1" fillId="6" borderId="3" xfId="0" applyFont="1" applyFill="1" applyBorder="1" applyAlignment="1">
      <alignment horizontal="center"/>
    </xf>
    <xf numFmtId="0" fontId="1" fillId="6" borderId="38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0" fillId="6" borderId="55" xfId="0" applyFill="1" applyBorder="1" applyAlignment="1">
      <alignment horizontal="center"/>
    </xf>
  </cellXfs>
  <cellStyles count="1">
    <cellStyle name="Standard" xfId="0" builtinId="0"/>
  </cellStyles>
  <dxfs count="11"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ont>
        <strike val="0"/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CCFFCC"/>
      <color rgb="FFFFCC99"/>
      <color rgb="FFCCECFF"/>
      <color rgb="FFFFCCFF"/>
      <color rgb="FF0000FF"/>
      <color rgb="FF33CC33"/>
      <color rgb="FF0033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8.xml"/><Relationship Id="rId18" Type="http://schemas.openxmlformats.org/officeDocument/2006/relationships/chartsheet" Target="chartsheets/sheet8.xml"/><Relationship Id="rId26" Type="http://schemas.openxmlformats.org/officeDocument/2006/relationships/worksheet" Target="worksheets/sheet12.xml"/><Relationship Id="rId39" Type="http://schemas.openxmlformats.org/officeDocument/2006/relationships/theme" Target="theme/theme1.xml"/><Relationship Id="rId21" Type="http://schemas.openxmlformats.org/officeDocument/2006/relationships/chartsheet" Target="chartsheets/sheet11.xml"/><Relationship Id="rId34" Type="http://schemas.openxmlformats.org/officeDocument/2006/relationships/worksheet" Target="worksheets/sheet20.xml"/><Relationship Id="rId42" Type="http://schemas.openxmlformats.org/officeDocument/2006/relationships/calcChain" Target="calcChain.xml"/><Relationship Id="rId7" Type="http://schemas.openxmlformats.org/officeDocument/2006/relationships/chartsheet" Target="chartsheets/sheet3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6.xml"/><Relationship Id="rId20" Type="http://schemas.openxmlformats.org/officeDocument/2006/relationships/chartsheet" Target="chartsheets/sheet10.xml"/><Relationship Id="rId29" Type="http://schemas.openxmlformats.org/officeDocument/2006/relationships/worksheet" Target="worksheets/sheet15.xml"/><Relationship Id="rId41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6.xml"/><Relationship Id="rId24" Type="http://schemas.openxmlformats.org/officeDocument/2006/relationships/chartsheet" Target="chartsheets/sheet13.xml"/><Relationship Id="rId32" Type="http://schemas.openxmlformats.org/officeDocument/2006/relationships/worksheet" Target="worksheets/sheet18.xml"/><Relationship Id="rId37" Type="http://schemas.openxmlformats.org/officeDocument/2006/relationships/worksheet" Target="worksheets/sheet23.xml"/><Relationship Id="rId40" Type="http://schemas.openxmlformats.org/officeDocument/2006/relationships/styles" Target="styles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0.xml"/><Relationship Id="rId23" Type="http://schemas.openxmlformats.org/officeDocument/2006/relationships/chartsheet" Target="chartsheets/sheet12.xml"/><Relationship Id="rId28" Type="http://schemas.openxmlformats.org/officeDocument/2006/relationships/worksheet" Target="worksheets/sheet14.xml"/><Relationship Id="rId36" Type="http://schemas.openxmlformats.org/officeDocument/2006/relationships/worksheet" Target="worksheets/sheet22.xml"/><Relationship Id="rId10" Type="http://schemas.openxmlformats.org/officeDocument/2006/relationships/chartsheet" Target="chartsheets/sheet5.xml"/><Relationship Id="rId19" Type="http://schemas.openxmlformats.org/officeDocument/2006/relationships/chartsheet" Target="chartsheets/sheet9.xml"/><Relationship Id="rId31" Type="http://schemas.openxmlformats.org/officeDocument/2006/relationships/worksheet" Target="worksheets/sheet17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4.xml"/><Relationship Id="rId14" Type="http://schemas.openxmlformats.org/officeDocument/2006/relationships/worksheet" Target="worksheets/sheet9.xml"/><Relationship Id="rId22" Type="http://schemas.openxmlformats.org/officeDocument/2006/relationships/worksheet" Target="worksheets/sheet11.xml"/><Relationship Id="rId27" Type="http://schemas.openxmlformats.org/officeDocument/2006/relationships/worksheet" Target="worksheets/sheet13.xml"/><Relationship Id="rId30" Type="http://schemas.openxmlformats.org/officeDocument/2006/relationships/worksheet" Target="worksheets/sheet16.xml"/><Relationship Id="rId35" Type="http://schemas.openxmlformats.org/officeDocument/2006/relationships/worksheet" Target="worksheets/sheet21.xml"/><Relationship Id="rId8" Type="http://schemas.openxmlformats.org/officeDocument/2006/relationships/worksheet" Target="worksheets/sheet5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7.xml"/><Relationship Id="rId17" Type="http://schemas.openxmlformats.org/officeDocument/2006/relationships/chartsheet" Target="chartsheets/sheet7.xml"/><Relationship Id="rId25" Type="http://schemas.openxmlformats.org/officeDocument/2006/relationships/chartsheet" Target="chartsheets/sheet14.xml"/><Relationship Id="rId33" Type="http://schemas.openxmlformats.org/officeDocument/2006/relationships/worksheet" Target="worksheets/sheet19.xml"/><Relationship Id="rId38" Type="http://schemas.openxmlformats.org/officeDocument/2006/relationships/worksheet" Target="worksheets/sheet2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Boxplot</a:t>
            </a:r>
            <a:r>
              <a:rPr lang="de-DE" baseline="0"/>
              <a:t> Körperlänge vs. Altersklasse</a:t>
            </a:r>
            <a:endParaRPr lang="de-DE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25%</c:v>
          </c:tx>
          <c:spPr>
            <a:noFill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'Tabellen Boxplots'!$K$11:$O$11</c:f>
                <c:numCache>
                  <c:formatCode>General</c:formatCode>
                  <c:ptCount val="5"/>
                  <c:pt idx="0">
                    <c:v>8</c:v>
                  </c:pt>
                  <c:pt idx="1">
                    <c:v>8</c:v>
                  </c:pt>
                  <c:pt idx="2">
                    <c:v>6.25</c:v>
                  </c:pt>
                  <c:pt idx="3">
                    <c:v>15</c:v>
                  </c:pt>
                  <c:pt idx="4">
                    <c:v>11</c:v>
                  </c:pt>
                </c:numCache>
              </c:numRef>
            </c:minus>
            <c:spPr>
              <a:ln w="25400"/>
            </c:spPr>
          </c:errBars>
          <c:cat>
            <c:strRef>
              <c:f>'Tabellen Boxplots'!$K$2:$O$2</c:f>
              <c:strCache>
                <c:ptCount val="5"/>
                <c:pt idx="0">
                  <c:v>18-20</c:v>
                </c:pt>
                <c:pt idx="1">
                  <c:v>20-21</c:v>
                </c:pt>
                <c:pt idx="2">
                  <c:v>21-22</c:v>
                </c:pt>
                <c:pt idx="3">
                  <c:v>22-24</c:v>
                </c:pt>
                <c:pt idx="4">
                  <c:v>24-30</c:v>
                </c:pt>
              </c:strCache>
            </c:strRef>
          </c:cat>
          <c:val>
            <c:numRef>
              <c:f>'Tabellen Boxplots'!$K$12:$O$12</c:f>
              <c:numCache>
                <c:formatCode>General</c:formatCode>
                <c:ptCount val="5"/>
                <c:pt idx="0">
                  <c:v>168</c:v>
                </c:pt>
                <c:pt idx="1">
                  <c:v>168</c:v>
                </c:pt>
                <c:pt idx="2">
                  <c:v>166.25</c:v>
                </c:pt>
                <c:pt idx="3">
                  <c:v>170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B-473D-B805-62ECC853D8AD}"/>
            </c:ext>
          </c:extLst>
        </c:ser>
        <c:ser>
          <c:idx val="1"/>
          <c:order val="1"/>
          <c:tx>
            <c:v>50%</c:v>
          </c:tx>
          <c:spPr>
            <a:solidFill>
              <a:srgbClr val="0000FF"/>
            </a:solidFill>
          </c:spPr>
          <c:invertIfNegative val="0"/>
          <c:val>
            <c:numRef>
              <c:f>'Tabellen Boxplots'!$K$13:$O$13</c:f>
              <c:numCache>
                <c:formatCode>General</c:formatCode>
                <c:ptCount val="5"/>
                <c:pt idx="0">
                  <c:v>12</c:v>
                </c:pt>
                <c:pt idx="1">
                  <c:v>8</c:v>
                </c:pt>
                <c:pt idx="2">
                  <c:v>5.75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B-473D-B805-62ECC853D8AD}"/>
            </c:ext>
          </c:extLst>
        </c:ser>
        <c:ser>
          <c:idx val="2"/>
          <c:order val="2"/>
          <c:tx>
            <c:v>75%</c:v>
          </c:tx>
          <c:spPr>
            <a:solidFill>
              <a:srgbClr val="FF0000"/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'Tabellen Boxplots'!$K$15:$O$15</c:f>
                <c:numCache>
                  <c:formatCode>General</c:formatCode>
                  <c:ptCount val="5"/>
                  <c:pt idx="0">
                    <c:v>12</c:v>
                  </c:pt>
                  <c:pt idx="1">
                    <c:v>4</c:v>
                  </c:pt>
                  <c:pt idx="2">
                    <c:v>5</c:v>
                  </c:pt>
                  <c:pt idx="3">
                    <c:v>10.5</c:v>
                  </c:pt>
                  <c:pt idx="4">
                    <c:v>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5400">
                <a:solidFill>
                  <a:schemeClr val="tx1"/>
                </a:solidFill>
              </a:ln>
            </c:spPr>
          </c:errBars>
          <c:val>
            <c:numRef>
              <c:f>'Tabellen Boxplots'!$K$14:$O$14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11</c:v>
                </c:pt>
                <c:pt idx="3">
                  <c:v>6.5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AB-473D-B805-62ECC853D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096832"/>
        <c:axId val="97098752"/>
      </c:barChart>
      <c:catAx>
        <c:axId val="9709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Altersklasse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7098752"/>
        <c:crosses val="autoZero"/>
        <c:auto val="1"/>
        <c:lblAlgn val="ctr"/>
        <c:lblOffset val="100"/>
        <c:noMultiLvlLbl val="0"/>
      </c:catAx>
      <c:valAx>
        <c:axId val="97098752"/>
        <c:scaling>
          <c:orientation val="minMax"/>
          <c:max val="200"/>
          <c:min val="150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Körperlänge in cm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096832"/>
        <c:crosses val="autoZero"/>
        <c:crossBetween val="between"/>
        <c:majorUnit val="10"/>
        <c:minorUnit val="1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 sz="2000">
                <a:solidFill>
                  <a:sysClr val="windowText" lastClr="000000"/>
                </a:solidFill>
              </a:rPr>
              <a:t>Streudiagramm Körperlänge </a:t>
            </a:r>
            <a:r>
              <a:rPr lang="de-DE" sz="2000" b="1">
                <a:solidFill>
                  <a:sysClr val="windowText" lastClr="000000"/>
                </a:solidFill>
              </a:rPr>
              <a:t>Y</a:t>
            </a:r>
            <a:r>
              <a:rPr lang="de-DE" sz="2000">
                <a:solidFill>
                  <a:sysClr val="windowText" lastClr="000000"/>
                </a:solidFill>
              </a:rPr>
              <a:t> vs. Alter </a:t>
            </a:r>
            <a:r>
              <a:rPr lang="de-DE" sz="2000" b="1">
                <a:solidFill>
                  <a:sysClr val="windowText" lastClr="000000"/>
                </a:solidFill>
              </a:rPr>
              <a:t>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xVal>
            <c:numRef>
              <c:f>Urlisten!$C$15:$BT$15</c:f>
              <c:numCache>
                <c:formatCode>General</c:formatCode>
                <c:ptCount val="70"/>
                <c:pt idx="0">
                  <c:v>22</c:v>
                </c:pt>
                <c:pt idx="1">
                  <c:v>21</c:v>
                </c:pt>
                <c:pt idx="2">
                  <c:v>23</c:v>
                </c:pt>
                <c:pt idx="3">
                  <c:v>24</c:v>
                </c:pt>
                <c:pt idx="4">
                  <c:v>24</c:v>
                </c:pt>
                <c:pt idx="5">
                  <c:v>27</c:v>
                </c:pt>
                <c:pt idx="6">
                  <c:v>19</c:v>
                </c:pt>
                <c:pt idx="7">
                  <c:v>19</c:v>
                </c:pt>
                <c:pt idx="8">
                  <c:v>21</c:v>
                </c:pt>
                <c:pt idx="9">
                  <c:v>22</c:v>
                </c:pt>
                <c:pt idx="10">
                  <c:v>21</c:v>
                </c:pt>
                <c:pt idx="11">
                  <c:v>26</c:v>
                </c:pt>
                <c:pt idx="12">
                  <c:v>22</c:v>
                </c:pt>
                <c:pt idx="13">
                  <c:v>24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22</c:v>
                </c:pt>
                <c:pt idx="18">
                  <c:v>20</c:v>
                </c:pt>
                <c:pt idx="19">
                  <c:v>24</c:v>
                </c:pt>
                <c:pt idx="20">
                  <c:v>21</c:v>
                </c:pt>
                <c:pt idx="21">
                  <c:v>22</c:v>
                </c:pt>
                <c:pt idx="22">
                  <c:v>22</c:v>
                </c:pt>
                <c:pt idx="23">
                  <c:v>20</c:v>
                </c:pt>
                <c:pt idx="24">
                  <c:v>21</c:v>
                </c:pt>
                <c:pt idx="25">
                  <c:v>26</c:v>
                </c:pt>
                <c:pt idx="26">
                  <c:v>24</c:v>
                </c:pt>
                <c:pt idx="27">
                  <c:v>28</c:v>
                </c:pt>
                <c:pt idx="28">
                  <c:v>25</c:v>
                </c:pt>
                <c:pt idx="29">
                  <c:v>25</c:v>
                </c:pt>
                <c:pt idx="30">
                  <c:v>21</c:v>
                </c:pt>
                <c:pt idx="31">
                  <c:v>21</c:v>
                </c:pt>
                <c:pt idx="32">
                  <c:v>20</c:v>
                </c:pt>
                <c:pt idx="33">
                  <c:v>25</c:v>
                </c:pt>
                <c:pt idx="34">
                  <c:v>22</c:v>
                </c:pt>
                <c:pt idx="35">
                  <c:v>20</c:v>
                </c:pt>
                <c:pt idx="36">
                  <c:v>21</c:v>
                </c:pt>
                <c:pt idx="37">
                  <c:v>20</c:v>
                </c:pt>
                <c:pt idx="38">
                  <c:v>23</c:v>
                </c:pt>
                <c:pt idx="39">
                  <c:v>22</c:v>
                </c:pt>
                <c:pt idx="40">
                  <c:v>28</c:v>
                </c:pt>
                <c:pt idx="41">
                  <c:v>26</c:v>
                </c:pt>
                <c:pt idx="42">
                  <c:v>21</c:v>
                </c:pt>
                <c:pt idx="43">
                  <c:v>23</c:v>
                </c:pt>
                <c:pt idx="44">
                  <c:v>22</c:v>
                </c:pt>
                <c:pt idx="45">
                  <c:v>20</c:v>
                </c:pt>
                <c:pt idx="46">
                  <c:v>24</c:v>
                </c:pt>
                <c:pt idx="47">
                  <c:v>20</c:v>
                </c:pt>
                <c:pt idx="48">
                  <c:v>19</c:v>
                </c:pt>
                <c:pt idx="49">
                  <c:v>23</c:v>
                </c:pt>
                <c:pt idx="50">
                  <c:v>22</c:v>
                </c:pt>
                <c:pt idx="51">
                  <c:v>26</c:v>
                </c:pt>
                <c:pt idx="52">
                  <c:v>20</c:v>
                </c:pt>
                <c:pt idx="53">
                  <c:v>25</c:v>
                </c:pt>
                <c:pt idx="54">
                  <c:v>22</c:v>
                </c:pt>
                <c:pt idx="55">
                  <c:v>25</c:v>
                </c:pt>
                <c:pt idx="56">
                  <c:v>22</c:v>
                </c:pt>
                <c:pt idx="57">
                  <c:v>26</c:v>
                </c:pt>
                <c:pt idx="58">
                  <c:v>25</c:v>
                </c:pt>
                <c:pt idx="59">
                  <c:v>22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20</c:v>
                </c:pt>
                <c:pt idx="64">
                  <c:v>26</c:v>
                </c:pt>
                <c:pt idx="65">
                  <c:v>21</c:v>
                </c:pt>
                <c:pt idx="66">
                  <c:v>25</c:v>
                </c:pt>
                <c:pt idx="67">
                  <c:v>25</c:v>
                </c:pt>
                <c:pt idx="68">
                  <c:v>22</c:v>
                </c:pt>
                <c:pt idx="69">
                  <c:v>23</c:v>
                </c:pt>
              </c:numCache>
            </c:numRef>
          </c:xVal>
          <c:yVal>
            <c:numRef>
              <c:f>Urlisten!$C$16:$BT$16</c:f>
              <c:numCache>
                <c:formatCode>General</c:formatCode>
                <c:ptCount val="70"/>
                <c:pt idx="0">
                  <c:v>187</c:v>
                </c:pt>
                <c:pt idx="1">
                  <c:v>178</c:v>
                </c:pt>
                <c:pt idx="2">
                  <c:v>170</c:v>
                </c:pt>
                <c:pt idx="3">
                  <c:v>170</c:v>
                </c:pt>
                <c:pt idx="4">
                  <c:v>171</c:v>
                </c:pt>
                <c:pt idx="5">
                  <c:v>193</c:v>
                </c:pt>
                <c:pt idx="6">
                  <c:v>168</c:v>
                </c:pt>
                <c:pt idx="7">
                  <c:v>160</c:v>
                </c:pt>
                <c:pt idx="8">
                  <c:v>163</c:v>
                </c:pt>
                <c:pt idx="9">
                  <c:v>161</c:v>
                </c:pt>
                <c:pt idx="10">
                  <c:v>160</c:v>
                </c:pt>
                <c:pt idx="11">
                  <c:v>164</c:v>
                </c:pt>
                <c:pt idx="12">
                  <c:v>174</c:v>
                </c:pt>
                <c:pt idx="13">
                  <c:v>160</c:v>
                </c:pt>
                <c:pt idx="14">
                  <c:v>163</c:v>
                </c:pt>
                <c:pt idx="15">
                  <c:v>193</c:v>
                </c:pt>
                <c:pt idx="16">
                  <c:v>184</c:v>
                </c:pt>
                <c:pt idx="17">
                  <c:v>185</c:v>
                </c:pt>
                <c:pt idx="18">
                  <c:v>163</c:v>
                </c:pt>
                <c:pt idx="19">
                  <c:v>182</c:v>
                </c:pt>
                <c:pt idx="20">
                  <c:v>185</c:v>
                </c:pt>
                <c:pt idx="21">
                  <c:v>170</c:v>
                </c:pt>
                <c:pt idx="22">
                  <c:v>180</c:v>
                </c:pt>
                <c:pt idx="23">
                  <c:v>182</c:v>
                </c:pt>
                <c:pt idx="24">
                  <c:v>185</c:v>
                </c:pt>
                <c:pt idx="25">
                  <c:v>182</c:v>
                </c:pt>
                <c:pt idx="26">
                  <c:v>183</c:v>
                </c:pt>
                <c:pt idx="27">
                  <c:v>169</c:v>
                </c:pt>
                <c:pt idx="28">
                  <c:v>187</c:v>
                </c:pt>
                <c:pt idx="29">
                  <c:v>183</c:v>
                </c:pt>
                <c:pt idx="30">
                  <c:v>165</c:v>
                </c:pt>
                <c:pt idx="31">
                  <c:v>176</c:v>
                </c:pt>
                <c:pt idx="32">
                  <c:v>180</c:v>
                </c:pt>
                <c:pt idx="33">
                  <c:v>172</c:v>
                </c:pt>
                <c:pt idx="34">
                  <c:v>170</c:v>
                </c:pt>
                <c:pt idx="35">
                  <c:v>170</c:v>
                </c:pt>
                <c:pt idx="36">
                  <c:v>173</c:v>
                </c:pt>
                <c:pt idx="37">
                  <c:v>174</c:v>
                </c:pt>
                <c:pt idx="38">
                  <c:v>189</c:v>
                </c:pt>
                <c:pt idx="39">
                  <c:v>180</c:v>
                </c:pt>
                <c:pt idx="40">
                  <c:v>190</c:v>
                </c:pt>
                <c:pt idx="41">
                  <c:v>184</c:v>
                </c:pt>
                <c:pt idx="42">
                  <c:v>176</c:v>
                </c:pt>
                <c:pt idx="43">
                  <c:v>176</c:v>
                </c:pt>
                <c:pt idx="44">
                  <c:v>188</c:v>
                </c:pt>
                <c:pt idx="45">
                  <c:v>185</c:v>
                </c:pt>
                <c:pt idx="46">
                  <c:v>182</c:v>
                </c:pt>
                <c:pt idx="47">
                  <c:v>183</c:v>
                </c:pt>
                <c:pt idx="48">
                  <c:v>182</c:v>
                </c:pt>
                <c:pt idx="49">
                  <c:v>185</c:v>
                </c:pt>
                <c:pt idx="50">
                  <c:v>160</c:v>
                </c:pt>
                <c:pt idx="51">
                  <c:v>175</c:v>
                </c:pt>
                <c:pt idx="52">
                  <c:v>195</c:v>
                </c:pt>
                <c:pt idx="53">
                  <c:v>176</c:v>
                </c:pt>
                <c:pt idx="54">
                  <c:v>165</c:v>
                </c:pt>
                <c:pt idx="55">
                  <c:v>180</c:v>
                </c:pt>
                <c:pt idx="56">
                  <c:v>170</c:v>
                </c:pt>
                <c:pt idx="57">
                  <c:v>185</c:v>
                </c:pt>
                <c:pt idx="58">
                  <c:v>178</c:v>
                </c:pt>
                <c:pt idx="59">
                  <c:v>184</c:v>
                </c:pt>
                <c:pt idx="60">
                  <c:v>155</c:v>
                </c:pt>
                <c:pt idx="61">
                  <c:v>178</c:v>
                </c:pt>
                <c:pt idx="62">
                  <c:v>176</c:v>
                </c:pt>
                <c:pt idx="63">
                  <c:v>183</c:v>
                </c:pt>
                <c:pt idx="64">
                  <c:v>185</c:v>
                </c:pt>
                <c:pt idx="65">
                  <c:v>174</c:v>
                </c:pt>
                <c:pt idx="66">
                  <c:v>176</c:v>
                </c:pt>
                <c:pt idx="67">
                  <c:v>170</c:v>
                </c:pt>
                <c:pt idx="68">
                  <c:v>165</c:v>
                </c:pt>
                <c:pt idx="69">
                  <c:v>160</c:v>
                </c:pt>
              </c:numCache>
            </c:numRef>
          </c:yVal>
          <c:bubbleSize>
            <c:numLit>
              <c:formatCode>General</c:formatCode>
              <c:ptCount val="7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5F38-4D20-90C6-AB6F1C29C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5"/>
        <c:showNegBubbles val="0"/>
        <c:sizeRepresents val="w"/>
        <c:axId val="645648464"/>
        <c:axId val="645651376"/>
      </c:bubbleChart>
      <c:valAx>
        <c:axId val="645648464"/>
        <c:scaling>
          <c:orientation val="minMax"/>
          <c:max val="30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>
                    <a:solidFill>
                      <a:sysClr val="windowText" lastClr="000000"/>
                    </a:solidFill>
                  </a:rPr>
                  <a:t>Alter x in Jahren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5651376"/>
        <c:crosses val="autoZero"/>
        <c:crossBetween val="midCat"/>
        <c:majorUnit val="1"/>
        <c:minorUnit val="0.5"/>
      </c:valAx>
      <c:valAx>
        <c:axId val="645651376"/>
        <c:scaling>
          <c:orientation val="minMax"/>
          <c:max val="2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>
                    <a:solidFill>
                      <a:sysClr val="windowText" lastClr="000000"/>
                    </a:solidFill>
                  </a:rPr>
                  <a:t>Körperlänge in 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564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 sz="2160" b="1">
                <a:solidFill>
                  <a:sysClr val="windowText" lastClr="000000"/>
                </a:solidFill>
              </a:rPr>
              <a:t>Häufigkeitsfunktion Größe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Zug a &amp;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Häufigkeiten!$E$7:$E$51</c:f>
              <c:numCache>
                <c:formatCode>General</c:formatCode>
                <c:ptCount val="45"/>
                <c:pt idx="0">
                  <c:v>155</c:v>
                </c:pt>
                <c:pt idx="1">
                  <c:v>156</c:v>
                </c:pt>
                <c:pt idx="2">
                  <c:v>157</c:v>
                </c:pt>
                <c:pt idx="3">
                  <c:v>158</c:v>
                </c:pt>
                <c:pt idx="4">
                  <c:v>159</c:v>
                </c:pt>
                <c:pt idx="5">
                  <c:v>160</c:v>
                </c:pt>
                <c:pt idx="6">
                  <c:v>161</c:v>
                </c:pt>
                <c:pt idx="7">
                  <c:v>162</c:v>
                </c:pt>
                <c:pt idx="8">
                  <c:v>163</c:v>
                </c:pt>
                <c:pt idx="9">
                  <c:v>164</c:v>
                </c:pt>
                <c:pt idx="10">
                  <c:v>165</c:v>
                </c:pt>
                <c:pt idx="11">
                  <c:v>166</c:v>
                </c:pt>
                <c:pt idx="12">
                  <c:v>167</c:v>
                </c:pt>
                <c:pt idx="13">
                  <c:v>168</c:v>
                </c:pt>
                <c:pt idx="14">
                  <c:v>169</c:v>
                </c:pt>
                <c:pt idx="15">
                  <c:v>170</c:v>
                </c:pt>
                <c:pt idx="16">
                  <c:v>171</c:v>
                </c:pt>
                <c:pt idx="17">
                  <c:v>172</c:v>
                </c:pt>
                <c:pt idx="18">
                  <c:v>173</c:v>
                </c:pt>
                <c:pt idx="19">
                  <c:v>174</c:v>
                </c:pt>
                <c:pt idx="20">
                  <c:v>175</c:v>
                </c:pt>
                <c:pt idx="21">
                  <c:v>176</c:v>
                </c:pt>
                <c:pt idx="22">
                  <c:v>177</c:v>
                </c:pt>
                <c:pt idx="23">
                  <c:v>178</c:v>
                </c:pt>
                <c:pt idx="24">
                  <c:v>179</c:v>
                </c:pt>
                <c:pt idx="25">
                  <c:v>180</c:v>
                </c:pt>
                <c:pt idx="26">
                  <c:v>181</c:v>
                </c:pt>
                <c:pt idx="27">
                  <c:v>182</c:v>
                </c:pt>
                <c:pt idx="28">
                  <c:v>183</c:v>
                </c:pt>
                <c:pt idx="29">
                  <c:v>184</c:v>
                </c:pt>
                <c:pt idx="30">
                  <c:v>185</c:v>
                </c:pt>
                <c:pt idx="31">
                  <c:v>186</c:v>
                </c:pt>
                <c:pt idx="32">
                  <c:v>187</c:v>
                </c:pt>
                <c:pt idx="33">
                  <c:v>188</c:v>
                </c:pt>
                <c:pt idx="34">
                  <c:v>189</c:v>
                </c:pt>
                <c:pt idx="35">
                  <c:v>190</c:v>
                </c:pt>
                <c:pt idx="36">
                  <c:v>191</c:v>
                </c:pt>
                <c:pt idx="37">
                  <c:v>192</c:v>
                </c:pt>
                <c:pt idx="38">
                  <c:v>193</c:v>
                </c:pt>
                <c:pt idx="39">
                  <c:v>194</c:v>
                </c:pt>
                <c:pt idx="40">
                  <c:v>195</c:v>
                </c:pt>
                <c:pt idx="41">
                  <c:v>196</c:v>
                </c:pt>
                <c:pt idx="42">
                  <c:v>197</c:v>
                </c:pt>
                <c:pt idx="43">
                  <c:v>198</c:v>
                </c:pt>
                <c:pt idx="44">
                  <c:v>199</c:v>
                </c:pt>
              </c:numCache>
            </c:numRef>
          </c:xVal>
          <c:yVal>
            <c:numRef>
              <c:f>Häufigkeiten!$G$7:$G$51</c:f>
              <c:numCache>
                <c:formatCode>#\ ??/70</c:formatCode>
                <c:ptCount val="45"/>
                <c:pt idx="0">
                  <c:v>1.4285714285714285E-2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7.1428571428571425E-2</c:v>
                </c:pt>
                <c:pt idx="6">
                  <c:v>1.4285714285714285E-2</c:v>
                </c:pt>
                <c:pt idx="7">
                  <c:v>0</c:v>
                </c:pt>
                <c:pt idx="8">
                  <c:v>4.2857142857142858E-2</c:v>
                </c:pt>
                <c:pt idx="9">
                  <c:v>1.4285714285714285E-2</c:v>
                </c:pt>
                <c:pt idx="10">
                  <c:v>4.2857142857142858E-2</c:v>
                </c:pt>
                <c:pt idx="11">
                  <c:v>0</c:v>
                </c:pt>
                <c:pt idx="12">
                  <c:v>0</c:v>
                </c:pt>
                <c:pt idx="13">
                  <c:v>1.4285714285714285E-2</c:v>
                </c:pt>
                <c:pt idx="14">
                  <c:v>1.4285714285714285E-2</c:v>
                </c:pt>
                <c:pt idx="15">
                  <c:v>0.1</c:v>
                </c:pt>
                <c:pt idx="16">
                  <c:v>1.4285714285714285E-2</c:v>
                </c:pt>
                <c:pt idx="17">
                  <c:v>1.4285714285714285E-2</c:v>
                </c:pt>
                <c:pt idx="18">
                  <c:v>1.4285714285714285E-2</c:v>
                </c:pt>
                <c:pt idx="19">
                  <c:v>4.2857142857142858E-2</c:v>
                </c:pt>
                <c:pt idx="20">
                  <c:v>1.4285714285714285E-2</c:v>
                </c:pt>
                <c:pt idx="21">
                  <c:v>8.5714285714285715E-2</c:v>
                </c:pt>
                <c:pt idx="22">
                  <c:v>0</c:v>
                </c:pt>
                <c:pt idx="23">
                  <c:v>4.2857142857142858E-2</c:v>
                </c:pt>
                <c:pt idx="24">
                  <c:v>0</c:v>
                </c:pt>
                <c:pt idx="25">
                  <c:v>5.7142857142857141E-2</c:v>
                </c:pt>
                <c:pt idx="26">
                  <c:v>0</c:v>
                </c:pt>
                <c:pt idx="27">
                  <c:v>7.1428571428571425E-2</c:v>
                </c:pt>
                <c:pt idx="28">
                  <c:v>5.7142857142857141E-2</c:v>
                </c:pt>
                <c:pt idx="29">
                  <c:v>4.2857142857142858E-2</c:v>
                </c:pt>
                <c:pt idx="30">
                  <c:v>0.1</c:v>
                </c:pt>
                <c:pt idx="31">
                  <c:v>0</c:v>
                </c:pt>
                <c:pt idx="32">
                  <c:v>2.8571428571428571E-2</c:v>
                </c:pt>
                <c:pt idx="33">
                  <c:v>1.4285714285714285E-2</c:v>
                </c:pt>
                <c:pt idx="34">
                  <c:v>1.4285714285714285E-2</c:v>
                </c:pt>
                <c:pt idx="35">
                  <c:v>1.4285714285714285E-2</c:v>
                </c:pt>
                <c:pt idx="36">
                  <c:v>0</c:v>
                </c:pt>
                <c:pt idx="37">
                  <c:v>0</c:v>
                </c:pt>
                <c:pt idx="38">
                  <c:v>2.8571428571428571E-2</c:v>
                </c:pt>
                <c:pt idx="39">
                  <c:v>0</c:v>
                </c:pt>
                <c:pt idx="40">
                  <c:v>1.4285714285714285E-2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DD-4908-A2A9-B22D024B5C0D}"/>
            </c:ext>
          </c:extLst>
        </c:ser>
        <c:ser>
          <c:idx val="0"/>
          <c:order val="1"/>
          <c:tx>
            <c:v>Zug 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38100">
                <a:solidFill>
                  <a:srgbClr val="0000FF"/>
                </a:solidFill>
              </a:ln>
              <a:effectLst/>
            </c:spPr>
          </c:marker>
          <c:xVal>
            <c:numRef>
              <c:f>Häufigkeiten!$U$7:$U$51</c:f>
              <c:numCache>
                <c:formatCode>General</c:formatCode>
                <c:ptCount val="45"/>
                <c:pt idx="0">
                  <c:v>155</c:v>
                </c:pt>
                <c:pt idx="1">
                  <c:v>156</c:v>
                </c:pt>
                <c:pt idx="2">
                  <c:v>157</c:v>
                </c:pt>
                <c:pt idx="3">
                  <c:v>158</c:v>
                </c:pt>
                <c:pt idx="4">
                  <c:v>159</c:v>
                </c:pt>
                <c:pt idx="5">
                  <c:v>160</c:v>
                </c:pt>
                <c:pt idx="6">
                  <c:v>161</c:v>
                </c:pt>
                <c:pt idx="7">
                  <c:v>162</c:v>
                </c:pt>
                <c:pt idx="8">
                  <c:v>163</c:v>
                </c:pt>
                <c:pt idx="9">
                  <c:v>164</c:v>
                </c:pt>
                <c:pt idx="10">
                  <c:v>165</c:v>
                </c:pt>
                <c:pt idx="11">
                  <c:v>166</c:v>
                </c:pt>
                <c:pt idx="12">
                  <c:v>167</c:v>
                </c:pt>
                <c:pt idx="13">
                  <c:v>168</c:v>
                </c:pt>
                <c:pt idx="14">
                  <c:v>169</c:v>
                </c:pt>
                <c:pt idx="15">
                  <c:v>170</c:v>
                </c:pt>
                <c:pt idx="16">
                  <c:v>171</c:v>
                </c:pt>
                <c:pt idx="17">
                  <c:v>172</c:v>
                </c:pt>
                <c:pt idx="18">
                  <c:v>173</c:v>
                </c:pt>
                <c:pt idx="19">
                  <c:v>174</c:v>
                </c:pt>
                <c:pt idx="20">
                  <c:v>175</c:v>
                </c:pt>
                <c:pt idx="21">
                  <c:v>176</c:v>
                </c:pt>
                <c:pt idx="22">
                  <c:v>177</c:v>
                </c:pt>
                <c:pt idx="23">
                  <c:v>178</c:v>
                </c:pt>
                <c:pt idx="24">
                  <c:v>179</c:v>
                </c:pt>
                <c:pt idx="25">
                  <c:v>180</c:v>
                </c:pt>
                <c:pt idx="26">
                  <c:v>181</c:v>
                </c:pt>
                <c:pt idx="27">
                  <c:v>182</c:v>
                </c:pt>
                <c:pt idx="28">
                  <c:v>183</c:v>
                </c:pt>
                <c:pt idx="29">
                  <c:v>184</c:v>
                </c:pt>
                <c:pt idx="30">
                  <c:v>185</c:v>
                </c:pt>
                <c:pt idx="31">
                  <c:v>186</c:v>
                </c:pt>
                <c:pt idx="32">
                  <c:v>187</c:v>
                </c:pt>
                <c:pt idx="33">
                  <c:v>188</c:v>
                </c:pt>
                <c:pt idx="34">
                  <c:v>189</c:v>
                </c:pt>
                <c:pt idx="35">
                  <c:v>190</c:v>
                </c:pt>
                <c:pt idx="36">
                  <c:v>191</c:v>
                </c:pt>
                <c:pt idx="37">
                  <c:v>192</c:v>
                </c:pt>
                <c:pt idx="38">
                  <c:v>193</c:v>
                </c:pt>
                <c:pt idx="39">
                  <c:v>194</c:v>
                </c:pt>
                <c:pt idx="40">
                  <c:v>195</c:v>
                </c:pt>
                <c:pt idx="41">
                  <c:v>196</c:v>
                </c:pt>
                <c:pt idx="42">
                  <c:v>197</c:v>
                </c:pt>
                <c:pt idx="43">
                  <c:v>198</c:v>
                </c:pt>
                <c:pt idx="44">
                  <c:v>199</c:v>
                </c:pt>
              </c:numCache>
            </c:numRef>
          </c:xVal>
          <c:yVal>
            <c:numRef>
              <c:f>Häufigkeiten!$W$7:$W$51</c:f>
              <c:numCache>
                <c:formatCode>#\ ??/41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7.3170731707317069E-2</c:v>
                </c:pt>
                <c:pt idx="6">
                  <c:v>2.4390243902439025E-2</c:v>
                </c:pt>
                <c:pt idx="7">
                  <c:v>0</c:v>
                </c:pt>
                <c:pt idx="8">
                  <c:v>7.3170731707317069E-2</c:v>
                </c:pt>
                <c:pt idx="9">
                  <c:v>2.4390243902439025E-2</c:v>
                </c:pt>
                <c:pt idx="10">
                  <c:v>2.4390243902439025E-2</c:v>
                </c:pt>
                <c:pt idx="11">
                  <c:v>0</c:v>
                </c:pt>
                <c:pt idx="12">
                  <c:v>0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0.12195121951219512</c:v>
                </c:pt>
                <c:pt idx="16">
                  <c:v>2.4390243902439025E-2</c:v>
                </c:pt>
                <c:pt idx="17">
                  <c:v>2.4390243902439025E-2</c:v>
                </c:pt>
                <c:pt idx="18">
                  <c:v>2.4390243902439025E-2</c:v>
                </c:pt>
                <c:pt idx="19">
                  <c:v>4.878048780487805E-2</c:v>
                </c:pt>
                <c:pt idx="20">
                  <c:v>0</c:v>
                </c:pt>
                <c:pt idx="21">
                  <c:v>2.4390243902439025E-2</c:v>
                </c:pt>
                <c:pt idx="22">
                  <c:v>0</c:v>
                </c:pt>
                <c:pt idx="23">
                  <c:v>2.4390243902439025E-2</c:v>
                </c:pt>
                <c:pt idx="24">
                  <c:v>0</c:v>
                </c:pt>
                <c:pt idx="25">
                  <c:v>7.3170731707317069E-2</c:v>
                </c:pt>
                <c:pt idx="26">
                  <c:v>0</c:v>
                </c:pt>
                <c:pt idx="27">
                  <c:v>7.3170731707317069E-2</c:v>
                </c:pt>
                <c:pt idx="28">
                  <c:v>4.878048780487805E-2</c:v>
                </c:pt>
                <c:pt idx="29">
                  <c:v>2.4390243902439025E-2</c:v>
                </c:pt>
                <c:pt idx="30">
                  <c:v>7.3170731707317069E-2</c:v>
                </c:pt>
                <c:pt idx="31">
                  <c:v>0</c:v>
                </c:pt>
                <c:pt idx="32">
                  <c:v>4.878048780487805E-2</c:v>
                </c:pt>
                <c:pt idx="33">
                  <c:v>0</c:v>
                </c:pt>
                <c:pt idx="34">
                  <c:v>2.4390243902439025E-2</c:v>
                </c:pt>
                <c:pt idx="35">
                  <c:v>2.4390243902439025E-2</c:v>
                </c:pt>
                <c:pt idx="36">
                  <c:v>0</c:v>
                </c:pt>
                <c:pt idx="37">
                  <c:v>0</c:v>
                </c:pt>
                <c:pt idx="38">
                  <c:v>4.878048780487805E-2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DD-4908-A2A9-B22D024B5C0D}"/>
            </c:ext>
          </c:extLst>
        </c:ser>
        <c:ser>
          <c:idx val="2"/>
          <c:order val="2"/>
          <c:tx>
            <c:v>Zug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Häufigkeiten!$AK$7:$AK$51</c:f>
              <c:numCache>
                <c:formatCode>General</c:formatCode>
                <c:ptCount val="45"/>
                <c:pt idx="0">
                  <c:v>155</c:v>
                </c:pt>
                <c:pt idx="1">
                  <c:v>156</c:v>
                </c:pt>
                <c:pt idx="2">
                  <c:v>157</c:v>
                </c:pt>
                <c:pt idx="3">
                  <c:v>158</c:v>
                </c:pt>
                <c:pt idx="4">
                  <c:v>159</c:v>
                </c:pt>
                <c:pt idx="5">
                  <c:v>160</c:v>
                </c:pt>
                <c:pt idx="6">
                  <c:v>161</c:v>
                </c:pt>
                <c:pt idx="7">
                  <c:v>162</c:v>
                </c:pt>
                <c:pt idx="8">
                  <c:v>163</c:v>
                </c:pt>
                <c:pt idx="9">
                  <c:v>164</c:v>
                </c:pt>
                <c:pt idx="10">
                  <c:v>165</c:v>
                </c:pt>
                <c:pt idx="11">
                  <c:v>166</c:v>
                </c:pt>
                <c:pt idx="12">
                  <c:v>167</c:v>
                </c:pt>
                <c:pt idx="13">
                  <c:v>168</c:v>
                </c:pt>
                <c:pt idx="14">
                  <c:v>169</c:v>
                </c:pt>
                <c:pt idx="15">
                  <c:v>170</c:v>
                </c:pt>
                <c:pt idx="16">
                  <c:v>171</c:v>
                </c:pt>
                <c:pt idx="17">
                  <c:v>172</c:v>
                </c:pt>
                <c:pt idx="18">
                  <c:v>173</c:v>
                </c:pt>
                <c:pt idx="19">
                  <c:v>174</c:v>
                </c:pt>
                <c:pt idx="20">
                  <c:v>175</c:v>
                </c:pt>
                <c:pt idx="21">
                  <c:v>176</c:v>
                </c:pt>
                <c:pt idx="22">
                  <c:v>177</c:v>
                </c:pt>
                <c:pt idx="23">
                  <c:v>178</c:v>
                </c:pt>
                <c:pt idx="24">
                  <c:v>179</c:v>
                </c:pt>
                <c:pt idx="25">
                  <c:v>180</c:v>
                </c:pt>
                <c:pt idx="26">
                  <c:v>181</c:v>
                </c:pt>
                <c:pt idx="27">
                  <c:v>182</c:v>
                </c:pt>
                <c:pt idx="28">
                  <c:v>183</c:v>
                </c:pt>
                <c:pt idx="29">
                  <c:v>184</c:v>
                </c:pt>
                <c:pt idx="30">
                  <c:v>185</c:v>
                </c:pt>
                <c:pt idx="31">
                  <c:v>186</c:v>
                </c:pt>
                <c:pt idx="32">
                  <c:v>187</c:v>
                </c:pt>
                <c:pt idx="33">
                  <c:v>188</c:v>
                </c:pt>
                <c:pt idx="34">
                  <c:v>189</c:v>
                </c:pt>
                <c:pt idx="35">
                  <c:v>190</c:v>
                </c:pt>
                <c:pt idx="36">
                  <c:v>191</c:v>
                </c:pt>
                <c:pt idx="37">
                  <c:v>192</c:v>
                </c:pt>
                <c:pt idx="38">
                  <c:v>193</c:v>
                </c:pt>
                <c:pt idx="39">
                  <c:v>194</c:v>
                </c:pt>
                <c:pt idx="40">
                  <c:v>195</c:v>
                </c:pt>
                <c:pt idx="41">
                  <c:v>196</c:v>
                </c:pt>
                <c:pt idx="42">
                  <c:v>197</c:v>
                </c:pt>
                <c:pt idx="43">
                  <c:v>198</c:v>
                </c:pt>
                <c:pt idx="44">
                  <c:v>199</c:v>
                </c:pt>
              </c:numCache>
            </c:numRef>
          </c:xVal>
          <c:yVal>
            <c:numRef>
              <c:f>Häufigkeiten!$AM$7:$AM$51</c:f>
              <c:numCache>
                <c:formatCode>#\ ??/21</c:formatCode>
                <c:ptCount val="45"/>
                <c:pt idx="0">
                  <c:v>3.4482758620689655E-2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6.8965517241379309E-2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6.8965517241379309E-2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6.8965517241379309E-2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3.4482758620689655E-2</c:v>
                </c:pt>
                <c:pt idx="20">
                  <c:v>3.4482758620689655E-2</c:v>
                </c:pt>
                <c:pt idx="21">
                  <c:v>0.17241379310344829</c:v>
                </c:pt>
                <c:pt idx="22">
                  <c:v>0</c:v>
                </c:pt>
                <c:pt idx="23">
                  <c:v>6.8965517241379309E-2</c:v>
                </c:pt>
                <c:pt idx="24">
                  <c:v>0</c:v>
                </c:pt>
                <c:pt idx="25">
                  <c:v>3.4482758620689655E-2</c:v>
                </c:pt>
                <c:pt idx="26">
                  <c:v>0</c:v>
                </c:pt>
                <c:pt idx="27">
                  <c:v>6.8965517241379309E-2</c:v>
                </c:pt>
                <c:pt idx="28">
                  <c:v>6.8965517241379309E-2</c:v>
                </c:pt>
                <c:pt idx="29">
                  <c:v>6.8965517241379309E-2</c:v>
                </c:pt>
                <c:pt idx="30">
                  <c:v>0.13793103448275862</c:v>
                </c:pt>
                <c:pt idx="31">
                  <c:v>0</c:v>
                </c:pt>
                <c:pt idx="32">
                  <c:v>0</c:v>
                </c:pt>
                <c:pt idx="33">
                  <c:v>3.4482758620689655E-2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3.4482758620689655E-2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DD-4908-A2A9-B22D024B5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092239"/>
        <c:axId val="1263093071"/>
      </c:scatterChart>
      <c:valAx>
        <c:axId val="1263092239"/>
        <c:scaling>
          <c:orientation val="minMax"/>
          <c:max val="200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>
                    <a:solidFill>
                      <a:sysClr val="windowText" lastClr="000000"/>
                    </a:solidFill>
                  </a:rPr>
                  <a:t>x</a:t>
                </a:r>
                <a:r>
                  <a:rPr lang="de-DE" sz="1800" baseline="0">
                    <a:solidFill>
                      <a:sysClr val="windowText" lastClr="000000"/>
                    </a:solidFill>
                  </a:rPr>
                  <a:t> in Jahren</a:t>
                </a:r>
                <a:endParaRPr lang="de-DE" sz="18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3093071"/>
        <c:crosses val="autoZero"/>
        <c:crossBetween val="midCat"/>
        <c:majorUnit val="5"/>
        <c:minorUnit val="1"/>
      </c:valAx>
      <c:valAx>
        <c:axId val="12630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>
                    <a:solidFill>
                      <a:sysClr val="windowText" lastClr="000000"/>
                    </a:solidFill>
                  </a:rPr>
                  <a:t>h(x)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309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 sz="2160" b="1">
                <a:solidFill>
                  <a:sysClr val="windowText" lastClr="000000"/>
                </a:solidFill>
              </a:rPr>
              <a:t>Häufigkeitsfunktion Alter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Zug a &amp;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38100">
                <a:solidFill>
                  <a:srgbClr val="FF0000"/>
                </a:solidFill>
              </a:ln>
              <a:effectLst/>
            </c:spPr>
          </c:marker>
          <c:xVal>
            <c:numRef>
              <c:f>Häufigkeiten!$A$8:$A$17</c:f>
              <c:numCache>
                <c:formatCode>General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</c:numCache>
            </c:numRef>
          </c:xVal>
          <c:yVal>
            <c:numRef>
              <c:f>Häufigkeiten!$C$8:$C$17</c:f>
              <c:numCache>
                <c:formatCode>#\ ??/70</c:formatCode>
                <c:ptCount val="10"/>
                <c:pt idx="0">
                  <c:v>4.2857142857142858E-2</c:v>
                </c:pt>
                <c:pt idx="1">
                  <c:v>0.14285714285714285</c:v>
                </c:pt>
                <c:pt idx="2">
                  <c:v>0.15714285714285714</c:v>
                </c:pt>
                <c:pt idx="3">
                  <c:v>0.2</c:v>
                </c:pt>
                <c:pt idx="4">
                  <c:v>0.12857142857142856</c:v>
                </c:pt>
                <c:pt idx="5">
                  <c:v>8.5714285714285715E-2</c:v>
                </c:pt>
                <c:pt idx="6">
                  <c:v>0.11428571428571428</c:v>
                </c:pt>
                <c:pt idx="7">
                  <c:v>8.5714285714285715E-2</c:v>
                </c:pt>
                <c:pt idx="8">
                  <c:v>1.4285714285714285E-2</c:v>
                </c:pt>
                <c:pt idx="9">
                  <c:v>2.8571428571428571E-2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B1-47A3-9AD2-3AE1D693BF74}"/>
            </c:ext>
          </c:extLst>
        </c:ser>
        <c:ser>
          <c:idx val="0"/>
          <c:order val="1"/>
          <c:tx>
            <c:v>Zug a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38100">
                <a:solidFill>
                  <a:srgbClr val="0000FF"/>
                </a:solidFill>
              </a:ln>
              <a:effectLst/>
            </c:spPr>
          </c:marker>
          <c:xVal>
            <c:numRef>
              <c:f>Häufigkeiten!$Q$8:$Q$17</c:f>
              <c:numCache>
                <c:formatCode>General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</c:numCache>
            </c:numRef>
          </c:xVal>
          <c:yVal>
            <c:numRef>
              <c:f>Häufigkeiten!$S$8:$S$17</c:f>
              <c:numCache>
                <c:formatCode>#\ ??/41</c:formatCode>
                <c:ptCount val="10"/>
                <c:pt idx="0">
                  <c:v>4.878048780487805E-2</c:v>
                </c:pt>
                <c:pt idx="1">
                  <c:v>0.14634146341463414</c:v>
                </c:pt>
                <c:pt idx="2">
                  <c:v>0.21951219512195122</c:v>
                </c:pt>
                <c:pt idx="3">
                  <c:v>0.1951219512195122</c:v>
                </c:pt>
                <c:pt idx="4">
                  <c:v>7.3170731707317069E-2</c:v>
                </c:pt>
                <c:pt idx="5">
                  <c:v>0.12195121951219512</c:v>
                </c:pt>
                <c:pt idx="6">
                  <c:v>7.3170731707317069E-2</c:v>
                </c:pt>
                <c:pt idx="7">
                  <c:v>4.878048780487805E-2</c:v>
                </c:pt>
                <c:pt idx="8">
                  <c:v>2.4390243902439025E-2</c:v>
                </c:pt>
                <c:pt idx="9">
                  <c:v>4.878048780487805E-2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B1-47A3-9AD2-3AE1D693BF74}"/>
            </c:ext>
          </c:extLst>
        </c:ser>
        <c:ser>
          <c:idx val="2"/>
          <c:order val="2"/>
          <c:tx>
            <c:v>Zug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Häufigkeiten!$AG$8:$AG$15</c:f>
              <c:numCache>
                <c:formatCode>General</c:formatCode>
                <c:ptCount val="8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</c:numCache>
            </c:numRef>
          </c:xVal>
          <c:yVal>
            <c:numRef>
              <c:f>Häufigkeiten!$AI$8:$AI$15</c:f>
              <c:numCache>
                <c:formatCode>#\ ??/21</c:formatCode>
                <c:ptCount val="8"/>
                <c:pt idx="0">
                  <c:v>3.4482758620689655E-2</c:v>
                </c:pt>
                <c:pt idx="1">
                  <c:v>0.13793103448275862</c:v>
                </c:pt>
                <c:pt idx="2">
                  <c:v>6.8965517241379309E-2</c:v>
                </c:pt>
                <c:pt idx="3">
                  <c:v>0.20689655172413793</c:v>
                </c:pt>
                <c:pt idx="4">
                  <c:v>0.20689655172413793</c:v>
                </c:pt>
                <c:pt idx="5">
                  <c:v>3.4482758620689655E-2</c:v>
                </c:pt>
                <c:pt idx="6">
                  <c:v>0.17241379310344829</c:v>
                </c:pt>
                <c:pt idx="7">
                  <c:v>0.13793103448275862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B1-47A3-9AD2-3AE1D693B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092239"/>
        <c:axId val="1263093071"/>
      </c:scatterChart>
      <c:valAx>
        <c:axId val="1263092239"/>
        <c:scaling>
          <c:orientation val="minMax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>
                    <a:solidFill>
                      <a:sysClr val="windowText" lastClr="000000"/>
                    </a:solidFill>
                  </a:rPr>
                  <a:t>x</a:t>
                </a:r>
                <a:r>
                  <a:rPr lang="de-DE" sz="1800" baseline="0">
                    <a:solidFill>
                      <a:sysClr val="windowText" lastClr="000000"/>
                    </a:solidFill>
                  </a:rPr>
                  <a:t> in Jahren</a:t>
                </a:r>
                <a:endParaRPr lang="de-DE" sz="18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3093071"/>
        <c:crosses val="autoZero"/>
        <c:crossBetween val="midCat"/>
        <c:majorUnit val="1"/>
        <c:minorUnit val="0.5"/>
      </c:valAx>
      <c:valAx>
        <c:axId val="12630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>
                    <a:solidFill>
                      <a:sysClr val="windowText" lastClr="000000"/>
                    </a:solidFill>
                  </a:rPr>
                  <a:t>h(x)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3092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Säulendiagramm absolute</a:t>
            </a:r>
            <a:r>
              <a:rPr lang="de-DE" baseline="0"/>
              <a:t> Häufigkeit Alter</a:t>
            </a:r>
            <a:endParaRPr lang="de-DE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Zug a &amp; b</c:v>
          </c:tx>
          <c:spPr>
            <a:solidFill>
              <a:srgbClr val="FF0000"/>
            </a:solidFill>
          </c:spPr>
          <c:invertIfNegative val="0"/>
          <c:cat>
            <c:numRef>
              <c:f>Häufigkeiten!$A$7:$A$19</c:f>
              <c:numCache>
                <c:formatCode>General</c:formatCod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numCache>
            </c:numRef>
          </c:cat>
          <c:val>
            <c:numRef>
              <c:f>Häufigkeiten!$B$7:$B$19</c:f>
              <c:numCache>
                <c:formatCode>General</c:formatCode>
                <c:ptCount val="13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11</c:v>
                </c:pt>
                <c:pt idx="4">
                  <c:v>14</c:v>
                </c:pt>
                <c:pt idx="5">
                  <c:v>9</c:v>
                </c:pt>
                <c:pt idx="6">
                  <c:v>6</c:v>
                </c:pt>
                <c:pt idx="7">
                  <c:v>8</c:v>
                </c:pt>
                <c:pt idx="8">
                  <c:v>6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6-46E6-BE93-AEDC1B9D5934}"/>
            </c:ext>
          </c:extLst>
        </c:ser>
        <c:ser>
          <c:idx val="1"/>
          <c:order val="1"/>
          <c:tx>
            <c:v>Zug a</c:v>
          </c:tx>
          <c:spPr>
            <a:solidFill>
              <a:srgbClr val="0000FF"/>
            </a:solidFill>
          </c:spPr>
          <c:invertIfNegative val="0"/>
          <c:cat>
            <c:numRef>
              <c:f>Häufigkeiten!$A$7:$A$19</c:f>
              <c:numCache>
                <c:formatCode>General</c:formatCod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numCache>
            </c:numRef>
          </c:cat>
          <c:val>
            <c:numRef>
              <c:f>Häufigkeiten!$R$7:$R$19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6-46E6-BE93-AEDC1B9D5934}"/>
            </c:ext>
          </c:extLst>
        </c:ser>
        <c:ser>
          <c:idx val="2"/>
          <c:order val="2"/>
          <c:tx>
            <c:v>Zug b</c:v>
          </c:tx>
          <c:spPr>
            <a:solidFill>
              <a:srgbClr val="00B050"/>
            </a:solidFill>
          </c:spPr>
          <c:invertIfNegative val="0"/>
          <c:cat>
            <c:numRef>
              <c:f>Häufigkeiten!$A$7:$A$19</c:f>
              <c:numCache>
                <c:formatCode>General</c:formatCod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numCache>
            </c:numRef>
          </c:cat>
          <c:val>
            <c:numRef>
              <c:f>Häufigkeiten!$AH$7:$AH$19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F6-46E6-BE93-AEDC1B9D5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32704"/>
        <c:axId val="97434624"/>
      </c:barChart>
      <c:catAx>
        <c:axId val="9743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x in Jahren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de-DE"/>
          </a:p>
        </c:txPr>
        <c:crossAx val="97434624"/>
        <c:crosses val="autoZero"/>
        <c:auto val="1"/>
        <c:lblAlgn val="ctr"/>
        <c:lblOffset val="100"/>
        <c:noMultiLvlLbl val="0"/>
      </c:catAx>
      <c:valAx>
        <c:axId val="97434624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absH(X)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432704"/>
        <c:crosses val="autoZero"/>
        <c:crossBetween val="between"/>
        <c:minorUnit val="1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 baseline="0"/>
      </a:pPr>
      <a:endParaRPr lang="de-DE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Grafische</a:t>
            </a:r>
            <a:r>
              <a:rPr lang="de-DE" baseline="0"/>
              <a:t> Darstellung Alter (II)</a:t>
            </a:r>
            <a:endParaRPr lang="de-DE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Zug a &amp; b</c:v>
          </c:tx>
          <c:spPr>
            <a:solidFill>
              <a:srgbClr val="FF0000"/>
            </a:solidFill>
          </c:spPr>
          <c:invertIfNegative val="0"/>
          <c:cat>
            <c:numRef>
              <c:f>Häufigkeiten!$A$7:$A$19</c:f>
              <c:numCache>
                <c:formatCode>General</c:formatCod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numCache>
            </c:numRef>
          </c:cat>
          <c:val>
            <c:numRef>
              <c:f>Häufigkeiten!$C$7:$C$19</c:f>
              <c:numCache>
                <c:formatCode>#\ ??/70</c:formatCode>
                <c:ptCount val="13"/>
                <c:pt idx="0">
                  <c:v>0</c:v>
                </c:pt>
                <c:pt idx="1">
                  <c:v>4.2857142857142858E-2</c:v>
                </c:pt>
                <c:pt idx="2">
                  <c:v>0.14285714285714285</c:v>
                </c:pt>
                <c:pt idx="3">
                  <c:v>0.15714285714285714</c:v>
                </c:pt>
                <c:pt idx="4">
                  <c:v>0.2</c:v>
                </c:pt>
                <c:pt idx="5">
                  <c:v>0.12857142857142856</c:v>
                </c:pt>
                <c:pt idx="6">
                  <c:v>8.5714285714285715E-2</c:v>
                </c:pt>
                <c:pt idx="7">
                  <c:v>0.11428571428571428</c:v>
                </c:pt>
                <c:pt idx="8">
                  <c:v>8.5714285714285715E-2</c:v>
                </c:pt>
                <c:pt idx="9">
                  <c:v>1.4285714285714285E-2</c:v>
                </c:pt>
                <c:pt idx="10">
                  <c:v>2.8571428571428571E-2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C-4088-B4C9-61F38F15A7E6}"/>
            </c:ext>
          </c:extLst>
        </c:ser>
        <c:ser>
          <c:idx val="1"/>
          <c:order val="1"/>
          <c:tx>
            <c:v>Zug a</c:v>
          </c:tx>
          <c:spPr>
            <a:solidFill>
              <a:srgbClr val="0000FF"/>
            </a:solidFill>
          </c:spPr>
          <c:invertIfNegative val="0"/>
          <c:cat>
            <c:numRef>
              <c:f>Häufigkeiten!$A$7:$A$19</c:f>
              <c:numCache>
                <c:formatCode>General</c:formatCod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numCache>
            </c:numRef>
          </c:cat>
          <c:val>
            <c:numRef>
              <c:f>Häufigkeiten!$S$7:$S$19</c:f>
              <c:numCache>
                <c:formatCode>#\ ??/41</c:formatCode>
                <c:ptCount val="13"/>
                <c:pt idx="0">
                  <c:v>0</c:v>
                </c:pt>
                <c:pt idx="1">
                  <c:v>4.878048780487805E-2</c:v>
                </c:pt>
                <c:pt idx="2">
                  <c:v>0.14634146341463414</c:v>
                </c:pt>
                <c:pt idx="3">
                  <c:v>0.21951219512195122</c:v>
                </c:pt>
                <c:pt idx="4">
                  <c:v>0.1951219512195122</c:v>
                </c:pt>
                <c:pt idx="5">
                  <c:v>7.3170731707317069E-2</c:v>
                </c:pt>
                <c:pt idx="6">
                  <c:v>0.12195121951219512</c:v>
                </c:pt>
                <c:pt idx="7">
                  <c:v>7.3170731707317069E-2</c:v>
                </c:pt>
                <c:pt idx="8">
                  <c:v>4.878048780487805E-2</c:v>
                </c:pt>
                <c:pt idx="9">
                  <c:v>2.4390243902439025E-2</c:v>
                </c:pt>
                <c:pt idx="10">
                  <c:v>4.878048780487805E-2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FC-4088-B4C9-61F38F15A7E6}"/>
            </c:ext>
          </c:extLst>
        </c:ser>
        <c:ser>
          <c:idx val="2"/>
          <c:order val="2"/>
          <c:tx>
            <c:v>Zug b</c:v>
          </c:tx>
          <c:spPr>
            <a:solidFill>
              <a:srgbClr val="00B050"/>
            </a:solidFill>
          </c:spPr>
          <c:invertIfNegative val="0"/>
          <c:cat>
            <c:numRef>
              <c:f>Häufigkeiten!$A$7:$A$19</c:f>
              <c:numCache>
                <c:formatCode>General</c:formatCod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numCache>
            </c:numRef>
          </c:cat>
          <c:val>
            <c:numRef>
              <c:f>Häufigkeiten!$AI$7:$AI$19</c:f>
              <c:numCache>
                <c:formatCode>#\ ??/21</c:formatCode>
                <c:ptCount val="13"/>
                <c:pt idx="0">
                  <c:v>0</c:v>
                </c:pt>
                <c:pt idx="1">
                  <c:v>3.4482758620689655E-2</c:v>
                </c:pt>
                <c:pt idx="2">
                  <c:v>0.13793103448275862</c:v>
                </c:pt>
                <c:pt idx="3">
                  <c:v>6.8965517241379309E-2</c:v>
                </c:pt>
                <c:pt idx="4">
                  <c:v>0.20689655172413793</c:v>
                </c:pt>
                <c:pt idx="5">
                  <c:v>0.20689655172413793</c:v>
                </c:pt>
                <c:pt idx="6">
                  <c:v>3.4482758620689655E-2</c:v>
                </c:pt>
                <c:pt idx="7">
                  <c:v>0.17241379310344829</c:v>
                </c:pt>
                <c:pt idx="8">
                  <c:v>0.13793103448275862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FC-4088-B4C9-61F38F15A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960448"/>
        <c:axId val="155962368"/>
      </c:barChart>
      <c:catAx>
        <c:axId val="15596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Alter in Jahren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de-DE"/>
          </a:p>
        </c:txPr>
        <c:crossAx val="155962368"/>
        <c:crosses val="autoZero"/>
        <c:auto val="1"/>
        <c:lblAlgn val="ctr"/>
        <c:lblOffset val="100"/>
        <c:noMultiLvlLbl val="0"/>
      </c:catAx>
      <c:valAx>
        <c:axId val="155962368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Relative Häufigkeit</a:t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crossAx val="155960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 baseline="0"/>
      </a:pPr>
      <a:endParaRPr lang="de-DE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Grafische</a:t>
            </a:r>
            <a:r>
              <a:rPr lang="de-DE" baseline="0"/>
              <a:t> Darstellung Größe (I)</a:t>
            </a:r>
            <a:endParaRPr lang="de-DE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Zug a &amp; b</c:v>
          </c:tx>
          <c:spPr>
            <a:solidFill>
              <a:srgbClr val="FF0000"/>
            </a:solidFill>
          </c:spPr>
          <c:invertIfNegative val="0"/>
          <c:cat>
            <c:numRef>
              <c:f>Häufigkeiten!$E$7:$E$51</c:f>
              <c:numCache>
                <c:formatCode>General</c:formatCode>
                <c:ptCount val="45"/>
                <c:pt idx="0">
                  <c:v>155</c:v>
                </c:pt>
                <c:pt idx="1">
                  <c:v>156</c:v>
                </c:pt>
                <c:pt idx="2">
                  <c:v>157</c:v>
                </c:pt>
                <c:pt idx="3">
                  <c:v>158</c:v>
                </c:pt>
                <c:pt idx="4">
                  <c:v>159</c:v>
                </c:pt>
                <c:pt idx="5">
                  <c:v>160</c:v>
                </c:pt>
                <c:pt idx="6">
                  <c:v>161</c:v>
                </c:pt>
                <c:pt idx="7">
                  <c:v>162</c:v>
                </c:pt>
                <c:pt idx="8">
                  <c:v>163</c:v>
                </c:pt>
                <c:pt idx="9">
                  <c:v>164</c:v>
                </c:pt>
                <c:pt idx="10">
                  <c:v>165</c:v>
                </c:pt>
                <c:pt idx="11">
                  <c:v>166</c:v>
                </c:pt>
                <c:pt idx="12">
                  <c:v>167</c:v>
                </c:pt>
                <c:pt idx="13">
                  <c:v>168</c:v>
                </c:pt>
                <c:pt idx="14">
                  <c:v>169</c:v>
                </c:pt>
                <c:pt idx="15">
                  <c:v>170</c:v>
                </c:pt>
                <c:pt idx="16">
                  <c:v>171</c:v>
                </c:pt>
                <c:pt idx="17">
                  <c:v>172</c:v>
                </c:pt>
                <c:pt idx="18">
                  <c:v>173</c:v>
                </c:pt>
                <c:pt idx="19">
                  <c:v>174</c:v>
                </c:pt>
                <c:pt idx="20">
                  <c:v>175</c:v>
                </c:pt>
                <c:pt idx="21">
                  <c:v>176</c:v>
                </c:pt>
                <c:pt idx="22">
                  <c:v>177</c:v>
                </c:pt>
                <c:pt idx="23">
                  <c:v>178</c:v>
                </c:pt>
                <c:pt idx="24">
                  <c:v>179</c:v>
                </c:pt>
                <c:pt idx="25">
                  <c:v>180</c:v>
                </c:pt>
                <c:pt idx="26">
                  <c:v>181</c:v>
                </c:pt>
                <c:pt idx="27">
                  <c:v>182</c:v>
                </c:pt>
                <c:pt idx="28">
                  <c:v>183</c:v>
                </c:pt>
                <c:pt idx="29">
                  <c:v>184</c:v>
                </c:pt>
                <c:pt idx="30">
                  <c:v>185</c:v>
                </c:pt>
                <c:pt idx="31">
                  <c:v>186</c:v>
                </c:pt>
                <c:pt idx="32">
                  <c:v>187</c:v>
                </c:pt>
                <c:pt idx="33">
                  <c:v>188</c:v>
                </c:pt>
                <c:pt idx="34">
                  <c:v>189</c:v>
                </c:pt>
                <c:pt idx="35">
                  <c:v>190</c:v>
                </c:pt>
                <c:pt idx="36">
                  <c:v>191</c:v>
                </c:pt>
                <c:pt idx="37">
                  <c:v>192</c:v>
                </c:pt>
                <c:pt idx="38">
                  <c:v>193</c:v>
                </c:pt>
                <c:pt idx="39">
                  <c:v>194</c:v>
                </c:pt>
                <c:pt idx="40">
                  <c:v>195</c:v>
                </c:pt>
                <c:pt idx="41">
                  <c:v>196</c:v>
                </c:pt>
                <c:pt idx="42">
                  <c:v>197</c:v>
                </c:pt>
                <c:pt idx="43">
                  <c:v>198</c:v>
                </c:pt>
                <c:pt idx="44">
                  <c:v>199</c:v>
                </c:pt>
              </c:numCache>
            </c:numRef>
          </c:cat>
          <c:val>
            <c:numRef>
              <c:f>Häufigkeiten!$F$7:$F$51</c:f>
              <c:numCache>
                <c:formatCode>General</c:formatCode>
                <c:ptCount val="4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6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4</c:v>
                </c:pt>
                <c:pt idx="26">
                  <c:v>0</c:v>
                </c:pt>
                <c:pt idx="27">
                  <c:v>5</c:v>
                </c:pt>
                <c:pt idx="28">
                  <c:v>4</c:v>
                </c:pt>
                <c:pt idx="29">
                  <c:v>3</c:v>
                </c:pt>
                <c:pt idx="30">
                  <c:v>7</c:v>
                </c:pt>
                <c:pt idx="31">
                  <c:v>0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0-43CA-8637-3A2CDB965DEE}"/>
            </c:ext>
          </c:extLst>
        </c:ser>
        <c:ser>
          <c:idx val="1"/>
          <c:order val="1"/>
          <c:tx>
            <c:v>Zug a</c:v>
          </c:tx>
          <c:spPr>
            <a:solidFill>
              <a:srgbClr val="0000FF"/>
            </a:solidFill>
          </c:spPr>
          <c:invertIfNegative val="0"/>
          <c:cat>
            <c:numRef>
              <c:f>Häufigkeiten!$E$7:$E$51</c:f>
              <c:numCache>
                <c:formatCode>General</c:formatCode>
                <c:ptCount val="45"/>
                <c:pt idx="0">
                  <c:v>155</c:v>
                </c:pt>
                <c:pt idx="1">
                  <c:v>156</c:v>
                </c:pt>
                <c:pt idx="2">
                  <c:v>157</c:v>
                </c:pt>
                <c:pt idx="3">
                  <c:v>158</c:v>
                </c:pt>
                <c:pt idx="4">
                  <c:v>159</c:v>
                </c:pt>
                <c:pt idx="5">
                  <c:v>160</c:v>
                </c:pt>
                <c:pt idx="6">
                  <c:v>161</c:v>
                </c:pt>
                <c:pt idx="7">
                  <c:v>162</c:v>
                </c:pt>
                <c:pt idx="8">
                  <c:v>163</c:v>
                </c:pt>
                <c:pt idx="9">
                  <c:v>164</c:v>
                </c:pt>
                <c:pt idx="10">
                  <c:v>165</c:v>
                </c:pt>
                <c:pt idx="11">
                  <c:v>166</c:v>
                </c:pt>
                <c:pt idx="12">
                  <c:v>167</c:v>
                </c:pt>
                <c:pt idx="13">
                  <c:v>168</c:v>
                </c:pt>
                <c:pt idx="14">
                  <c:v>169</c:v>
                </c:pt>
                <c:pt idx="15">
                  <c:v>170</c:v>
                </c:pt>
                <c:pt idx="16">
                  <c:v>171</c:v>
                </c:pt>
                <c:pt idx="17">
                  <c:v>172</c:v>
                </c:pt>
                <c:pt idx="18">
                  <c:v>173</c:v>
                </c:pt>
                <c:pt idx="19">
                  <c:v>174</c:v>
                </c:pt>
                <c:pt idx="20">
                  <c:v>175</c:v>
                </c:pt>
                <c:pt idx="21">
                  <c:v>176</c:v>
                </c:pt>
                <c:pt idx="22">
                  <c:v>177</c:v>
                </c:pt>
                <c:pt idx="23">
                  <c:v>178</c:v>
                </c:pt>
                <c:pt idx="24">
                  <c:v>179</c:v>
                </c:pt>
                <c:pt idx="25">
                  <c:v>180</c:v>
                </c:pt>
                <c:pt idx="26">
                  <c:v>181</c:v>
                </c:pt>
                <c:pt idx="27">
                  <c:v>182</c:v>
                </c:pt>
                <c:pt idx="28">
                  <c:v>183</c:v>
                </c:pt>
                <c:pt idx="29">
                  <c:v>184</c:v>
                </c:pt>
                <c:pt idx="30">
                  <c:v>185</c:v>
                </c:pt>
                <c:pt idx="31">
                  <c:v>186</c:v>
                </c:pt>
                <c:pt idx="32">
                  <c:v>187</c:v>
                </c:pt>
                <c:pt idx="33">
                  <c:v>188</c:v>
                </c:pt>
                <c:pt idx="34">
                  <c:v>189</c:v>
                </c:pt>
                <c:pt idx="35">
                  <c:v>190</c:v>
                </c:pt>
                <c:pt idx="36">
                  <c:v>191</c:v>
                </c:pt>
                <c:pt idx="37">
                  <c:v>192</c:v>
                </c:pt>
                <c:pt idx="38">
                  <c:v>193</c:v>
                </c:pt>
                <c:pt idx="39">
                  <c:v>194</c:v>
                </c:pt>
                <c:pt idx="40">
                  <c:v>195</c:v>
                </c:pt>
                <c:pt idx="41">
                  <c:v>196</c:v>
                </c:pt>
                <c:pt idx="42">
                  <c:v>197</c:v>
                </c:pt>
                <c:pt idx="43">
                  <c:v>198</c:v>
                </c:pt>
                <c:pt idx="44">
                  <c:v>199</c:v>
                </c:pt>
              </c:numCache>
            </c:numRef>
          </c:cat>
          <c:val>
            <c:numRef>
              <c:f>Häufigkeiten!$V$7:$V$51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3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0-43CA-8637-3A2CDB965DEE}"/>
            </c:ext>
          </c:extLst>
        </c:ser>
        <c:ser>
          <c:idx val="2"/>
          <c:order val="2"/>
          <c:tx>
            <c:v>Zug b</c:v>
          </c:tx>
          <c:spPr>
            <a:solidFill>
              <a:srgbClr val="00B050"/>
            </a:solidFill>
          </c:spPr>
          <c:invertIfNegative val="0"/>
          <c:cat>
            <c:numRef>
              <c:f>Häufigkeiten!$E$7:$E$51</c:f>
              <c:numCache>
                <c:formatCode>General</c:formatCode>
                <c:ptCount val="45"/>
                <c:pt idx="0">
                  <c:v>155</c:v>
                </c:pt>
                <c:pt idx="1">
                  <c:v>156</c:v>
                </c:pt>
                <c:pt idx="2">
                  <c:v>157</c:v>
                </c:pt>
                <c:pt idx="3">
                  <c:v>158</c:v>
                </c:pt>
                <c:pt idx="4">
                  <c:v>159</c:v>
                </c:pt>
                <c:pt idx="5">
                  <c:v>160</c:v>
                </c:pt>
                <c:pt idx="6">
                  <c:v>161</c:v>
                </c:pt>
                <c:pt idx="7">
                  <c:v>162</c:v>
                </c:pt>
                <c:pt idx="8">
                  <c:v>163</c:v>
                </c:pt>
                <c:pt idx="9">
                  <c:v>164</c:v>
                </c:pt>
                <c:pt idx="10">
                  <c:v>165</c:v>
                </c:pt>
                <c:pt idx="11">
                  <c:v>166</c:v>
                </c:pt>
                <c:pt idx="12">
                  <c:v>167</c:v>
                </c:pt>
                <c:pt idx="13">
                  <c:v>168</c:v>
                </c:pt>
                <c:pt idx="14">
                  <c:v>169</c:v>
                </c:pt>
                <c:pt idx="15">
                  <c:v>170</c:v>
                </c:pt>
                <c:pt idx="16">
                  <c:v>171</c:v>
                </c:pt>
                <c:pt idx="17">
                  <c:v>172</c:v>
                </c:pt>
                <c:pt idx="18">
                  <c:v>173</c:v>
                </c:pt>
                <c:pt idx="19">
                  <c:v>174</c:v>
                </c:pt>
                <c:pt idx="20">
                  <c:v>175</c:v>
                </c:pt>
                <c:pt idx="21">
                  <c:v>176</c:v>
                </c:pt>
                <c:pt idx="22">
                  <c:v>177</c:v>
                </c:pt>
                <c:pt idx="23">
                  <c:v>178</c:v>
                </c:pt>
                <c:pt idx="24">
                  <c:v>179</c:v>
                </c:pt>
                <c:pt idx="25">
                  <c:v>180</c:v>
                </c:pt>
                <c:pt idx="26">
                  <c:v>181</c:v>
                </c:pt>
                <c:pt idx="27">
                  <c:v>182</c:v>
                </c:pt>
                <c:pt idx="28">
                  <c:v>183</c:v>
                </c:pt>
                <c:pt idx="29">
                  <c:v>184</c:v>
                </c:pt>
                <c:pt idx="30">
                  <c:v>185</c:v>
                </c:pt>
                <c:pt idx="31">
                  <c:v>186</c:v>
                </c:pt>
                <c:pt idx="32">
                  <c:v>187</c:v>
                </c:pt>
                <c:pt idx="33">
                  <c:v>188</c:v>
                </c:pt>
                <c:pt idx="34">
                  <c:v>189</c:v>
                </c:pt>
                <c:pt idx="35">
                  <c:v>190</c:v>
                </c:pt>
                <c:pt idx="36">
                  <c:v>191</c:v>
                </c:pt>
                <c:pt idx="37">
                  <c:v>192</c:v>
                </c:pt>
                <c:pt idx="38">
                  <c:v>193</c:v>
                </c:pt>
                <c:pt idx="39">
                  <c:v>194</c:v>
                </c:pt>
                <c:pt idx="40">
                  <c:v>195</c:v>
                </c:pt>
                <c:pt idx="41">
                  <c:v>196</c:v>
                </c:pt>
                <c:pt idx="42">
                  <c:v>197</c:v>
                </c:pt>
                <c:pt idx="43">
                  <c:v>198</c:v>
                </c:pt>
                <c:pt idx="44">
                  <c:v>199</c:v>
                </c:pt>
              </c:numCache>
            </c:numRef>
          </c:cat>
          <c:val>
            <c:numRef>
              <c:f>Häufigkeiten!$AL$7:$AL$51</c:f>
              <c:numCache>
                <c:formatCode>General</c:formatCode>
                <c:ptCount val="4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5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0-43CA-8637-3A2CDB965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595008"/>
        <c:axId val="167625856"/>
      </c:barChart>
      <c:catAx>
        <c:axId val="16759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Größe in cm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de-DE"/>
          </a:p>
        </c:txPr>
        <c:crossAx val="167625856"/>
        <c:crosses val="autoZero"/>
        <c:auto val="1"/>
        <c:lblAlgn val="ctr"/>
        <c:lblOffset val="100"/>
        <c:tickLblSkip val="5"/>
        <c:noMultiLvlLbl val="0"/>
      </c:catAx>
      <c:valAx>
        <c:axId val="1676258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Absolute Häufigkeit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595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 baseline="0"/>
      </a:pPr>
      <a:endParaRPr lang="de-DE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Säulendiagramm relative Häufigkeit Körperlänge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Zug a &amp; b</c:v>
          </c:tx>
          <c:spPr>
            <a:solidFill>
              <a:srgbClr val="FF0000"/>
            </a:solidFill>
          </c:spPr>
          <c:invertIfNegative val="0"/>
          <c:cat>
            <c:numRef>
              <c:f>Häufigkeiten!$E$7:$E$51</c:f>
              <c:numCache>
                <c:formatCode>General</c:formatCode>
                <c:ptCount val="45"/>
                <c:pt idx="0">
                  <c:v>155</c:v>
                </c:pt>
                <c:pt idx="1">
                  <c:v>156</c:v>
                </c:pt>
                <c:pt idx="2">
                  <c:v>157</c:v>
                </c:pt>
                <c:pt idx="3">
                  <c:v>158</c:v>
                </c:pt>
                <c:pt idx="4">
                  <c:v>159</c:v>
                </c:pt>
                <c:pt idx="5">
                  <c:v>160</c:v>
                </c:pt>
                <c:pt idx="6">
                  <c:v>161</c:v>
                </c:pt>
                <c:pt idx="7">
                  <c:v>162</c:v>
                </c:pt>
                <c:pt idx="8">
                  <c:v>163</c:v>
                </c:pt>
                <c:pt idx="9">
                  <c:v>164</c:v>
                </c:pt>
                <c:pt idx="10">
                  <c:v>165</c:v>
                </c:pt>
                <c:pt idx="11">
                  <c:v>166</c:v>
                </c:pt>
                <c:pt idx="12">
                  <c:v>167</c:v>
                </c:pt>
                <c:pt idx="13">
                  <c:v>168</c:v>
                </c:pt>
                <c:pt idx="14">
                  <c:v>169</c:v>
                </c:pt>
                <c:pt idx="15">
                  <c:v>170</c:v>
                </c:pt>
                <c:pt idx="16">
                  <c:v>171</c:v>
                </c:pt>
                <c:pt idx="17">
                  <c:v>172</c:v>
                </c:pt>
                <c:pt idx="18">
                  <c:v>173</c:v>
                </c:pt>
                <c:pt idx="19">
                  <c:v>174</c:v>
                </c:pt>
                <c:pt idx="20">
                  <c:v>175</c:v>
                </c:pt>
                <c:pt idx="21">
                  <c:v>176</c:v>
                </c:pt>
                <c:pt idx="22">
                  <c:v>177</c:v>
                </c:pt>
                <c:pt idx="23">
                  <c:v>178</c:v>
                </c:pt>
                <c:pt idx="24">
                  <c:v>179</c:v>
                </c:pt>
                <c:pt idx="25">
                  <c:v>180</c:v>
                </c:pt>
                <c:pt idx="26">
                  <c:v>181</c:v>
                </c:pt>
                <c:pt idx="27">
                  <c:v>182</c:v>
                </c:pt>
                <c:pt idx="28">
                  <c:v>183</c:v>
                </c:pt>
                <c:pt idx="29">
                  <c:v>184</c:v>
                </c:pt>
                <c:pt idx="30">
                  <c:v>185</c:v>
                </c:pt>
                <c:pt idx="31">
                  <c:v>186</c:v>
                </c:pt>
                <c:pt idx="32">
                  <c:v>187</c:v>
                </c:pt>
                <c:pt idx="33">
                  <c:v>188</c:v>
                </c:pt>
                <c:pt idx="34">
                  <c:v>189</c:v>
                </c:pt>
                <c:pt idx="35">
                  <c:v>190</c:v>
                </c:pt>
                <c:pt idx="36">
                  <c:v>191</c:v>
                </c:pt>
                <c:pt idx="37">
                  <c:v>192</c:v>
                </c:pt>
                <c:pt idx="38">
                  <c:v>193</c:v>
                </c:pt>
                <c:pt idx="39">
                  <c:v>194</c:v>
                </c:pt>
                <c:pt idx="40">
                  <c:v>195</c:v>
                </c:pt>
                <c:pt idx="41">
                  <c:v>196</c:v>
                </c:pt>
                <c:pt idx="42">
                  <c:v>197</c:v>
                </c:pt>
                <c:pt idx="43">
                  <c:v>198</c:v>
                </c:pt>
                <c:pt idx="44">
                  <c:v>199</c:v>
                </c:pt>
              </c:numCache>
            </c:numRef>
          </c:cat>
          <c:val>
            <c:numRef>
              <c:f>Häufigkeiten!$G$7:$G$51</c:f>
              <c:numCache>
                <c:formatCode>#\ ??/70</c:formatCode>
                <c:ptCount val="45"/>
                <c:pt idx="0">
                  <c:v>1.4285714285714285E-2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7.1428571428571425E-2</c:v>
                </c:pt>
                <c:pt idx="6">
                  <c:v>1.4285714285714285E-2</c:v>
                </c:pt>
                <c:pt idx="7">
                  <c:v>0</c:v>
                </c:pt>
                <c:pt idx="8">
                  <c:v>4.2857142857142858E-2</c:v>
                </c:pt>
                <c:pt idx="9">
                  <c:v>1.4285714285714285E-2</c:v>
                </c:pt>
                <c:pt idx="10">
                  <c:v>4.2857142857142858E-2</c:v>
                </c:pt>
                <c:pt idx="11">
                  <c:v>0</c:v>
                </c:pt>
                <c:pt idx="12">
                  <c:v>0</c:v>
                </c:pt>
                <c:pt idx="13">
                  <c:v>1.4285714285714285E-2</c:v>
                </c:pt>
                <c:pt idx="14">
                  <c:v>1.4285714285714285E-2</c:v>
                </c:pt>
                <c:pt idx="15">
                  <c:v>0.1</c:v>
                </c:pt>
                <c:pt idx="16">
                  <c:v>1.4285714285714285E-2</c:v>
                </c:pt>
                <c:pt idx="17">
                  <c:v>1.4285714285714285E-2</c:v>
                </c:pt>
                <c:pt idx="18">
                  <c:v>1.4285714285714285E-2</c:v>
                </c:pt>
                <c:pt idx="19">
                  <c:v>4.2857142857142858E-2</c:v>
                </c:pt>
                <c:pt idx="20">
                  <c:v>1.4285714285714285E-2</c:v>
                </c:pt>
                <c:pt idx="21">
                  <c:v>8.5714285714285715E-2</c:v>
                </c:pt>
                <c:pt idx="22">
                  <c:v>0</c:v>
                </c:pt>
                <c:pt idx="23">
                  <c:v>4.2857142857142858E-2</c:v>
                </c:pt>
                <c:pt idx="24">
                  <c:v>0</c:v>
                </c:pt>
                <c:pt idx="25">
                  <c:v>5.7142857142857141E-2</c:v>
                </c:pt>
                <c:pt idx="26">
                  <c:v>0</c:v>
                </c:pt>
                <c:pt idx="27">
                  <c:v>7.1428571428571425E-2</c:v>
                </c:pt>
                <c:pt idx="28">
                  <c:v>5.7142857142857141E-2</c:v>
                </c:pt>
                <c:pt idx="29">
                  <c:v>4.2857142857142858E-2</c:v>
                </c:pt>
                <c:pt idx="30">
                  <c:v>0.1</c:v>
                </c:pt>
                <c:pt idx="31">
                  <c:v>0</c:v>
                </c:pt>
                <c:pt idx="32">
                  <c:v>2.8571428571428571E-2</c:v>
                </c:pt>
                <c:pt idx="33">
                  <c:v>1.4285714285714285E-2</c:v>
                </c:pt>
                <c:pt idx="34">
                  <c:v>1.4285714285714285E-2</c:v>
                </c:pt>
                <c:pt idx="35">
                  <c:v>1.4285714285714285E-2</c:v>
                </c:pt>
                <c:pt idx="36">
                  <c:v>0</c:v>
                </c:pt>
                <c:pt idx="37">
                  <c:v>0</c:v>
                </c:pt>
                <c:pt idx="38">
                  <c:v>2.8571428571428571E-2</c:v>
                </c:pt>
                <c:pt idx="39">
                  <c:v>0</c:v>
                </c:pt>
                <c:pt idx="40">
                  <c:v>1.4285714285714285E-2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9-4249-A638-033E01CBE988}"/>
            </c:ext>
          </c:extLst>
        </c:ser>
        <c:ser>
          <c:idx val="1"/>
          <c:order val="1"/>
          <c:tx>
            <c:v>Zug a</c:v>
          </c:tx>
          <c:spPr>
            <a:solidFill>
              <a:srgbClr val="0000FF"/>
            </a:solidFill>
          </c:spPr>
          <c:invertIfNegative val="0"/>
          <c:cat>
            <c:numRef>
              <c:f>Häufigkeiten!$E$7:$E$51</c:f>
              <c:numCache>
                <c:formatCode>General</c:formatCode>
                <c:ptCount val="45"/>
                <c:pt idx="0">
                  <c:v>155</c:v>
                </c:pt>
                <c:pt idx="1">
                  <c:v>156</c:v>
                </c:pt>
                <c:pt idx="2">
                  <c:v>157</c:v>
                </c:pt>
                <c:pt idx="3">
                  <c:v>158</c:v>
                </c:pt>
                <c:pt idx="4">
                  <c:v>159</c:v>
                </c:pt>
                <c:pt idx="5">
                  <c:v>160</c:v>
                </c:pt>
                <c:pt idx="6">
                  <c:v>161</c:v>
                </c:pt>
                <c:pt idx="7">
                  <c:v>162</c:v>
                </c:pt>
                <c:pt idx="8">
                  <c:v>163</c:v>
                </c:pt>
                <c:pt idx="9">
                  <c:v>164</c:v>
                </c:pt>
                <c:pt idx="10">
                  <c:v>165</c:v>
                </c:pt>
                <c:pt idx="11">
                  <c:v>166</c:v>
                </c:pt>
                <c:pt idx="12">
                  <c:v>167</c:v>
                </c:pt>
                <c:pt idx="13">
                  <c:v>168</c:v>
                </c:pt>
                <c:pt idx="14">
                  <c:v>169</c:v>
                </c:pt>
                <c:pt idx="15">
                  <c:v>170</c:v>
                </c:pt>
                <c:pt idx="16">
                  <c:v>171</c:v>
                </c:pt>
                <c:pt idx="17">
                  <c:v>172</c:v>
                </c:pt>
                <c:pt idx="18">
                  <c:v>173</c:v>
                </c:pt>
                <c:pt idx="19">
                  <c:v>174</c:v>
                </c:pt>
                <c:pt idx="20">
                  <c:v>175</c:v>
                </c:pt>
                <c:pt idx="21">
                  <c:v>176</c:v>
                </c:pt>
                <c:pt idx="22">
                  <c:v>177</c:v>
                </c:pt>
                <c:pt idx="23">
                  <c:v>178</c:v>
                </c:pt>
                <c:pt idx="24">
                  <c:v>179</c:v>
                </c:pt>
                <c:pt idx="25">
                  <c:v>180</c:v>
                </c:pt>
                <c:pt idx="26">
                  <c:v>181</c:v>
                </c:pt>
                <c:pt idx="27">
                  <c:v>182</c:v>
                </c:pt>
                <c:pt idx="28">
                  <c:v>183</c:v>
                </c:pt>
                <c:pt idx="29">
                  <c:v>184</c:v>
                </c:pt>
                <c:pt idx="30">
                  <c:v>185</c:v>
                </c:pt>
                <c:pt idx="31">
                  <c:v>186</c:v>
                </c:pt>
                <c:pt idx="32">
                  <c:v>187</c:v>
                </c:pt>
                <c:pt idx="33">
                  <c:v>188</c:v>
                </c:pt>
                <c:pt idx="34">
                  <c:v>189</c:v>
                </c:pt>
                <c:pt idx="35">
                  <c:v>190</c:v>
                </c:pt>
                <c:pt idx="36">
                  <c:v>191</c:v>
                </c:pt>
                <c:pt idx="37">
                  <c:v>192</c:v>
                </c:pt>
                <c:pt idx="38">
                  <c:v>193</c:v>
                </c:pt>
                <c:pt idx="39">
                  <c:v>194</c:v>
                </c:pt>
                <c:pt idx="40">
                  <c:v>195</c:v>
                </c:pt>
                <c:pt idx="41">
                  <c:v>196</c:v>
                </c:pt>
                <c:pt idx="42">
                  <c:v>197</c:v>
                </c:pt>
                <c:pt idx="43">
                  <c:v>198</c:v>
                </c:pt>
                <c:pt idx="44">
                  <c:v>199</c:v>
                </c:pt>
              </c:numCache>
            </c:numRef>
          </c:cat>
          <c:val>
            <c:numRef>
              <c:f>Häufigkeiten!$W$7:$W$51</c:f>
              <c:numCache>
                <c:formatCode>#\ ??/41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7.3170731707317069E-2</c:v>
                </c:pt>
                <c:pt idx="6">
                  <c:v>2.4390243902439025E-2</c:v>
                </c:pt>
                <c:pt idx="7">
                  <c:v>0</c:v>
                </c:pt>
                <c:pt idx="8">
                  <c:v>7.3170731707317069E-2</c:v>
                </c:pt>
                <c:pt idx="9">
                  <c:v>2.4390243902439025E-2</c:v>
                </c:pt>
                <c:pt idx="10">
                  <c:v>2.4390243902439025E-2</c:v>
                </c:pt>
                <c:pt idx="11">
                  <c:v>0</c:v>
                </c:pt>
                <c:pt idx="12">
                  <c:v>0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0.12195121951219512</c:v>
                </c:pt>
                <c:pt idx="16">
                  <c:v>2.4390243902439025E-2</c:v>
                </c:pt>
                <c:pt idx="17">
                  <c:v>2.4390243902439025E-2</c:v>
                </c:pt>
                <c:pt idx="18">
                  <c:v>2.4390243902439025E-2</c:v>
                </c:pt>
                <c:pt idx="19">
                  <c:v>4.878048780487805E-2</c:v>
                </c:pt>
                <c:pt idx="20">
                  <c:v>0</c:v>
                </c:pt>
                <c:pt idx="21">
                  <c:v>2.4390243902439025E-2</c:v>
                </c:pt>
                <c:pt idx="22">
                  <c:v>0</c:v>
                </c:pt>
                <c:pt idx="23">
                  <c:v>2.4390243902439025E-2</c:v>
                </c:pt>
                <c:pt idx="24">
                  <c:v>0</c:v>
                </c:pt>
                <c:pt idx="25">
                  <c:v>7.3170731707317069E-2</c:v>
                </c:pt>
                <c:pt idx="26">
                  <c:v>0</c:v>
                </c:pt>
                <c:pt idx="27">
                  <c:v>7.3170731707317069E-2</c:v>
                </c:pt>
                <c:pt idx="28">
                  <c:v>4.878048780487805E-2</c:v>
                </c:pt>
                <c:pt idx="29">
                  <c:v>2.4390243902439025E-2</c:v>
                </c:pt>
                <c:pt idx="30">
                  <c:v>7.3170731707317069E-2</c:v>
                </c:pt>
                <c:pt idx="31">
                  <c:v>0</c:v>
                </c:pt>
                <c:pt idx="32">
                  <c:v>4.878048780487805E-2</c:v>
                </c:pt>
                <c:pt idx="33">
                  <c:v>0</c:v>
                </c:pt>
                <c:pt idx="34">
                  <c:v>2.4390243902439025E-2</c:v>
                </c:pt>
                <c:pt idx="35">
                  <c:v>2.4390243902439025E-2</c:v>
                </c:pt>
                <c:pt idx="36">
                  <c:v>0</c:v>
                </c:pt>
                <c:pt idx="37">
                  <c:v>0</c:v>
                </c:pt>
                <c:pt idx="38">
                  <c:v>4.878048780487805E-2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9-4249-A638-033E01CBE988}"/>
            </c:ext>
          </c:extLst>
        </c:ser>
        <c:ser>
          <c:idx val="2"/>
          <c:order val="2"/>
          <c:tx>
            <c:v>Zug b</c:v>
          </c:tx>
          <c:spPr>
            <a:solidFill>
              <a:srgbClr val="00B050"/>
            </a:solidFill>
          </c:spPr>
          <c:invertIfNegative val="0"/>
          <c:cat>
            <c:numRef>
              <c:f>Häufigkeiten!$E$7:$E$51</c:f>
              <c:numCache>
                <c:formatCode>General</c:formatCode>
                <c:ptCount val="45"/>
                <c:pt idx="0">
                  <c:v>155</c:v>
                </c:pt>
                <c:pt idx="1">
                  <c:v>156</c:v>
                </c:pt>
                <c:pt idx="2">
                  <c:v>157</c:v>
                </c:pt>
                <c:pt idx="3">
                  <c:v>158</c:v>
                </c:pt>
                <c:pt idx="4">
                  <c:v>159</c:v>
                </c:pt>
                <c:pt idx="5">
                  <c:v>160</c:v>
                </c:pt>
                <c:pt idx="6">
                  <c:v>161</c:v>
                </c:pt>
                <c:pt idx="7">
                  <c:v>162</c:v>
                </c:pt>
                <c:pt idx="8">
                  <c:v>163</c:v>
                </c:pt>
                <c:pt idx="9">
                  <c:v>164</c:v>
                </c:pt>
                <c:pt idx="10">
                  <c:v>165</c:v>
                </c:pt>
                <c:pt idx="11">
                  <c:v>166</c:v>
                </c:pt>
                <c:pt idx="12">
                  <c:v>167</c:v>
                </c:pt>
                <c:pt idx="13">
                  <c:v>168</c:v>
                </c:pt>
                <c:pt idx="14">
                  <c:v>169</c:v>
                </c:pt>
                <c:pt idx="15">
                  <c:v>170</c:v>
                </c:pt>
                <c:pt idx="16">
                  <c:v>171</c:v>
                </c:pt>
                <c:pt idx="17">
                  <c:v>172</c:v>
                </c:pt>
                <c:pt idx="18">
                  <c:v>173</c:v>
                </c:pt>
                <c:pt idx="19">
                  <c:v>174</c:v>
                </c:pt>
                <c:pt idx="20">
                  <c:v>175</c:v>
                </c:pt>
                <c:pt idx="21">
                  <c:v>176</c:v>
                </c:pt>
                <c:pt idx="22">
                  <c:v>177</c:v>
                </c:pt>
                <c:pt idx="23">
                  <c:v>178</c:v>
                </c:pt>
                <c:pt idx="24">
                  <c:v>179</c:v>
                </c:pt>
                <c:pt idx="25">
                  <c:v>180</c:v>
                </c:pt>
                <c:pt idx="26">
                  <c:v>181</c:v>
                </c:pt>
                <c:pt idx="27">
                  <c:v>182</c:v>
                </c:pt>
                <c:pt idx="28">
                  <c:v>183</c:v>
                </c:pt>
                <c:pt idx="29">
                  <c:v>184</c:v>
                </c:pt>
                <c:pt idx="30">
                  <c:v>185</c:v>
                </c:pt>
                <c:pt idx="31">
                  <c:v>186</c:v>
                </c:pt>
                <c:pt idx="32">
                  <c:v>187</c:v>
                </c:pt>
                <c:pt idx="33">
                  <c:v>188</c:v>
                </c:pt>
                <c:pt idx="34">
                  <c:v>189</c:v>
                </c:pt>
                <c:pt idx="35">
                  <c:v>190</c:v>
                </c:pt>
                <c:pt idx="36">
                  <c:v>191</c:v>
                </c:pt>
                <c:pt idx="37">
                  <c:v>192</c:v>
                </c:pt>
                <c:pt idx="38">
                  <c:v>193</c:v>
                </c:pt>
                <c:pt idx="39">
                  <c:v>194</c:v>
                </c:pt>
                <c:pt idx="40">
                  <c:v>195</c:v>
                </c:pt>
                <c:pt idx="41">
                  <c:v>196</c:v>
                </c:pt>
                <c:pt idx="42">
                  <c:v>197</c:v>
                </c:pt>
                <c:pt idx="43">
                  <c:v>198</c:v>
                </c:pt>
                <c:pt idx="44">
                  <c:v>199</c:v>
                </c:pt>
              </c:numCache>
            </c:numRef>
          </c:cat>
          <c:val>
            <c:numRef>
              <c:f>Häufigkeiten!$AM$7:$AM$51</c:f>
              <c:numCache>
                <c:formatCode>#\ ??/21</c:formatCode>
                <c:ptCount val="45"/>
                <c:pt idx="0">
                  <c:v>3.4482758620689655E-2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6.8965517241379309E-2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6.8965517241379309E-2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6.8965517241379309E-2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3.4482758620689655E-2</c:v>
                </c:pt>
                <c:pt idx="20">
                  <c:v>3.4482758620689655E-2</c:v>
                </c:pt>
                <c:pt idx="21">
                  <c:v>0.17241379310344829</c:v>
                </c:pt>
                <c:pt idx="22">
                  <c:v>0</c:v>
                </c:pt>
                <c:pt idx="23">
                  <c:v>6.8965517241379309E-2</c:v>
                </c:pt>
                <c:pt idx="24">
                  <c:v>0</c:v>
                </c:pt>
                <c:pt idx="25">
                  <c:v>3.4482758620689655E-2</c:v>
                </c:pt>
                <c:pt idx="26">
                  <c:v>0</c:v>
                </c:pt>
                <c:pt idx="27">
                  <c:v>6.8965517241379309E-2</c:v>
                </c:pt>
                <c:pt idx="28">
                  <c:v>6.8965517241379309E-2</c:v>
                </c:pt>
                <c:pt idx="29">
                  <c:v>6.8965517241379309E-2</c:v>
                </c:pt>
                <c:pt idx="30">
                  <c:v>0.13793103448275862</c:v>
                </c:pt>
                <c:pt idx="31">
                  <c:v>0</c:v>
                </c:pt>
                <c:pt idx="32">
                  <c:v>0</c:v>
                </c:pt>
                <c:pt idx="33">
                  <c:v>3.4482758620689655E-2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3.4482758620689655E-2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89-4249-A638-033E01CBE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15552"/>
        <c:axId val="176217472"/>
      </c:barChart>
      <c:catAx>
        <c:axId val="17621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 in cm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de-DE"/>
          </a:p>
        </c:txPr>
        <c:crossAx val="176217472"/>
        <c:crosses val="autoZero"/>
        <c:auto val="1"/>
        <c:lblAlgn val="ctr"/>
        <c:lblOffset val="100"/>
        <c:tickLblSkip val="5"/>
        <c:noMultiLvlLbl val="0"/>
      </c:catAx>
      <c:valAx>
        <c:axId val="176217472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relH(Y)</a:t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crossAx val="176215552"/>
        <c:crosses val="autoZero"/>
        <c:crossBetween val="between"/>
        <c:majorUnit val="0.05"/>
        <c:minorUnit val="1.0000000000000005E-2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800" baseline="0"/>
      </a:pPr>
      <a:endParaRPr lang="de-DE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Säulendiagramm realtive Häufigkeit Geschlecht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Zug a &amp; b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/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Häufigkeiten!$M$7:$M$8</c:f>
              <c:strCache>
                <c:ptCount val="2"/>
                <c:pt idx="0">
                  <c:v>m</c:v>
                </c:pt>
                <c:pt idx="1">
                  <c:v>w</c:v>
                </c:pt>
              </c:strCache>
            </c:strRef>
          </c:cat>
          <c:val>
            <c:numRef>
              <c:f>Häufigkeiten!$O$7:$O$8</c:f>
              <c:numCache>
                <c:formatCode>#\ ??/??</c:formatCode>
                <c:ptCount val="2"/>
                <c:pt idx="0">
                  <c:v>0.67142857142857137</c:v>
                </c:pt>
                <c:pt idx="1">
                  <c:v>0.32857142857142857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9-4F4E-BBFC-354BF921A244}"/>
            </c:ext>
          </c:extLst>
        </c:ser>
        <c:ser>
          <c:idx val="1"/>
          <c:order val="1"/>
          <c:tx>
            <c:v>Zug a</c:v>
          </c:tx>
          <c:spPr>
            <a:solidFill>
              <a:srgbClr val="0000FF"/>
            </a:solidFill>
            <a:ln>
              <a:solidFill>
                <a:prstClr val="black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/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Häufigkeiten!$M$7:$M$8</c:f>
              <c:strCache>
                <c:ptCount val="2"/>
                <c:pt idx="0">
                  <c:v>m</c:v>
                </c:pt>
                <c:pt idx="1">
                  <c:v>w</c:v>
                </c:pt>
              </c:strCache>
            </c:strRef>
          </c:cat>
          <c:val>
            <c:numRef>
              <c:f>Häufigkeiten!$AE$7:$AE$8</c:f>
              <c:numCache>
                <c:formatCode>#\ ??/??</c:formatCode>
                <c:ptCount val="2"/>
                <c:pt idx="0">
                  <c:v>0.65853658536585369</c:v>
                </c:pt>
                <c:pt idx="1">
                  <c:v>0.34146341463414637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D9-4F4E-BBFC-354BF921A244}"/>
            </c:ext>
          </c:extLst>
        </c:ser>
        <c:ser>
          <c:idx val="2"/>
          <c:order val="2"/>
          <c:tx>
            <c:v>Zug b</c:v>
          </c:tx>
          <c:spPr>
            <a:solidFill>
              <a:srgbClr val="33CC33"/>
            </a:solidFill>
            <a:ln>
              <a:solidFill>
                <a:prstClr val="black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/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Häufigkeiten!$M$7:$M$8</c:f>
              <c:strCache>
                <c:ptCount val="2"/>
                <c:pt idx="0">
                  <c:v>m</c:v>
                </c:pt>
                <c:pt idx="1">
                  <c:v>w</c:v>
                </c:pt>
              </c:strCache>
            </c:strRef>
          </c:cat>
          <c:val>
            <c:numRef>
              <c:f>Häufigkeiten!$AU$7:$AU$8</c:f>
              <c:numCache>
                <c:formatCode>#\ ??/??</c:formatCode>
                <c:ptCount val="2"/>
                <c:pt idx="0">
                  <c:v>0.68965517241379315</c:v>
                </c:pt>
                <c:pt idx="1">
                  <c:v>0.31034482758620691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D9-4F4E-BBFC-354BF921A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0289920"/>
        <c:axId val="176351872"/>
      </c:barChart>
      <c:valAx>
        <c:axId val="176351872"/>
        <c:scaling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baseline="0"/>
                </a:pPr>
                <a:r>
                  <a:rPr lang="de-DE" sz="1800" baseline="0"/>
                  <a:t>relH(G)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de-DE"/>
          </a:p>
        </c:txPr>
        <c:crossAx val="180289920"/>
        <c:crosses val="autoZero"/>
        <c:crossBetween val="between"/>
      </c:valAx>
      <c:catAx>
        <c:axId val="18028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de-DE" sz="1800" baseline="0"/>
                  <a:t>Geschlecht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de-DE"/>
          </a:p>
        </c:txPr>
        <c:crossAx val="176351872"/>
        <c:crosses val="autoZero"/>
        <c:auto val="1"/>
        <c:lblAlgn val="ctr"/>
        <c:lblOffset val="100"/>
        <c:noMultiLvlLbl val="0"/>
      </c:catAx>
    </c:plotArea>
    <c:legend>
      <c:legendPos val="t"/>
      <c:overlay val="0"/>
      <c:txPr>
        <a:bodyPr/>
        <a:lstStyle/>
        <a:p>
          <a:pPr rtl="0">
            <a:defRPr sz="180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Säulendiagramm relative Häufigkeint Berufsausbildung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Zug a &amp; b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/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Häufigkeiten!$AO$7:$AO$8</c:f>
              <c:strCache>
                <c:ptCount val="2"/>
                <c:pt idx="0">
                  <c:v>j</c:v>
                </c:pt>
                <c:pt idx="1">
                  <c:v>n</c:v>
                </c:pt>
              </c:strCache>
            </c:strRef>
          </c:cat>
          <c:val>
            <c:numRef>
              <c:f>Häufigkeiten!$K$7:$K$8</c:f>
              <c:numCache>
                <c:formatCode>#\ ??/??</c:formatCode>
                <c:ptCount val="2"/>
                <c:pt idx="0">
                  <c:v>0.24285714285714285</c:v>
                </c:pt>
                <c:pt idx="1">
                  <c:v>0.75714285714285712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0-42C3-A65A-950F655298BB}"/>
            </c:ext>
          </c:extLst>
        </c:ser>
        <c:ser>
          <c:idx val="1"/>
          <c:order val="1"/>
          <c:tx>
            <c:v>Zug a</c:v>
          </c:tx>
          <c:spPr>
            <a:solidFill>
              <a:srgbClr val="0000FF"/>
            </a:solidFill>
            <a:ln>
              <a:solidFill>
                <a:prstClr val="black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/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Häufigkeiten!$AO$7:$AO$8</c:f>
              <c:strCache>
                <c:ptCount val="2"/>
                <c:pt idx="0">
                  <c:v>j</c:v>
                </c:pt>
                <c:pt idx="1">
                  <c:v>n</c:v>
                </c:pt>
              </c:strCache>
            </c:strRef>
          </c:cat>
          <c:val>
            <c:numRef>
              <c:f>Häufigkeiten!$AA$7:$AA$8</c:f>
              <c:numCache>
                <c:formatCode>#\ ??/??</c:formatCode>
                <c:ptCount val="2"/>
                <c:pt idx="0">
                  <c:v>0.21951219512195122</c:v>
                </c:pt>
                <c:pt idx="1">
                  <c:v>0.78048780487804881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0-42C3-A65A-950F655298BB}"/>
            </c:ext>
          </c:extLst>
        </c:ser>
        <c:ser>
          <c:idx val="2"/>
          <c:order val="2"/>
          <c:tx>
            <c:v>Zug b</c:v>
          </c:tx>
          <c:spPr>
            <a:solidFill>
              <a:srgbClr val="33CC33"/>
            </a:solidFill>
            <a:ln>
              <a:solidFill>
                <a:prstClr val="black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/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Häufigkeiten!$AO$7:$AO$8</c:f>
              <c:strCache>
                <c:ptCount val="2"/>
                <c:pt idx="0">
                  <c:v>j</c:v>
                </c:pt>
                <c:pt idx="1">
                  <c:v>n</c:v>
                </c:pt>
              </c:strCache>
            </c:strRef>
          </c:cat>
          <c:val>
            <c:numRef>
              <c:f>Häufigkeiten!$AQ$7:$AQ$8</c:f>
              <c:numCache>
                <c:formatCode>#\ ??/??</c:formatCode>
                <c:ptCount val="2"/>
                <c:pt idx="0">
                  <c:v>0.27586206896551724</c:v>
                </c:pt>
                <c:pt idx="1">
                  <c:v>0.72413793103448276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0-42C3-A65A-950F6552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0458624"/>
        <c:axId val="180436352"/>
      </c:barChart>
      <c:valAx>
        <c:axId val="180436352"/>
        <c:scaling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de-DE" sz="1800" baseline="0"/>
                  <a:t>relH(B)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de-DE"/>
          </a:p>
        </c:txPr>
        <c:crossAx val="180458624"/>
        <c:crosses val="autoZero"/>
        <c:crossBetween val="between"/>
      </c:valAx>
      <c:catAx>
        <c:axId val="180458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de-DE" sz="1800" baseline="0"/>
                  <a:t>Berufsausbildung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de-DE"/>
          </a:p>
        </c:txPr>
        <c:crossAx val="180436352"/>
        <c:crosses val="autoZero"/>
        <c:auto val="1"/>
        <c:lblAlgn val="ctr"/>
        <c:lblOffset val="100"/>
        <c:noMultiLvlLbl val="0"/>
      </c:catAx>
      <c:spPr>
        <a:ln>
          <a:noFill/>
        </a:ln>
      </c:spPr>
    </c:plotArea>
    <c:legend>
      <c:legendPos val="t"/>
      <c:overlay val="0"/>
      <c:txPr>
        <a:bodyPr/>
        <a:lstStyle/>
        <a:p>
          <a:pPr rtl="0">
            <a:defRPr sz="180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>
                <a:solidFill>
                  <a:srgbClr val="0000FF"/>
                </a:solidFill>
              </a:rPr>
              <a:t>Histogramm</a:t>
            </a:r>
            <a:r>
              <a:rPr lang="de-DE"/>
              <a:t> und </a:t>
            </a:r>
            <a:r>
              <a:rPr lang="de-DE">
                <a:solidFill>
                  <a:srgbClr val="FF0000"/>
                </a:solidFill>
              </a:rPr>
              <a:t>approximierende Verteilungsfunktion</a:t>
            </a:r>
            <a:r>
              <a:rPr lang="de-DE" baseline="0">
                <a:solidFill>
                  <a:srgbClr val="FF0000"/>
                </a:solidFill>
              </a:rPr>
              <a:t> </a:t>
            </a:r>
            <a:endParaRPr lang="de-DE"/>
          </a:p>
        </c:rich>
      </c:tx>
      <c:layout>
        <c:manualLayout>
          <c:xMode val="edge"/>
          <c:yMode val="edge"/>
          <c:x val="0.19951128137414956"/>
          <c:y val="2.958264216972878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Histogramm</c:v>
          </c:tx>
          <c:spPr>
            <a:ln w="381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'Tabellen Histogramme'!$B$17:$B$28</c:f>
              <c:numCache>
                <c:formatCode>General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  <c:pt idx="8">
                  <c:v>24</c:v>
                </c:pt>
                <c:pt idx="9">
                  <c:v>24</c:v>
                </c:pt>
                <c:pt idx="10">
                  <c:v>30</c:v>
                </c:pt>
                <c:pt idx="11">
                  <c:v>30</c:v>
                </c:pt>
              </c:numCache>
            </c:numRef>
          </c:xVal>
          <c:yVal>
            <c:numRef>
              <c:f>'Tabellen Histogramme'!$C$17:$C$28</c:f>
              <c:numCache>
                <c:formatCode>General</c:formatCode>
                <c:ptCount val="12"/>
                <c:pt idx="0">
                  <c:v>0</c:v>
                </c:pt>
                <c:pt idx="1">
                  <c:v>9.285714285714286E-2</c:v>
                </c:pt>
                <c:pt idx="2">
                  <c:v>9.285714285714286E-2</c:v>
                </c:pt>
                <c:pt idx="3">
                  <c:v>0.15714285714285714</c:v>
                </c:pt>
                <c:pt idx="4">
                  <c:v>0.15714285714285714</c:v>
                </c:pt>
                <c:pt idx="5">
                  <c:v>0.2</c:v>
                </c:pt>
                <c:pt idx="6">
                  <c:v>0.2</c:v>
                </c:pt>
                <c:pt idx="7">
                  <c:v>0.10714285714285714</c:v>
                </c:pt>
                <c:pt idx="8">
                  <c:v>0.10714285714285714</c:v>
                </c:pt>
                <c:pt idx="9">
                  <c:v>4.0476190476190478E-2</c:v>
                </c:pt>
                <c:pt idx="10">
                  <c:v>4.0476190476190478E-2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6-42E8-9A09-C0D95BA54E12}"/>
            </c:ext>
          </c:extLst>
        </c:ser>
        <c:ser>
          <c:idx val="1"/>
          <c:order val="1"/>
          <c:tx>
            <c:v>Approximierende Verteilungsfunktion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'Tabellen Histogramme'!$E$17:$E$22</c:f>
              <c:numCache>
                <c:formatCode>General</c:formatCode>
                <c:ptCount val="6"/>
                <c:pt idx="0">
                  <c:v>18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24</c:v>
                </c:pt>
                <c:pt idx="5">
                  <c:v>30</c:v>
                </c:pt>
              </c:numCache>
            </c:numRef>
          </c:xVal>
          <c:yVal>
            <c:numRef>
              <c:f>'Tabellen Histogramme'!$F$17:$F$22</c:f>
              <c:numCache>
                <c:formatCode>0.000</c:formatCode>
                <c:ptCount val="6"/>
                <c:pt idx="0" formatCode="General">
                  <c:v>0</c:v>
                </c:pt>
                <c:pt idx="1">
                  <c:v>0.18571428571428572</c:v>
                </c:pt>
                <c:pt idx="2">
                  <c:v>0.34285714285714286</c:v>
                </c:pt>
                <c:pt idx="3">
                  <c:v>0.54285714285714293</c:v>
                </c:pt>
                <c:pt idx="4">
                  <c:v>0.75714285714285723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A6-42E8-9A09-C0D95BA54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83968"/>
        <c:axId val="180367360"/>
      </c:scatterChart>
      <c:valAx>
        <c:axId val="180483968"/>
        <c:scaling>
          <c:orientation val="minMax"/>
          <c:max val="30"/>
          <c:min val="1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Alter x in Jahren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367360"/>
        <c:crosses val="autoZero"/>
        <c:crossBetween val="midCat"/>
        <c:majorUnit val="1"/>
      </c:valAx>
      <c:valAx>
        <c:axId val="180367360"/>
        <c:scaling>
          <c:orientation val="minMax"/>
          <c:max val="1"/>
          <c:min val="0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 i="0">
                    <a:solidFill>
                      <a:srgbClr val="FF0000"/>
                    </a:solidFill>
                  </a:rPr>
                  <a:t>H</a:t>
                </a:r>
                <a:r>
                  <a:rPr lang="de-DE">
                    <a:solidFill>
                      <a:srgbClr val="FF0000"/>
                    </a:solidFill>
                  </a:rPr>
                  <a:t>̅(x)</a:t>
                </a:r>
                <a:r>
                  <a:rPr lang="de-DE"/>
                  <a:t> </a:t>
                </a:r>
                <a:r>
                  <a:rPr lang="de-DE">
                    <a:solidFill>
                      <a:srgbClr val="0000FF"/>
                    </a:solidFill>
                  </a:rPr>
                  <a:t>h̅(x)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80483968"/>
        <c:crosses val="autoZero"/>
        <c:crossBetween val="midCat"/>
        <c:majorUnit val="0.1"/>
        <c:minorUnit val="0.05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/>
      </a:pPr>
      <a:endParaRPr lang="de-DE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Empirische Verteilungsfunktion Alter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Zug a &amp; b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'Tabellen Verteilungsfunktionen'!$A$32:$A$51</c:f>
              <c:numCache>
                <c:formatCode>General</c:formatCode>
                <c:ptCount val="20"/>
                <c:pt idx="0">
                  <c:v>19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  <c:pt idx="8">
                  <c:v>23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25</c:v>
                </c:pt>
                <c:pt idx="13">
                  <c:v>25</c:v>
                </c:pt>
                <c:pt idx="14">
                  <c:v>26</c:v>
                </c:pt>
                <c:pt idx="15">
                  <c:v>26</c:v>
                </c:pt>
                <c:pt idx="16">
                  <c:v>27</c:v>
                </c:pt>
                <c:pt idx="17">
                  <c:v>27</c:v>
                </c:pt>
                <c:pt idx="18">
                  <c:v>28</c:v>
                </c:pt>
                <c:pt idx="19">
                  <c:v>28</c:v>
                </c:pt>
              </c:numCache>
            </c:numRef>
          </c:xVal>
          <c:yVal>
            <c:numRef>
              <c:f>'Tabellen Verteilungsfunktionen'!$C$32:$C$51</c:f>
              <c:numCache>
                <c:formatCode>0.000</c:formatCode>
                <c:ptCount val="20"/>
                <c:pt idx="0">
                  <c:v>0</c:v>
                </c:pt>
                <c:pt idx="1">
                  <c:v>4.2857142857142858E-2</c:v>
                </c:pt>
                <c:pt idx="2">
                  <c:v>4.2857142857142858E-2</c:v>
                </c:pt>
                <c:pt idx="3">
                  <c:v>0.18571428571428572</c:v>
                </c:pt>
                <c:pt idx="4">
                  <c:v>0.18571428571428572</c:v>
                </c:pt>
                <c:pt idx="5">
                  <c:v>0.34285714285714286</c:v>
                </c:pt>
                <c:pt idx="6">
                  <c:v>0.34285714285714286</c:v>
                </c:pt>
                <c:pt idx="7">
                  <c:v>0.54285714285714293</c:v>
                </c:pt>
                <c:pt idx="8">
                  <c:v>0.54285714285714293</c:v>
                </c:pt>
                <c:pt idx="9">
                  <c:v>0.67142857142857149</c:v>
                </c:pt>
                <c:pt idx="10">
                  <c:v>0.67142857142857149</c:v>
                </c:pt>
                <c:pt idx="11">
                  <c:v>0.75714285714285723</c:v>
                </c:pt>
                <c:pt idx="12">
                  <c:v>0.75714285714285723</c:v>
                </c:pt>
                <c:pt idx="13">
                  <c:v>0.87142857142857155</c:v>
                </c:pt>
                <c:pt idx="14">
                  <c:v>0.87142857142857155</c:v>
                </c:pt>
                <c:pt idx="15">
                  <c:v>0.9571428571428573</c:v>
                </c:pt>
                <c:pt idx="16">
                  <c:v>0.9571428571428573</c:v>
                </c:pt>
                <c:pt idx="17">
                  <c:v>0.97142857142857153</c:v>
                </c:pt>
                <c:pt idx="18">
                  <c:v>0.97142857142857153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31-446F-9922-5B2582739198}"/>
            </c:ext>
          </c:extLst>
        </c:ser>
        <c:ser>
          <c:idx val="1"/>
          <c:order val="1"/>
          <c:tx>
            <c:v>Zug a</c:v>
          </c:tx>
          <c:spPr>
            <a:ln w="381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'Tabellen Verteilungsfunktionen'!$Q$32:$Q$51</c:f>
              <c:numCache>
                <c:formatCode>General</c:formatCode>
                <c:ptCount val="20"/>
                <c:pt idx="0">
                  <c:v>19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  <c:pt idx="8">
                  <c:v>23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25</c:v>
                </c:pt>
                <c:pt idx="13">
                  <c:v>25</c:v>
                </c:pt>
                <c:pt idx="14">
                  <c:v>26</c:v>
                </c:pt>
                <c:pt idx="15">
                  <c:v>26</c:v>
                </c:pt>
                <c:pt idx="16">
                  <c:v>27</c:v>
                </c:pt>
                <c:pt idx="17">
                  <c:v>27</c:v>
                </c:pt>
                <c:pt idx="18">
                  <c:v>28</c:v>
                </c:pt>
                <c:pt idx="19">
                  <c:v>28</c:v>
                </c:pt>
              </c:numCache>
            </c:numRef>
          </c:xVal>
          <c:yVal>
            <c:numRef>
              <c:f>'Tabellen Verteilungsfunktionen'!$S$32:$S$51</c:f>
              <c:numCache>
                <c:formatCode>0.000</c:formatCode>
                <c:ptCount val="20"/>
                <c:pt idx="0">
                  <c:v>0</c:v>
                </c:pt>
                <c:pt idx="1">
                  <c:v>4.878048780487805E-2</c:v>
                </c:pt>
                <c:pt idx="2">
                  <c:v>4.878048780487805E-2</c:v>
                </c:pt>
                <c:pt idx="3">
                  <c:v>0.1951219512195122</c:v>
                </c:pt>
                <c:pt idx="4">
                  <c:v>0.1951219512195122</c:v>
                </c:pt>
                <c:pt idx="5">
                  <c:v>0.41463414634146345</c:v>
                </c:pt>
                <c:pt idx="6">
                  <c:v>0.41463414634146345</c:v>
                </c:pt>
                <c:pt idx="7">
                  <c:v>0.60975609756097571</c:v>
                </c:pt>
                <c:pt idx="8">
                  <c:v>0.60975609756097571</c:v>
                </c:pt>
                <c:pt idx="9">
                  <c:v>0.68292682926829273</c:v>
                </c:pt>
                <c:pt idx="10">
                  <c:v>0.68292682926829273</c:v>
                </c:pt>
                <c:pt idx="11">
                  <c:v>0.80487804878048785</c:v>
                </c:pt>
                <c:pt idx="12">
                  <c:v>0.80487804878048785</c:v>
                </c:pt>
                <c:pt idx="13">
                  <c:v>0.87804878048780488</c:v>
                </c:pt>
                <c:pt idx="14">
                  <c:v>0.87804878048780488</c:v>
                </c:pt>
                <c:pt idx="15">
                  <c:v>0.92682926829268297</c:v>
                </c:pt>
                <c:pt idx="16">
                  <c:v>0.92682926829268297</c:v>
                </c:pt>
                <c:pt idx="17">
                  <c:v>0.95121951219512202</c:v>
                </c:pt>
                <c:pt idx="18">
                  <c:v>0.95121951219512202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31-446F-9922-5B2582739198}"/>
            </c:ext>
          </c:extLst>
        </c:ser>
        <c:ser>
          <c:idx val="2"/>
          <c:order val="2"/>
          <c:tx>
            <c:v>Zug b</c:v>
          </c:tx>
          <c:spPr>
            <a:ln w="38100">
              <a:solidFill>
                <a:srgbClr val="33CC33"/>
              </a:solidFill>
            </a:ln>
          </c:spPr>
          <c:marker>
            <c:symbol val="none"/>
          </c:marker>
          <c:xVal>
            <c:numRef>
              <c:f>'Tabellen Verteilungsfunktionen'!$AG$32:$AG$47</c:f>
              <c:numCache>
                <c:formatCode>General</c:formatCode>
                <c:ptCount val="16"/>
                <c:pt idx="0">
                  <c:v>19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22</c:v>
                </c:pt>
                <c:pt idx="7">
                  <c:v>22</c:v>
                </c:pt>
                <c:pt idx="8">
                  <c:v>23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25</c:v>
                </c:pt>
                <c:pt idx="13">
                  <c:v>25</c:v>
                </c:pt>
                <c:pt idx="14">
                  <c:v>26</c:v>
                </c:pt>
                <c:pt idx="15">
                  <c:v>26</c:v>
                </c:pt>
              </c:numCache>
            </c:numRef>
          </c:xVal>
          <c:yVal>
            <c:numRef>
              <c:f>'Tabellen Verteilungsfunktionen'!$AI$32:$AI$47</c:f>
              <c:numCache>
                <c:formatCode>0.000</c:formatCode>
                <c:ptCount val="16"/>
                <c:pt idx="0">
                  <c:v>0</c:v>
                </c:pt>
                <c:pt idx="1">
                  <c:v>3.4482758620689655E-2</c:v>
                </c:pt>
                <c:pt idx="2">
                  <c:v>3.4482758620689655E-2</c:v>
                </c:pt>
                <c:pt idx="3">
                  <c:v>0.17241379310344829</c:v>
                </c:pt>
                <c:pt idx="4">
                  <c:v>0.17241379310344829</c:v>
                </c:pt>
                <c:pt idx="5">
                  <c:v>0.2413793103448276</c:v>
                </c:pt>
                <c:pt idx="6">
                  <c:v>0.2413793103448276</c:v>
                </c:pt>
                <c:pt idx="7">
                  <c:v>0.44827586206896552</c:v>
                </c:pt>
                <c:pt idx="8">
                  <c:v>0.44827586206896552</c:v>
                </c:pt>
                <c:pt idx="9">
                  <c:v>0.65517241379310343</c:v>
                </c:pt>
                <c:pt idx="10">
                  <c:v>0.65517241379310343</c:v>
                </c:pt>
                <c:pt idx="11">
                  <c:v>0.68965517241379304</c:v>
                </c:pt>
                <c:pt idx="12">
                  <c:v>0.68965517241379304</c:v>
                </c:pt>
                <c:pt idx="13">
                  <c:v>0.86206896551724133</c:v>
                </c:pt>
                <c:pt idx="14">
                  <c:v>0.86206896551724133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31-446F-9922-5B2582739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63008"/>
        <c:axId val="181969280"/>
      </c:scatterChart>
      <c:valAx>
        <c:axId val="181963008"/>
        <c:scaling>
          <c:orientation val="minMax"/>
          <c:max val="29"/>
          <c:min val="18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de-DE" sz="1800"/>
                  <a:t>Alter x in Jahren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de-DE"/>
          </a:p>
        </c:txPr>
        <c:crossAx val="181969280"/>
        <c:crosses val="autoZero"/>
        <c:crossBetween val="midCat"/>
        <c:majorUnit val="1"/>
        <c:minorUnit val="1"/>
      </c:valAx>
      <c:valAx>
        <c:axId val="181969280"/>
        <c:scaling>
          <c:orientation val="minMax"/>
          <c:max val="1"/>
          <c:min val="0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de-DE" sz="1800"/>
                  <a:t>H(x</a:t>
                </a:r>
                <a:r>
                  <a:rPr lang="de-DE" sz="1800" baseline="0"/>
                  <a:t>)</a:t>
                </a:r>
                <a:endParaRPr lang="de-DE" sz="1800"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de-DE"/>
          </a:p>
        </c:txPr>
        <c:crossAx val="181963008"/>
        <c:crosses val="autoZero"/>
        <c:crossBetween val="midCat"/>
        <c:majorUnit val="0.1"/>
        <c:minorUnit val="1.0000000000000005E-2"/>
      </c:valAx>
    </c:plotArea>
    <c:legend>
      <c:legendPos val="t"/>
      <c:overlay val="0"/>
      <c:txPr>
        <a:bodyPr/>
        <a:lstStyle/>
        <a:p>
          <a:pPr>
            <a:defRPr sz="180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 sz="1800" b="1" i="0" u="none" strike="noStrike" baseline="0"/>
              <a:t>Empirische </a:t>
            </a:r>
            <a:r>
              <a:rPr lang="de-DE"/>
              <a:t>Verteilungsfunktion Größe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Zug a &amp; b</c:v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'Tabellen Verteilungsfunktionen'!$E$52:$E$105</c:f>
              <c:numCache>
                <c:formatCode>General</c:formatCode>
                <c:ptCount val="54"/>
                <c:pt idx="0">
                  <c:v>155</c:v>
                </c:pt>
                <c:pt idx="1">
                  <c:v>155</c:v>
                </c:pt>
                <c:pt idx="2">
                  <c:v>160</c:v>
                </c:pt>
                <c:pt idx="3">
                  <c:v>160</c:v>
                </c:pt>
                <c:pt idx="4">
                  <c:v>161</c:v>
                </c:pt>
                <c:pt idx="5">
                  <c:v>161</c:v>
                </c:pt>
                <c:pt idx="6">
                  <c:v>163</c:v>
                </c:pt>
                <c:pt idx="7">
                  <c:v>163</c:v>
                </c:pt>
                <c:pt idx="8">
                  <c:v>164</c:v>
                </c:pt>
                <c:pt idx="9">
                  <c:v>164</c:v>
                </c:pt>
                <c:pt idx="10">
                  <c:v>165</c:v>
                </c:pt>
                <c:pt idx="11">
                  <c:v>165</c:v>
                </c:pt>
                <c:pt idx="12">
                  <c:v>168</c:v>
                </c:pt>
                <c:pt idx="13">
                  <c:v>168</c:v>
                </c:pt>
                <c:pt idx="14">
                  <c:v>169</c:v>
                </c:pt>
                <c:pt idx="15">
                  <c:v>169</c:v>
                </c:pt>
                <c:pt idx="16">
                  <c:v>170</c:v>
                </c:pt>
                <c:pt idx="17">
                  <c:v>170</c:v>
                </c:pt>
                <c:pt idx="18">
                  <c:v>171</c:v>
                </c:pt>
                <c:pt idx="19">
                  <c:v>171</c:v>
                </c:pt>
                <c:pt idx="20">
                  <c:v>172</c:v>
                </c:pt>
                <c:pt idx="21">
                  <c:v>172</c:v>
                </c:pt>
                <c:pt idx="22">
                  <c:v>173</c:v>
                </c:pt>
                <c:pt idx="23">
                  <c:v>173</c:v>
                </c:pt>
                <c:pt idx="24">
                  <c:v>174</c:v>
                </c:pt>
                <c:pt idx="25">
                  <c:v>174</c:v>
                </c:pt>
                <c:pt idx="26">
                  <c:v>175</c:v>
                </c:pt>
                <c:pt idx="27">
                  <c:v>175</c:v>
                </c:pt>
                <c:pt idx="28">
                  <c:v>176</c:v>
                </c:pt>
                <c:pt idx="29">
                  <c:v>176</c:v>
                </c:pt>
                <c:pt idx="30">
                  <c:v>178</c:v>
                </c:pt>
                <c:pt idx="31">
                  <c:v>178</c:v>
                </c:pt>
                <c:pt idx="32">
                  <c:v>180</c:v>
                </c:pt>
                <c:pt idx="33">
                  <c:v>180</c:v>
                </c:pt>
                <c:pt idx="34">
                  <c:v>182</c:v>
                </c:pt>
                <c:pt idx="35">
                  <c:v>182</c:v>
                </c:pt>
                <c:pt idx="36">
                  <c:v>183</c:v>
                </c:pt>
                <c:pt idx="37">
                  <c:v>183</c:v>
                </c:pt>
                <c:pt idx="38">
                  <c:v>184</c:v>
                </c:pt>
                <c:pt idx="39">
                  <c:v>184</c:v>
                </c:pt>
                <c:pt idx="40">
                  <c:v>185</c:v>
                </c:pt>
                <c:pt idx="41">
                  <c:v>185</c:v>
                </c:pt>
                <c:pt idx="42">
                  <c:v>187</c:v>
                </c:pt>
                <c:pt idx="43">
                  <c:v>187</c:v>
                </c:pt>
                <c:pt idx="44">
                  <c:v>188</c:v>
                </c:pt>
                <c:pt idx="45">
                  <c:v>188</c:v>
                </c:pt>
                <c:pt idx="46">
                  <c:v>189</c:v>
                </c:pt>
                <c:pt idx="47">
                  <c:v>189</c:v>
                </c:pt>
                <c:pt idx="48">
                  <c:v>190</c:v>
                </c:pt>
                <c:pt idx="49">
                  <c:v>190</c:v>
                </c:pt>
                <c:pt idx="50">
                  <c:v>193</c:v>
                </c:pt>
                <c:pt idx="51">
                  <c:v>193</c:v>
                </c:pt>
                <c:pt idx="52">
                  <c:v>195</c:v>
                </c:pt>
                <c:pt idx="53">
                  <c:v>195</c:v>
                </c:pt>
              </c:numCache>
            </c:numRef>
          </c:xVal>
          <c:yVal>
            <c:numRef>
              <c:f>'Tabellen Verteilungsfunktionen'!$G$52:$G$105</c:f>
              <c:numCache>
                <c:formatCode>0.000</c:formatCode>
                <c:ptCount val="54"/>
                <c:pt idx="0">
                  <c:v>0</c:v>
                </c:pt>
                <c:pt idx="1">
                  <c:v>1.4285714285714285E-2</c:v>
                </c:pt>
                <c:pt idx="2">
                  <c:v>1.4285714285714285E-2</c:v>
                </c:pt>
                <c:pt idx="3">
                  <c:v>8.5714285714285715E-2</c:v>
                </c:pt>
                <c:pt idx="4">
                  <c:v>8.5714285714285715E-2</c:v>
                </c:pt>
                <c:pt idx="5">
                  <c:v>0.1</c:v>
                </c:pt>
                <c:pt idx="6">
                  <c:v>0.1</c:v>
                </c:pt>
                <c:pt idx="7">
                  <c:v>0.14285714285714285</c:v>
                </c:pt>
                <c:pt idx="8">
                  <c:v>0.14285714285714285</c:v>
                </c:pt>
                <c:pt idx="9">
                  <c:v>0.15714285714285714</c:v>
                </c:pt>
                <c:pt idx="10">
                  <c:v>0.15714285714285714</c:v>
                </c:pt>
                <c:pt idx="11">
                  <c:v>0.2</c:v>
                </c:pt>
                <c:pt idx="12">
                  <c:v>0.2</c:v>
                </c:pt>
                <c:pt idx="13">
                  <c:v>0.2142857142857143</c:v>
                </c:pt>
                <c:pt idx="14">
                  <c:v>0.2142857142857143</c:v>
                </c:pt>
                <c:pt idx="15">
                  <c:v>0.22857142857142859</c:v>
                </c:pt>
                <c:pt idx="16">
                  <c:v>0.22857142857142859</c:v>
                </c:pt>
                <c:pt idx="17">
                  <c:v>0.32857142857142863</c:v>
                </c:pt>
                <c:pt idx="18">
                  <c:v>0.32857142857142863</c:v>
                </c:pt>
                <c:pt idx="19">
                  <c:v>0.34285714285714292</c:v>
                </c:pt>
                <c:pt idx="20">
                  <c:v>0.34285714285714292</c:v>
                </c:pt>
                <c:pt idx="21">
                  <c:v>0.35714285714285721</c:v>
                </c:pt>
                <c:pt idx="22">
                  <c:v>0.35714285714285721</c:v>
                </c:pt>
                <c:pt idx="23">
                  <c:v>0.3714285714285715</c:v>
                </c:pt>
                <c:pt idx="24">
                  <c:v>0.3714285714285715</c:v>
                </c:pt>
                <c:pt idx="25">
                  <c:v>0.41428571428571437</c:v>
                </c:pt>
                <c:pt idx="26">
                  <c:v>0.41428571428571437</c:v>
                </c:pt>
                <c:pt idx="27">
                  <c:v>0.42857142857142866</c:v>
                </c:pt>
                <c:pt idx="28">
                  <c:v>0.42857142857142866</c:v>
                </c:pt>
                <c:pt idx="29">
                  <c:v>0.51428571428571435</c:v>
                </c:pt>
                <c:pt idx="30">
                  <c:v>0.51428571428571435</c:v>
                </c:pt>
                <c:pt idx="31">
                  <c:v>0.55714285714285716</c:v>
                </c:pt>
                <c:pt idx="32">
                  <c:v>0.55714285714285716</c:v>
                </c:pt>
                <c:pt idx="33">
                  <c:v>0.61428571428571432</c:v>
                </c:pt>
                <c:pt idx="34">
                  <c:v>0.61428571428571432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0.74285714285714288</c:v>
                </c:pt>
                <c:pt idx="38">
                  <c:v>0.74285714285714288</c:v>
                </c:pt>
                <c:pt idx="39">
                  <c:v>0.7857142857142857</c:v>
                </c:pt>
                <c:pt idx="40">
                  <c:v>0.7857142857142857</c:v>
                </c:pt>
                <c:pt idx="41">
                  <c:v>0.88571428571428568</c:v>
                </c:pt>
                <c:pt idx="42">
                  <c:v>0.88571428571428568</c:v>
                </c:pt>
                <c:pt idx="43">
                  <c:v>0.91428571428571426</c:v>
                </c:pt>
                <c:pt idx="44">
                  <c:v>0.91428571428571426</c:v>
                </c:pt>
                <c:pt idx="45">
                  <c:v>0.92857142857142849</c:v>
                </c:pt>
                <c:pt idx="46">
                  <c:v>0.92857142857142849</c:v>
                </c:pt>
                <c:pt idx="47">
                  <c:v>0.94285714285714273</c:v>
                </c:pt>
                <c:pt idx="48">
                  <c:v>0.94285714285714273</c:v>
                </c:pt>
                <c:pt idx="49">
                  <c:v>0.95714285714285696</c:v>
                </c:pt>
                <c:pt idx="50">
                  <c:v>0.95714285714285696</c:v>
                </c:pt>
                <c:pt idx="51">
                  <c:v>0.98571428571428554</c:v>
                </c:pt>
                <c:pt idx="52">
                  <c:v>0.98571428571428554</c:v>
                </c:pt>
                <c:pt idx="53">
                  <c:v>0.99999999999999978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6-46EA-94E8-0E2212171D2C}"/>
            </c:ext>
          </c:extLst>
        </c:ser>
        <c:ser>
          <c:idx val="1"/>
          <c:order val="1"/>
          <c:tx>
            <c:v>Zug a</c:v>
          </c:tx>
          <c:spPr>
            <a:ln w="381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'Tabellen Verteilungsfunktionen'!$U$52:$U$97</c:f>
              <c:numCache>
                <c:formatCode>General</c:formatCode>
                <c:ptCount val="46"/>
                <c:pt idx="0">
                  <c:v>160</c:v>
                </c:pt>
                <c:pt idx="1">
                  <c:v>160</c:v>
                </c:pt>
                <c:pt idx="2">
                  <c:v>161</c:v>
                </c:pt>
                <c:pt idx="3">
                  <c:v>161</c:v>
                </c:pt>
                <c:pt idx="4">
                  <c:v>163</c:v>
                </c:pt>
                <c:pt idx="5">
                  <c:v>163</c:v>
                </c:pt>
                <c:pt idx="6">
                  <c:v>164</c:v>
                </c:pt>
                <c:pt idx="7">
                  <c:v>164</c:v>
                </c:pt>
                <c:pt idx="8">
                  <c:v>165</c:v>
                </c:pt>
                <c:pt idx="9">
                  <c:v>165</c:v>
                </c:pt>
                <c:pt idx="10">
                  <c:v>168</c:v>
                </c:pt>
                <c:pt idx="11">
                  <c:v>168</c:v>
                </c:pt>
                <c:pt idx="12">
                  <c:v>169</c:v>
                </c:pt>
                <c:pt idx="13">
                  <c:v>169</c:v>
                </c:pt>
                <c:pt idx="14">
                  <c:v>170</c:v>
                </c:pt>
                <c:pt idx="15">
                  <c:v>170</c:v>
                </c:pt>
                <c:pt idx="16">
                  <c:v>171</c:v>
                </c:pt>
                <c:pt idx="17">
                  <c:v>171</c:v>
                </c:pt>
                <c:pt idx="18">
                  <c:v>172</c:v>
                </c:pt>
                <c:pt idx="19">
                  <c:v>172</c:v>
                </c:pt>
                <c:pt idx="20">
                  <c:v>173</c:v>
                </c:pt>
                <c:pt idx="21">
                  <c:v>173</c:v>
                </c:pt>
                <c:pt idx="22">
                  <c:v>174</c:v>
                </c:pt>
                <c:pt idx="23">
                  <c:v>174</c:v>
                </c:pt>
                <c:pt idx="24">
                  <c:v>176</c:v>
                </c:pt>
                <c:pt idx="25">
                  <c:v>176</c:v>
                </c:pt>
                <c:pt idx="26">
                  <c:v>178</c:v>
                </c:pt>
                <c:pt idx="27">
                  <c:v>178</c:v>
                </c:pt>
                <c:pt idx="28">
                  <c:v>180</c:v>
                </c:pt>
                <c:pt idx="29">
                  <c:v>180</c:v>
                </c:pt>
                <c:pt idx="30">
                  <c:v>182</c:v>
                </c:pt>
                <c:pt idx="31">
                  <c:v>182</c:v>
                </c:pt>
                <c:pt idx="32">
                  <c:v>183</c:v>
                </c:pt>
                <c:pt idx="33">
                  <c:v>183</c:v>
                </c:pt>
                <c:pt idx="34">
                  <c:v>184</c:v>
                </c:pt>
                <c:pt idx="35">
                  <c:v>184</c:v>
                </c:pt>
                <c:pt idx="36">
                  <c:v>185</c:v>
                </c:pt>
                <c:pt idx="37">
                  <c:v>185</c:v>
                </c:pt>
                <c:pt idx="38">
                  <c:v>187</c:v>
                </c:pt>
                <c:pt idx="39">
                  <c:v>187</c:v>
                </c:pt>
                <c:pt idx="40">
                  <c:v>189</c:v>
                </c:pt>
                <c:pt idx="41">
                  <c:v>189</c:v>
                </c:pt>
                <c:pt idx="42">
                  <c:v>190</c:v>
                </c:pt>
                <c:pt idx="43">
                  <c:v>190</c:v>
                </c:pt>
                <c:pt idx="44">
                  <c:v>193</c:v>
                </c:pt>
                <c:pt idx="45">
                  <c:v>193</c:v>
                </c:pt>
              </c:numCache>
            </c:numRef>
          </c:xVal>
          <c:yVal>
            <c:numRef>
              <c:f>'Tabellen Verteilungsfunktionen'!$W$52:$W$97</c:f>
              <c:numCache>
                <c:formatCode>0.000</c:formatCode>
                <c:ptCount val="46"/>
                <c:pt idx="0">
                  <c:v>0</c:v>
                </c:pt>
                <c:pt idx="1">
                  <c:v>7.3170731707317069E-2</c:v>
                </c:pt>
                <c:pt idx="2">
                  <c:v>7.3170731707317069E-2</c:v>
                </c:pt>
                <c:pt idx="3">
                  <c:v>9.7560975609756101E-2</c:v>
                </c:pt>
                <c:pt idx="4">
                  <c:v>9.7560975609756101E-2</c:v>
                </c:pt>
                <c:pt idx="5">
                  <c:v>0.17073170731707316</c:v>
                </c:pt>
                <c:pt idx="6">
                  <c:v>0.17073170731707316</c:v>
                </c:pt>
                <c:pt idx="7">
                  <c:v>0.19512195121951217</c:v>
                </c:pt>
                <c:pt idx="8">
                  <c:v>0.19512195121951217</c:v>
                </c:pt>
                <c:pt idx="9">
                  <c:v>0.21951219512195119</c:v>
                </c:pt>
                <c:pt idx="10">
                  <c:v>0.21951219512195119</c:v>
                </c:pt>
                <c:pt idx="11">
                  <c:v>0.24390243902439021</c:v>
                </c:pt>
                <c:pt idx="12">
                  <c:v>0.24390243902439021</c:v>
                </c:pt>
                <c:pt idx="13">
                  <c:v>0.26829268292682923</c:v>
                </c:pt>
                <c:pt idx="14">
                  <c:v>0.26829268292682923</c:v>
                </c:pt>
                <c:pt idx="15">
                  <c:v>0.39024390243902435</c:v>
                </c:pt>
                <c:pt idx="16">
                  <c:v>0.39024390243902435</c:v>
                </c:pt>
                <c:pt idx="17">
                  <c:v>0.41463414634146339</c:v>
                </c:pt>
                <c:pt idx="18">
                  <c:v>0.41463414634146339</c:v>
                </c:pt>
                <c:pt idx="19">
                  <c:v>0.43902439024390244</c:v>
                </c:pt>
                <c:pt idx="20">
                  <c:v>0.43902439024390244</c:v>
                </c:pt>
                <c:pt idx="21">
                  <c:v>0.46341463414634149</c:v>
                </c:pt>
                <c:pt idx="22">
                  <c:v>0.46341463414634149</c:v>
                </c:pt>
                <c:pt idx="23">
                  <c:v>0.51219512195121952</c:v>
                </c:pt>
                <c:pt idx="24">
                  <c:v>0.51219512195121952</c:v>
                </c:pt>
                <c:pt idx="25">
                  <c:v>0.53658536585365857</c:v>
                </c:pt>
                <c:pt idx="26">
                  <c:v>0.53658536585365857</c:v>
                </c:pt>
                <c:pt idx="27">
                  <c:v>0.56097560975609762</c:v>
                </c:pt>
                <c:pt idx="28">
                  <c:v>0.56097560975609762</c:v>
                </c:pt>
                <c:pt idx="29">
                  <c:v>0.63414634146341464</c:v>
                </c:pt>
                <c:pt idx="30">
                  <c:v>0.63414634146341464</c:v>
                </c:pt>
                <c:pt idx="31">
                  <c:v>0.70731707317073167</c:v>
                </c:pt>
                <c:pt idx="32">
                  <c:v>0.70731707317073167</c:v>
                </c:pt>
                <c:pt idx="33">
                  <c:v>0.75609756097560976</c:v>
                </c:pt>
                <c:pt idx="34">
                  <c:v>0.75609756097560976</c:v>
                </c:pt>
                <c:pt idx="35">
                  <c:v>0.78048780487804881</c:v>
                </c:pt>
                <c:pt idx="36">
                  <c:v>0.78048780487804881</c:v>
                </c:pt>
                <c:pt idx="37">
                  <c:v>0.85365853658536583</c:v>
                </c:pt>
                <c:pt idx="38">
                  <c:v>0.85365853658536583</c:v>
                </c:pt>
                <c:pt idx="39">
                  <c:v>0.90243902439024393</c:v>
                </c:pt>
                <c:pt idx="40">
                  <c:v>0.90243902439024393</c:v>
                </c:pt>
                <c:pt idx="41">
                  <c:v>0.92682926829268297</c:v>
                </c:pt>
                <c:pt idx="42">
                  <c:v>0.92682926829268297</c:v>
                </c:pt>
                <c:pt idx="43">
                  <c:v>0.95121951219512202</c:v>
                </c:pt>
                <c:pt idx="44">
                  <c:v>0.95121951219512202</c:v>
                </c:pt>
                <c:pt idx="4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66-46EA-94E8-0E2212171D2C}"/>
            </c:ext>
          </c:extLst>
        </c:ser>
        <c:ser>
          <c:idx val="2"/>
          <c:order val="2"/>
          <c:tx>
            <c:v>Zug b</c:v>
          </c:tx>
          <c:spPr>
            <a:ln w="38100">
              <a:solidFill>
                <a:srgbClr val="33CC33"/>
              </a:solidFill>
            </a:ln>
          </c:spPr>
          <c:marker>
            <c:symbol val="none"/>
          </c:marker>
          <c:xVal>
            <c:numRef>
              <c:f>'Tabellen Verteilungsfunktionen'!$AK$52:$AK$81</c:f>
              <c:numCache>
                <c:formatCode>General</c:formatCode>
                <c:ptCount val="30"/>
                <c:pt idx="0">
                  <c:v>155</c:v>
                </c:pt>
                <c:pt idx="1">
                  <c:v>155</c:v>
                </c:pt>
                <c:pt idx="2">
                  <c:v>160</c:v>
                </c:pt>
                <c:pt idx="3">
                  <c:v>160</c:v>
                </c:pt>
                <c:pt idx="4">
                  <c:v>165</c:v>
                </c:pt>
                <c:pt idx="5">
                  <c:v>165</c:v>
                </c:pt>
                <c:pt idx="6">
                  <c:v>170</c:v>
                </c:pt>
                <c:pt idx="7">
                  <c:v>170</c:v>
                </c:pt>
                <c:pt idx="8">
                  <c:v>174</c:v>
                </c:pt>
                <c:pt idx="9">
                  <c:v>174</c:v>
                </c:pt>
                <c:pt idx="10">
                  <c:v>175</c:v>
                </c:pt>
                <c:pt idx="11">
                  <c:v>175</c:v>
                </c:pt>
                <c:pt idx="12">
                  <c:v>176</c:v>
                </c:pt>
                <c:pt idx="13">
                  <c:v>176</c:v>
                </c:pt>
                <c:pt idx="14">
                  <c:v>178</c:v>
                </c:pt>
                <c:pt idx="15">
                  <c:v>178</c:v>
                </c:pt>
                <c:pt idx="16">
                  <c:v>180</c:v>
                </c:pt>
                <c:pt idx="17">
                  <c:v>180</c:v>
                </c:pt>
                <c:pt idx="18">
                  <c:v>182</c:v>
                </c:pt>
                <c:pt idx="19">
                  <c:v>182</c:v>
                </c:pt>
                <c:pt idx="20">
                  <c:v>183</c:v>
                </c:pt>
                <c:pt idx="21">
                  <c:v>183</c:v>
                </c:pt>
                <c:pt idx="22">
                  <c:v>184</c:v>
                </c:pt>
                <c:pt idx="23">
                  <c:v>184</c:v>
                </c:pt>
                <c:pt idx="24">
                  <c:v>185</c:v>
                </c:pt>
                <c:pt idx="25">
                  <c:v>185</c:v>
                </c:pt>
                <c:pt idx="26">
                  <c:v>188</c:v>
                </c:pt>
                <c:pt idx="27">
                  <c:v>188</c:v>
                </c:pt>
                <c:pt idx="28">
                  <c:v>195</c:v>
                </c:pt>
                <c:pt idx="29">
                  <c:v>195</c:v>
                </c:pt>
              </c:numCache>
            </c:numRef>
          </c:xVal>
          <c:yVal>
            <c:numRef>
              <c:f>'Tabellen Verteilungsfunktionen'!$AM$52:$AM$81</c:f>
              <c:numCache>
                <c:formatCode>0.000</c:formatCode>
                <c:ptCount val="30"/>
                <c:pt idx="0">
                  <c:v>0</c:v>
                </c:pt>
                <c:pt idx="1">
                  <c:v>3.4482758620689655E-2</c:v>
                </c:pt>
                <c:pt idx="2">
                  <c:v>3.4482758620689655E-2</c:v>
                </c:pt>
                <c:pt idx="3">
                  <c:v>0.10344827586206896</c:v>
                </c:pt>
                <c:pt idx="4">
                  <c:v>0.10344827586206896</c:v>
                </c:pt>
                <c:pt idx="5">
                  <c:v>0.17241379310344829</c:v>
                </c:pt>
                <c:pt idx="6">
                  <c:v>0.17241379310344829</c:v>
                </c:pt>
                <c:pt idx="7">
                  <c:v>0.2413793103448276</c:v>
                </c:pt>
                <c:pt idx="8">
                  <c:v>0.2413793103448276</c:v>
                </c:pt>
                <c:pt idx="9">
                  <c:v>0.27586206896551724</c:v>
                </c:pt>
                <c:pt idx="10">
                  <c:v>0.27586206896551724</c:v>
                </c:pt>
                <c:pt idx="11">
                  <c:v>0.31034482758620691</c:v>
                </c:pt>
                <c:pt idx="12">
                  <c:v>0.31034482758620691</c:v>
                </c:pt>
                <c:pt idx="13">
                  <c:v>0.48275862068965519</c:v>
                </c:pt>
                <c:pt idx="14">
                  <c:v>0.48275862068965519</c:v>
                </c:pt>
                <c:pt idx="15">
                  <c:v>0.55172413793103448</c:v>
                </c:pt>
                <c:pt idx="16">
                  <c:v>0.55172413793103448</c:v>
                </c:pt>
                <c:pt idx="17">
                  <c:v>0.58620689655172409</c:v>
                </c:pt>
                <c:pt idx="18">
                  <c:v>0.58620689655172409</c:v>
                </c:pt>
                <c:pt idx="19">
                  <c:v>0.65517241379310343</c:v>
                </c:pt>
                <c:pt idx="20">
                  <c:v>0.65517241379310343</c:v>
                </c:pt>
                <c:pt idx="21">
                  <c:v>0.72413793103448276</c:v>
                </c:pt>
                <c:pt idx="22">
                  <c:v>0.72413793103448276</c:v>
                </c:pt>
                <c:pt idx="23">
                  <c:v>0.7931034482758621</c:v>
                </c:pt>
                <c:pt idx="24">
                  <c:v>0.7931034482758621</c:v>
                </c:pt>
                <c:pt idx="25">
                  <c:v>0.93103448275862077</c:v>
                </c:pt>
                <c:pt idx="26">
                  <c:v>0.93103448275862077</c:v>
                </c:pt>
                <c:pt idx="27">
                  <c:v>0.96551724137931039</c:v>
                </c:pt>
                <c:pt idx="28">
                  <c:v>0.96551724137931039</c:v>
                </c:pt>
                <c:pt idx="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66-46EA-94E8-0E2212171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36800"/>
        <c:axId val="181847168"/>
      </c:scatterChart>
      <c:valAx>
        <c:axId val="181836800"/>
        <c:scaling>
          <c:orientation val="minMax"/>
          <c:max val="200"/>
          <c:min val="15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800"/>
                </a:pPr>
                <a:r>
                  <a:rPr lang="de-DE" sz="1800"/>
                  <a:t>Größe y in cm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de-DE"/>
          </a:p>
        </c:txPr>
        <c:crossAx val="181847168"/>
        <c:crosses val="autoZero"/>
        <c:crossBetween val="midCat"/>
        <c:majorUnit val="5"/>
        <c:minorUnit val="1"/>
      </c:valAx>
      <c:valAx>
        <c:axId val="181847168"/>
        <c:scaling>
          <c:orientation val="minMax"/>
          <c:max val="1"/>
          <c:min val="0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800"/>
                </a:pPr>
                <a:r>
                  <a:rPr lang="de-DE" sz="1800"/>
                  <a:t>H(y</a:t>
                </a:r>
                <a:r>
                  <a:rPr lang="de-DE" sz="1800" baseline="0"/>
                  <a:t>)</a:t>
                </a:r>
                <a:endParaRPr lang="de-DE" sz="1800"/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de-DE"/>
          </a:p>
        </c:txPr>
        <c:crossAx val="181836800"/>
        <c:crosses val="autoZero"/>
        <c:crossBetween val="midCat"/>
        <c:majorUnit val="0.1"/>
        <c:minorUnit val="1.0000000000000005E-2"/>
      </c:valAx>
    </c:plotArea>
    <c:legend>
      <c:legendPos val="t"/>
      <c:overlay val="0"/>
      <c:txPr>
        <a:bodyPr/>
        <a:lstStyle/>
        <a:p>
          <a:pPr>
            <a:defRPr sz="1800"/>
          </a:pPr>
          <a:endParaRPr lang="de-DE"/>
        </a:p>
      </c:txPr>
    </c:legend>
    <c:plotVisOnly val="1"/>
    <c:dispBlanksAs val="gap"/>
    <c:showDLblsOverMax val="0"/>
  </c:chart>
  <c:spPr>
    <a:ln>
      <a:noFill/>
    </a:ln>
  </c:sp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de-DE" sz="2000">
                <a:solidFill>
                  <a:sysClr val="windowText" lastClr="000000"/>
                </a:solidFill>
              </a:rPr>
              <a:t>"Kastengrafik" ab Excel 2016 </a:t>
            </a:r>
          </a:p>
        </cx:rich>
      </cx:tx>
    </cx:title>
    <cx:plotArea>
      <cx:plotAreaRegion>
        <cx:plotSurface>
          <cx:spPr>
            <a:ln>
              <a:solidFill>
                <a:schemeClr val="tx1"/>
              </a:solidFill>
            </a:ln>
          </cx:spPr>
        </cx:plotSurface>
        <cx:series layoutId="boxWhisker" uniqueId="{831888DD-6D89-437A-BD10-B0EC8B965E14}">
          <cx:tx>
            <cx:txData>
              <cx:f>_xlchart.v1.0</cx:f>
              <cx:v>18-20</cx:v>
            </cx:txData>
          </cx:tx>
          <cx:spPr>
            <a:solidFill>
              <a:srgbClr val="FF0000">
                <a:alpha val="40000"/>
              </a:srgbClr>
            </a:solidFill>
            <a:ln w="25400">
              <a:solidFill>
                <a:schemeClr val="tx1"/>
              </a:solidFill>
              <a:prstDash val="solid"/>
            </a:ln>
          </cx:spPr>
          <cx:dataId val="0"/>
          <cx:layoutPr>
            <cx:visibility meanLine="0" meanMarker="0" nonoutliers="1" outliers="1"/>
            <cx:statistics quartileMethod="inclusive"/>
          </cx:layoutPr>
        </cx:series>
        <cx:series layoutId="boxWhisker" uniqueId="{00000000-33DC-4F66-88DC-C666D2E4957F}">
          <cx:tx>
            <cx:txData>
              <cx:f>_xlchart.v1.2</cx:f>
              <cx:v>20-21</cx:v>
            </cx:txData>
          </cx:tx>
          <cx:spPr>
            <a:solidFill>
              <a:srgbClr val="00B050">
                <a:alpha val="40000"/>
              </a:srgbClr>
            </a:solidFill>
            <a:ln w="25400">
              <a:solidFill>
                <a:schemeClr val="tx1"/>
              </a:solidFill>
              <a:prstDash val="solid"/>
            </a:ln>
          </cx:spPr>
          <cx:dataId val="1"/>
          <cx:layoutPr>
            <cx:statistics quartileMethod="inclusive"/>
          </cx:layoutPr>
        </cx:series>
        <cx:series layoutId="boxWhisker" uniqueId="{00000001-33DC-4F66-88DC-C666D2E4957F}">
          <cx:tx>
            <cx:txData>
              <cx:f>_xlchart.v1.4</cx:f>
              <cx:v>21-22</cx:v>
            </cx:txData>
          </cx:tx>
          <cx:spPr>
            <a:solidFill>
              <a:srgbClr val="7030A0">
                <a:alpha val="40000"/>
              </a:srgbClr>
            </a:solidFill>
            <a:ln w="25400">
              <a:solidFill>
                <a:schemeClr val="tx1"/>
              </a:solidFill>
              <a:prstDash val="solid"/>
            </a:ln>
          </cx:spPr>
          <cx:dataId val="2"/>
          <cx:layoutPr>
            <cx:visibility meanLine="1"/>
            <cx:statistics quartileMethod="inclusive"/>
          </cx:layoutPr>
        </cx:series>
        <cx:series layoutId="boxWhisker" uniqueId="{00000002-33DC-4F66-88DC-C666D2E4957F}">
          <cx:tx>
            <cx:txData>
              <cx:f>_xlchart.v1.6</cx:f>
              <cx:v>22-24</cx:v>
            </cx:txData>
          </cx:tx>
          <cx:spPr>
            <a:solidFill>
              <a:srgbClr val="FFFF00">
                <a:alpha val="40000"/>
              </a:srgbClr>
            </a:solidFill>
            <a:ln w="25400">
              <a:solidFill>
                <a:schemeClr val="tx1"/>
              </a:solidFill>
              <a:prstDash val="solid"/>
            </a:ln>
          </cx:spPr>
          <cx:dataId val="3"/>
          <cx:layoutPr>
            <cx:statistics quartileMethod="inclusive"/>
          </cx:layoutPr>
        </cx:series>
        <cx:series layoutId="boxWhisker" uniqueId="{00000003-33DC-4F66-88DC-C666D2E4957F}">
          <cx:tx>
            <cx:txData>
              <cx:f>_xlchart.v1.8</cx:f>
              <cx:v>24-30</cx:v>
            </cx:txData>
          </cx:tx>
          <cx:spPr>
            <a:solidFill>
              <a:srgbClr val="FFCCFF">
                <a:alpha val="40000"/>
              </a:srgbClr>
            </a:solidFill>
            <a:ln w="25400" cap="flat">
              <a:solidFill>
                <a:schemeClr val="tx1"/>
              </a:solidFill>
              <a:prstDash val="solid"/>
            </a:ln>
          </cx:spPr>
          <cx:dataId val="4"/>
          <cx:layoutPr>
            <cx:visibility meanLine="1" meanMarker="0"/>
            <cx:statistics quartileMethod="inclusive"/>
          </cx:layoutPr>
        </cx:series>
      </cx:plotAreaRegion>
      <cx:axis id="0" hidden="1">
        <cx:catScaling gapWidth="0.0299999993"/>
        <cx:tickLabels/>
      </cx:axis>
      <cx:axis id="1">
        <cx:valScaling min="150"/>
        <cx:majorGridlines/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 sz="1800">
                <a:solidFill>
                  <a:sysClr val="windowText" lastClr="000000"/>
                </a:solidFill>
              </a:defRPr>
            </a:pPr>
            <a:endParaRPr lang="de-DE" sz="1800">
              <a:solidFill>
                <a:sysClr val="windowText" lastClr="000000"/>
              </a:solidFill>
            </a:endParaRPr>
          </a:p>
        </cx:txPr>
      </cx:axis>
    </cx:plotArea>
    <cx:legend pos="t" align="ctr" overlay="0">
      <cx:txPr>
        <a:bodyPr spcFirstLastPara="1" vertOverflow="ellipsis" wrap="square" lIns="0" tIns="0" rIns="0" bIns="0" anchor="ctr" anchorCtr="1"/>
        <a:lstStyle/>
        <a:p>
          <a:pPr>
            <a:defRPr sz="1400">
              <a:solidFill>
                <a:sysClr val="windowText" lastClr="000000"/>
              </a:solidFill>
            </a:defRPr>
          </a:pPr>
          <a:endParaRPr lang="de-DE" sz="1400">
            <a:solidFill>
              <a:sysClr val="windowText" lastClr="000000"/>
            </a:solidFill>
          </a:endParaRPr>
        </a:p>
      </cx:txPr>
    </cx:legend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7" workbookViewId="0" zoomToFit="1"/>
  </sheetViews>
  <pageMargins left="0" right="0" top="0" bottom="0" header="0" footer="0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2" workbookViewId="0" zoomToFit="1"/>
  </sheetViews>
  <pageMargins left="0.7" right="0.7" top="0.78740157499999996" bottom="0.78740157499999996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7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66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5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Diagramm5"/>
  <sheetViews>
    <sheetView zoomScale="66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 codeName="Diagramm6"/>
  <sheetViews>
    <sheetView zoomScale="66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66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66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Diagramm7"/>
  <sheetViews>
    <sheetView zoomScale="66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Diagramm8"/>
  <sheetViews>
    <sheetView zoomScale="66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7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66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" right="0" top="0" bottom="0" header="0" footer="0"/>
  <pageSetup paperSize="9" orientation="landscape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565876" cy="7443247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2683" cy="599378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/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hteck 1"/>
        <cdr:cNvSpPr>
          <a:spLocks xmlns:a="http://schemas.openxmlformats.org/drawingml/2006/main" noTextEdit="1"/>
        </cdr:cNvSpPr>
      </cdr:nvSpPr>
      <cdr:spPr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de-DE" sz="1100"/>
            <a:t>Dieses Diagramm ist in Ihrer Version von Excel nicht verfügbar.
Wenn Sie diese Form bearbeiten oder diese Arbeitsmappe in einem anderen Dateiformat speichern, wird das Diagramm dauerhaft beschädigt.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565876" cy="7443247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578523" cy="746125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10241280" cy="711200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0578523" cy="746125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10578523" cy="746125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10578523" cy="746125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10578523" cy="746125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10578523" cy="746125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10578523" cy="746125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0553700" cy="744220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0578523" cy="746125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0574694" cy="7445051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40935</xdr:rowOff>
    </xdr:from>
    <xdr:to>
      <xdr:col>5</xdr:col>
      <xdr:colOff>1139600</xdr:colOff>
      <xdr:row>0</xdr:row>
      <xdr:rowOff>2412987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40935"/>
          <a:ext cx="4243728" cy="2372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4</xdr:col>
      <xdr:colOff>95250</xdr:colOff>
      <xdr:row>0</xdr:row>
      <xdr:rowOff>371474</xdr:rowOff>
    </xdr:from>
    <xdr:ext cx="1095375" cy="619126"/>
    <xdr:sp macro="" textlink="">
      <xdr:nvSpPr>
        <xdr:cNvPr id="5" name="Textfeld 4"/>
        <xdr:cNvSpPr txBox="1"/>
      </xdr:nvSpPr>
      <xdr:spPr>
        <a:xfrm>
          <a:off x="3095625" y="371474"/>
          <a:ext cx="1095375" cy="619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de-DE" sz="1100"/>
            <a:t>m: 339</a:t>
          </a:r>
        </a:p>
        <a:p>
          <a:r>
            <a:rPr lang="de-DE" sz="1100"/>
            <a:t>w : 87</a:t>
          </a:r>
        </a:p>
        <a:p>
          <a:r>
            <a:rPr lang="de-DE" sz="1100"/>
            <a:t>Gesamt</a:t>
          </a:r>
          <a:r>
            <a:rPr lang="de-DE" sz="1100" baseline="0"/>
            <a:t>: </a:t>
          </a:r>
          <a:r>
            <a:rPr lang="de-DE" sz="1100" b="1" baseline="0">
              <a:solidFill>
                <a:srgbClr val="FF0000"/>
              </a:solidFill>
            </a:rPr>
            <a:t>426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571499</xdr:colOff>
      <xdr:row>9</xdr:row>
      <xdr:rowOff>161925</xdr:rowOff>
    </xdr:from>
    <xdr:to>
      <xdr:col>2</xdr:col>
      <xdr:colOff>161924</xdr:colOff>
      <xdr:row>11</xdr:row>
      <xdr:rowOff>104775</xdr:rowOff>
    </xdr:to>
    <xdr:sp macro="" textlink="">
      <xdr:nvSpPr>
        <xdr:cNvPr id="2" name="Pfeil nach unten 1"/>
        <xdr:cNvSpPr/>
      </xdr:nvSpPr>
      <xdr:spPr>
        <a:xfrm rot="10800000">
          <a:off x="1285874" y="1914525"/>
          <a:ext cx="304800" cy="323850"/>
        </a:xfrm>
        <a:prstGeom prst="down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de-DE" sz="1100"/>
        </a:p>
      </xdr:txBody>
    </xdr:sp>
    <xdr:clientData/>
  </xdr:twoCellAnchor>
  <xdr:twoCellAnchor>
    <xdr:from>
      <xdr:col>5</xdr:col>
      <xdr:colOff>5</xdr:colOff>
      <xdr:row>4</xdr:row>
      <xdr:rowOff>47624</xdr:rowOff>
    </xdr:from>
    <xdr:to>
      <xdr:col>9</xdr:col>
      <xdr:colOff>323853</xdr:colOff>
      <xdr:row>7</xdr:row>
      <xdr:rowOff>161919</xdr:rowOff>
    </xdr:to>
    <xdr:sp macro="" textlink="">
      <xdr:nvSpPr>
        <xdr:cNvPr id="3" name="Pfeil nach unten 2"/>
        <xdr:cNvSpPr/>
      </xdr:nvSpPr>
      <xdr:spPr>
        <a:xfrm rot="16200000">
          <a:off x="4686306" y="-409577"/>
          <a:ext cx="685795" cy="3181348"/>
        </a:xfrm>
        <a:prstGeom prst="down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vert="vert" rtlCol="0" anchor="ctr"/>
        <a:lstStyle/>
        <a:p>
          <a:pPr algn="ctr"/>
          <a:r>
            <a:rPr lang="de-DE" sz="1100" b="1">
              <a:solidFill>
                <a:schemeClr val="tx1"/>
              </a:solidFill>
            </a:rPr>
            <a:t>Annahme: Unabhängigkeit</a:t>
          </a:r>
        </a:p>
      </xdr:txBody>
    </xdr:sp>
    <xdr:clientData/>
  </xdr:twoCellAnchor>
  <xdr:twoCellAnchor>
    <xdr:from>
      <xdr:col>4</xdr:col>
      <xdr:colOff>333374</xdr:colOff>
      <xdr:row>15</xdr:row>
      <xdr:rowOff>66675</xdr:rowOff>
    </xdr:from>
    <xdr:to>
      <xdr:col>9</xdr:col>
      <xdr:colOff>219074</xdr:colOff>
      <xdr:row>18</xdr:row>
      <xdr:rowOff>85725</xdr:rowOff>
    </xdr:to>
    <xdr:sp macro="" textlink="">
      <xdr:nvSpPr>
        <xdr:cNvPr id="4" name="Pfeil nach links und rechts 3"/>
        <xdr:cNvSpPr/>
      </xdr:nvSpPr>
      <xdr:spPr>
        <a:xfrm>
          <a:off x="3324224" y="2990850"/>
          <a:ext cx="3190875" cy="590550"/>
        </a:xfrm>
        <a:prstGeom prst="leftRightArrow">
          <a:avLst/>
        </a:prstGeom>
        <a:solidFill>
          <a:srgbClr val="FF99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de-DE" sz="1100" b="1">
              <a:solidFill>
                <a:schemeClr val="tx1"/>
              </a:solidFill>
            </a:rPr>
            <a:t>Vergleich</a:t>
          </a:r>
        </a:p>
      </xdr:txBody>
    </xdr:sp>
    <xdr:clientData/>
  </xdr:twoCellAnchor>
  <xdr:twoCellAnchor>
    <xdr:from>
      <xdr:col>9</xdr:col>
      <xdr:colOff>28575</xdr:colOff>
      <xdr:row>20</xdr:row>
      <xdr:rowOff>190499</xdr:rowOff>
    </xdr:from>
    <xdr:to>
      <xdr:col>12</xdr:col>
      <xdr:colOff>123824</xdr:colOff>
      <xdr:row>26</xdr:row>
      <xdr:rowOff>57149</xdr:rowOff>
    </xdr:to>
    <xdr:sp macro="" textlink="">
      <xdr:nvSpPr>
        <xdr:cNvPr id="5" name="Rechteckiger Pfeil 4"/>
        <xdr:cNvSpPr/>
      </xdr:nvSpPr>
      <xdr:spPr>
        <a:xfrm rot="10800000">
          <a:off x="5391150" y="4076699"/>
          <a:ext cx="1838324" cy="1038225"/>
        </a:xfrm>
        <a:prstGeom prst="bentArrow">
          <a:avLst/>
        </a:prstGeom>
        <a:solidFill>
          <a:srgbClr val="FF99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de-DE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571500</xdr:colOff>
      <xdr:row>21</xdr:row>
      <xdr:rowOff>38099</xdr:rowOff>
    </xdr:from>
    <xdr:to>
      <xdr:col>4</xdr:col>
      <xdr:colOff>409574</xdr:colOff>
      <xdr:row>26</xdr:row>
      <xdr:rowOff>19047</xdr:rowOff>
    </xdr:to>
    <xdr:sp macro="" textlink="">
      <xdr:nvSpPr>
        <xdr:cNvPr id="6" name="Rechteckiger Pfeil 5"/>
        <xdr:cNvSpPr/>
      </xdr:nvSpPr>
      <xdr:spPr>
        <a:xfrm rot="10800000" flipH="1">
          <a:off x="1285875" y="4114799"/>
          <a:ext cx="2114549" cy="962023"/>
        </a:xfrm>
        <a:prstGeom prst="bentArrow">
          <a:avLst/>
        </a:prstGeom>
        <a:solidFill>
          <a:srgbClr val="FF99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de-DE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590551</xdr:colOff>
      <xdr:row>9</xdr:row>
      <xdr:rowOff>161925</xdr:rowOff>
    </xdr:from>
    <xdr:to>
      <xdr:col>12</xdr:col>
      <xdr:colOff>142876</xdr:colOff>
      <xdr:row>11</xdr:row>
      <xdr:rowOff>104775</xdr:rowOff>
    </xdr:to>
    <xdr:sp macro="" textlink="">
      <xdr:nvSpPr>
        <xdr:cNvPr id="7" name="Pfeil nach unten 6"/>
        <xdr:cNvSpPr/>
      </xdr:nvSpPr>
      <xdr:spPr>
        <a:xfrm>
          <a:off x="7572376" y="1914525"/>
          <a:ext cx="266700" cy="323850"/>
        </a:xfrm>
        <a:prstGeom prst="down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de-DE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4</xdr:row>
          <xdr:rowOff>66675</xdr:rowOff>
        </xdr:from>
        <xdr:to>
          <xdr:col>4</xdr:col>
          <xdr:colOff>314325</xdr:colOff>
          <xdr:row>5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238125</xdr:rowOff>
        </xdr:from>
        <xdr:to>
          <xdr:col>4</xdr:col>
          <xdr:colOff>314325</xdr:colOff>
          <xdr:row>6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6</xdr:row>
          <xdr:rowOff>47625</xdr:rowOff>
        </xdr:from>
        <xdr:to>
          <xdr:col>4</xdr:col>
          <xdr:colOff>314325</xdr:colOff>
          <xdr:row>7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3</xdr:row>
          <xdr:rowOff>104775</xdr:rowOff>
        </xdr:from>
        <xdr:to>
          <xdr:col>4</xdr:col>
          <xdr:colOff>314325</xdr:colOff>
          <xdr:row>4</xdr:row>
          <xdr:rowOff>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0</xdr:row>
          <xdr:rowOff>76200</xdr:rowOff>
        </xdr:from>
        <xdr:to>
          <xdr:col>4</xdr:col>
          <xdr:colOff>314325</xdr:colOff>
          <xdr:row>1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10</xdr:row>
          <xdr:rowOff>47625</xdr:rowOff>
        </xdr:from>
        <xdr:to>
          <xdr:col>4</xdr:col>
          <xdr:colOff>314325</xdr:colOff>
          <xdr:row>11</xdr:row>
          <xdr:rowOff>47625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12</xdr:row>
          <xdr:rowOff>47625</xdr:rowOff>
        </xdr:from>
        <xdr:to>
          <xdr:col>4</xdr:col>
          <xdr:colOff>314325</xdr:colOff>
          <xdr:row>13</xdr:row>
          <xdr:rowOff>57150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11</xdr:row>
          <xdr:rowOff>0</xdr:rowOff>
        </xdr:from>
        <xdr:to>
          <xdr:col>4</xdr:col>
          <xdr:colOff>314325</xdr:colOff>
          <xdr:row>12</xdr:row>
          <xdr:rowOff>19050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4</xdr:row>
          <xdr:rowOff>66675</xdr:rowOff>
        </xdr:from>
        <xdr:to>
          <xdr:col>11</xdr:col>
          <xdr:colOff>314325</xdr:colOff>
          <xdr:row>5</xdr:row>
          <xdr:rowOff>19050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4</xdr:row>
          <xdr:rowOff>238125</xdr:rowOff>
        </xdr:from>
        <xdr:to>
          <xdr:col>11</xdr:col>
          <xdr:colOff>314325</xdr:colOff>
          <xdr:row>6</xdr:row>
          <xdr:rowOff>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6</xdr:row>
          <xdr:rowOff>47625</xdr:rowOff>
        </xdr:from>
        <xdr:to>
          <xdr:col>11</xdr:col>
          <xdr:colOff>314325</xdr:colOff>
          <xdr:row>7</xdr:row>
          <xdr:rowOff>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3</xdr:row>
          <xdr:rowOff>104775</xdr:rowOff>
        </xdr:from>
        <xdr:to>
          <xdr:col>11</xdr:col>
          <xdr:colOff>314325</xdr:colOff>
          <xdr:row>4</xdr:row>
          <xdr:rowOff>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10</xdr:row>
          <xdr:rowOff>47625</xdr:rowOff>
        </xdr:from>
        <xdr:to>
          <xdr:col>11</xdr:col>
          <xdr:colOff>314325</xdr:colOff>
          <xdr:row>11</xdr:row>
          <xdr:rowOff>47625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571500</xdr:colOff>
          <xdr:row>11</xdr:row>
          <xdr:rowOff>0</xdr:rowOff>
        </xdr:from>
        <xdr:to>
          <xdr:col>11</xdr:col>
          <xdr:colOff>142875</xdr:colOff>
          <xdr:row>12</xdr:row>
          <xdr:rowOff>19050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0</xdr:row>
          <xdr:rowOff>76200</xdr:rowOff>
        </xdr:from>
        <xdr:to>
          <xdr:col>11</xdr:col>
          <xdr:colOff>314325</xdr:colOff>
          <xdr:row>1</xdr:row>
          <xdr:rowOff>9525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8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9.emf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6.emf"/><Relationship Id="rId17" Type="http://schemas.openxmlformats.org/officeDocument/2006/relationships/oleObject" Target="../embeddings/oleObject8.bin"/><Relationship Id="rId25" Type="http://schemas.openxmlformats.org/officeDocument/2006/relationships/oleObject" Target="../embeddings/oleObject15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8.emf"/><Relationship Id="rId20" Type="http://schemas.openxmlformats.org/officeDocument/2006/relationships/oleObject" Target="../embeddings/oleObject10.bin"/><Relationship Id="rId1" Type="http://schemas.openxmlformats.org/officeDocument/2006/relationships/drawing" Target="../drawings/drawing18.xml"/><Relationship Id="rId6" Type="http://schemas.openxmlformats.org/officeDocument/2006/relationships/image" Target="../media/image3.emf"/><Relationship Id="rId11" Type="http://schemas.openxmlformats.org/officeDocument/2006/relationships/oleObject" Target="../embeddings/oleObject5.bin"/><Relationship Id="rId24" Type="http://schemas.openxmlformats.org/officeDocument/2006/relationships/oleObject" Target="../embeddings/oleObject14.bin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3.bin"/><Relationship Id="rId10" Type="http://schemas.openxmlformats.org/officeDocument/2006/relationships/image" Target="../media/image5.emf"/><Relationship Id="rId19" Type="http://schemas.openxmlformats.org/officeDocument/2006/relationships/oleObject" Target="../embeddings/oleObject9.bin"/><Relationship Id="rId4" Type="http://schemas.openxmlformats.org/officeDocument/2006/relationships/image" Target="../media/image2.e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7.emf"/><Relationship Id="rId22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Views>
    <sheetView workbookViewId="0">
      <selection activeCell="D24" sqref="D24"/>
    </sheetView>
  </sheetViews>
  <sheetFormatPr baseColWidth="10" defaultRowHeight="15" x14ac:dyDescent="0.25"/>
  <cols>
    <col min="3" max="3" width="6.85546875" style="8" customWidth="1"/>
    <col min="4" max="8" width="8.7109375" style="444" customWidth="1"/>
    <col min="9" max="9" width="11.42578125" style="444"/>
    <col min="10" max="10" width="30.85546875" style="445" customWidth="1"/>
  </cols>
  <sheetData>
    <row r="1" spans="1:16" x14ac:dyDescent="0.25">
      <c r="D1" s="446">
        <f>SUBTOTAL(2,D4:D20)</f>
        <v>13</v>
      </c>
      <c r="E1" s="446">
        <f t="shared" ref="E1:H1" si="0">SUBTOTAL(2,E4:E20)</f>
        <v>11</v>
      </c>
      <c r="F1" s="446">
        <f t="shared" si="0"/>
        <v>14</v>
      </c>
      <c r="G1" s="446">
        <f t="shared" si="0"/>
        <v>15</v>
      </c>
      <c r="H1" s="446">
        <f t="shared" si="0"/>
        <v>17</v>
      </c>
      <c r="I1" s="446">
        <f>SUM(D1:H1)</f>
        <v>70</v>
      </c>
      <c r="J1" s="18"/>
      <c r="K1" s="8"/>
      <c r="L1" s="8"/>
      <c r="M1" s="8"/>
      <c r="N1" s="8"/>
      <c r="O1" s="8"/>
      <c r="P1" s="8"/>
    </row>
    <row r="2" spans="1:16" ht="15.75" thickBot="1" x14ac:dyDescent="0.3">
      <c r="D2" s="439" t="s">
        <v>179</v>
      </c>
      <c r="E2" s="439" t="s">
        <v>180</v>
      </c>
      <c r="F2" s="439" t="s">
        <v>181</v>
      </c>
      <c r="G2" s="439" t="s">
        <v>182</v>
      </c>
      <c r="H2" s="439" t="s">
        <v>183</v>
      </c>
      <c r="I2" s="18"/>
      <c r="J2" s="18"/>
      <c r="K2" s="18" t="s">
        <v>179</v>
      </c>
      <c r="L2" s="18" t="s">
        <v>180</v>
      </c>
      <c r="M2" s="18" t="s">
        <v>181</v>
      </c>
      <c r="N2" s="18" t="s">
        <v>182</v>
      </c>
      <c r="O2" s="18" t="s">
        <v>183</v>
      </c>
      <c r="P2" s="8"/>
    </row>
    <row r="3" spans="1:16" ht="8.25" customHeight="1" x14ac:dyDescent="0.25">
      <c r="D3" s="8"/>
      <c r="E3" s="8"/>
      <c r="F3" s="8"/>
      <c r="G3" s="8"/>
      <c r="H3" s="8"/>
      <c r="I3" s="8"/>
      <c r="J3" s="18"/>
      <c r="K3" s="8"/>
      <c r="L3" s="8"/>
      <c r="M3" s="8"/>
      <c r="N3" s="8"/>
      <c r="O3" s="8"/>
      <c r="P3" s="8"/>
    </row>
    <row r="4" spans="1:16" x14ac:dyDescent="0.25">
      <c r="A4" s="2">
        <v>19</v>
      </c>
      <c r="B4" s="2">
        <v>160</v>
      </c>
      <c r="D4" s="8">
        <f t="shared" ref="D4:D16" si="1">B4</f>
        <v>160</v>
      </c>
      <c r="E4" s="8">
        <f t="shared" ref="E4:E14" si="2">B17</f>
        <v>160</v>
      </c>
      <c r="F4" s="8">
        <f>B28</f>
        <v>160</v>
      </c>
      <c r="G4" s="8">
        <f>B42</f>
        <v>155</v>
      </c>
      <c r="H4" s="8">
        <f t="shared" ref="H4:H20" si="3">B57</f>
        <v>170</v>
      </c>
      <c r="I4" s="8"/>
      <c r="J4" s="18" t="s">
        <v>35</v>
      </c>
      <c r="K4" s="8">
        <f>QUARTILE($B$4:$B$16,0)</f>
        <v>160</v>
      </c>
      <c r="L4" s="8">
        <f>QUARTILE($B$17:$B$27,0)</f>
        <v>160</v>
      </c>
      <c r="M4" s="8">
        <f>QUARTILE($B$28:$B$41,0)</f>
        <v>160</v>
      </c>
      <c r="N4" s="8">
        <f>QUARTILE($B$42:$B$56,0)</f>
        <v>155</v>
      </c>
      <c r="O4" s="8">
        <f>QUARTILE($B$57:$B$73,0)</f>
        <v>164</v>
      </c>
      <c r="P4" s="8"/>
    </row>
    <row r="5" spans="1:16" x14ac:dyDescent="0.25">
      <c r="A5" s="2">
        <v>19</v>
      </c>
      <c r="B5" s="2">
        <v>168</v>
      </c>
      <c r="D5" s="8">
        <f t="shared" si="1"/>
        <v>168</v>
      </c>
      <c r="E5" s="8">
        <f t="shared" si="2"/>
        <v>163</v>
      </c>
      <c r="F5" s="8">
        <f t="shared" ref="F5:F16" si="4">B29</f>
        <v>161</v>
      </c>
      <c r="G5" s="8">
        <f t="shared" ref="G5:G18" si="5">B43</f>
        <v>160</v>
      </c>
      <c r="H5" s="8">
        <f t="shared" si="3"/>
        <v>172</v>
      </c>
      <c r="I5" s="8"/>
      <c r="J5" s="447">
        <v>0.25</v>
      </c>
      <c r="K5" s="8">
        <f>QUARTILE($B$4:$B$16,1)</f>
        <v>168</v>
      </c>
      <c r="L5" s="8">
        <f>QUARTILE($B$4:$B$16,1)</f>
        <v>168</v>
      </c>
      <c r="M5" s="8">
        <f>QUARTILE($B$28:$B$41,1)</f>
        <v>166.25</v>
      </c>
      <c r="N5" s="8">
        <f>QUARTILE($B$42:$B$56,1)</f>
        <v>170</v>
      </c>
      <c r="O5" s="8">
        <f>QUARTILE($B$57:$B$73,1)</f>
        <v>175</v>
      </c>
      <c r="P5" s="8"/>
    </row>
    <row r="6" spans="1:16" x14ac:dyDescent="0.25">
      <c r="A6" s="2">
        <v>19</v>
      </c>
      <c r="B6" s="2">
        <v>182</v>
      </c>
      <c r="D6" s="8">
        <f t="shared" si="1"/>
        <v>182</v>
      </c>
      <c r="E6" s="8">
        <f t="shared" si="2"/>
        <v>165</v>
      </c>
      <c r="F6" s="8">
        <f t="shared" si="4"/>
        <v>165</v>
      </c>
      <c r="G6" s="8">
        <f t="shared" si="5"/>
        <v>170</v>
      </c>
      <c r="H6" s="8">
        <f t="shared" si="3"/>
        <v>176</v>
      </c>
      <c r="I6" s="8"/>
      <c r="J6" s="447">
        <v>0.5</v>
      </c>
      <c r="K6" s="8">
        <f>QUARTILE($B$4:$B$16,2)</f>
        <v>180</v>
      </c>
      <c r="L6" s="8">
        <f>QUARTILE($B$17:$B$27,2)</f>
        <v>176</v>
      </c>
      <c r="M6" s="8">
        <f>QUARTILE($B$28:$B$41,2)</f>
        <v>172</v>
      </c>
      <c r="N6" s="8">
        <f>QUARTILE($B$42:$B$56,2)</f>
        <v>176</v>
      </c>
      <c r="O6" s="8">
        <f>QUARTILE($B$57:$B$73,2)</f>
        <v>180</v>
      </c>
      <c r="P6" s="8"/>
    </row>
    <row r="7" spans="1:16" x14ac:dyDescent="0.25">
      <c r="A7" s="2">
        <v>20</v>
      </c>
      <c r="B7" s="2">
        <v>163</v>
      </c>
      <c r="D7" s="8">
        <f t="shared" si="1"/>
        <v>163</v>
      </c>
      <c r="E7" s="8">
        <f t="shared" si="2"/>
        <v>173</v>
      </c>
      <c r="F7" s="8">
        <f t="shared" si="4"/>
        <v>165</v>
      </c>
      <c r="G7" s="8">
        <f t="shared" si="5"/>
        <v>176</v>
      </c>
      <c r="H7" s="8">
        <f t="shared" si="3"/>
        <v>176</v>
      </c>
      <c r="I7" s="8"/>
      <c r="J7" s="447">
        <v>0.75</v>
      </c>
      <c r="K7" s="8">
        <f>QUARTILE($B$4:$B$16,3)</f>
        <v>183</v>
      </c>
      <c r="L7" s="8">
        <f>QUARTILE($B$17:$B$27,3)</f>
        <v>181</v>
      </c>
      <c r="M7" s="8">
        <f>QUARTILE($B$28:$B$41,3)</f>
        <v>183</v>
      </c>
      <c r="N7" s="8">
        <f>QUARTILE($B$42:$B$56,3)</f>
        <v>182.5</v>
      </c>
      <c r="O7" s="8">
        <f>QUARTILE($B$57:$B$73,3)</f>
        <v>185</v>
      </c>
      <c r="P7" s="8"/>
    </row>
    <row r="8" spans="1:16" x14ac:dyDescent="0.25">
      <c r="A8" s="2">
        <v>20</v>
      </c>
      <c r="B8" s="2">
        <v>163</v>
      </c>
      <c r="D8" s="8">
        <f t="shared" si="1"/>
        <v>163</v>
      </c>
      <c r="E8" s="8">
        <f t="shared" si="2"/>
        <v>174</v>
      </c>
      <c r="F8" s="8">
        <f t="shared" si="4"/>
        <v>170</v>
      </c>
      <c r="G8" s="8">
        <f t="shared" si="5"/>
        <v>176</v>
      </c>
      <c r="H8" s="8">
        <f t="shared" si="3"/>
        <v>178</v>
      </c>
      <c r="I8" s="8"/>
      <c r="J8" s="18" t="s">
        <v>36</v>
      </c>
      <c r="K8" s="8">
        <f>QUARTILE($B$4:$B$16,4)</f>
        <v>195</v>
      </c>
      <c r="L8" s="8">
        <f>QUARTILE($B$17:$B$27,4)</f>
        <v>185</v>
      </c>
      <c r="M8" s="8">
        <f>QUARTILE($B$28:$B$41,4)</f>
        <v>188</v>
      </c>
      <c r="N8" s="8">
        <f>QUARTILE($B$42:$B$56,4)</f>
        <v>193</v>
      </c>
      <c r="O8" s="8">
        <f>QUARTILE($B$57:$B$73,4)</f>
        <v>193</v>
      </c>
      <c r="P8" s="8"/>
    </row>
    <row r="9" spans="1:16" x14ac:dyDescent="0.25">
      <c r="A9" s="2">
        <v>20</v>
      </c>
      <c r="B9" s="2">
        <v>170</v>
      </c>
      <c r="D9" s="8">
        <f t="shared" si="1"/>
        <v>170</v>
      </c>
      <c r="E9" s="8">
        <f t="shared" si="2"/>
        <v>176</v>
      </c>
      <c r="F9" s="8">
        <f t="shared" si="4"/>
        <v>170</v>
      </c>
      <c r="G9" s="8">
        <f t="shared" si="5"/>
        <v>178</v>
      </c>
      <c r="H9" s="8">
        <f t="shared" si="3"/>
        <v>180</v>
      </c>
      <c r="I9" s="8"/>
      <c r="J9" s="18"/>
      <c r="K9" s="8"/>
      <c r="L9" s="8"/>
      <c r="M9" s="8"/>
      <c r="N9" s="8"/>
      <c r="O9" s="8"/>
      <c r="P9" s="8"/>
    </row>
    <row r="10" spans="1:16" x14ac:dyDescent="0.25">
      <c r="A10" s="2">
        <v>20</v>
      </c>
      <c r="B10" s="2">
        <v>174</v>
      </c>
      <c r="D10" s="8">
        <f t="shared" si="1"/>
        <v>174</v>
      </c>
      <c r="E10" s="8">
        <f t="shared" si="2"/>
        <v>176</v>
      </c>
      <c r="F10" s="8">
        <f t="shared" si="4"/>
        <v>170</v>
      </c>
      <c r="G10" s="8">
        <f t="shared" si="5"/>
        <v>185</v>
      </c>
      <c r="H10" s="8">
        <f t="shared" si="3"/>
        <v>183</v>
      </c>
      <c r="I10" s="8"/>
      <c r="J10" s="18"/>
      <c r="K10" s="8"/>
      <c r="L10" s="8"/>
      <c r="M10" s="8"/>
      <c r="N10" s="8"/>
      <c r="O10" s="8"/>
      <c r="P10" s="8"/>
    </row>
    <row r="11" spans="1:16" x14ac:dyDescent="0.25">
      <c r="A11" s="2">
        <v>20</v>
      </c>
      <c r="B11" s="2">
        <v>180</v>
      </c>
      <c r="D11" s="8">
        <f t="shared" si="1"/>
        <v>180</v>
      </c>
      <c r="E11" s="8">
        <f t="shared" si="2"/>
        <v>178</v>
      </c>
      <c r="F11" s="8">
        <f t="shared" si="4"/>
        <v>174</v>
      </c>
      <c r="G11" s="8">
        <f t="shared" si="5"/>
        <v>189</v>
      </c>
      <c r="H11" s="8">
        <f t="shared" si="3"/>
        <v>187</v>
      </c>
      <c r="I11" s="8"/>
      <c r="J11" s="18" t="s">
        <v>186</v>
      </c>
      <c r="K11" s="8">
        <f>K5-K4</f>
        <v>8</v>
      </c>
      <c r="L11" s="8">
        <f t="shared" ref="L11:O11" si="6">L5-L4</f>
        <v>8</v>
      </c>
      <c r="M11" s="8">
        <f t="shared" si="6"/>
        <v>6.25</v>
      </c>
      <c r="N11" s="8">
        <f t="shared" si="6"/>
        <v>15</v>
      </c>
      <c r="O11" s="8">
        <f t="shared" si="6"/>
        <v>11</v>
      </c>
      <c r="P11" s="8"/>
    </row>
    <row r="12" spans="1:16" x14ac:dyDescent="0.25">
      <c r="A12" s="2">
        <v>20</v>
      </c>
      <c r="B12" s="2">
        <v>182</v>
      </c>
      <c r="D12" s="8">
        <f t="shared" si="1"/>
        <v>182</v>
      </c>
      <c r="E12" s="8">
        <f t="shared" si="2"/>
        <v>184</v>
      </c>
      <c r="F12" s="8">
        <f t="shared" si="4"/>
        <v>180</v>
      </c>
      <c r="G12" s="8">
        <f t="shared" si="5"/>
        <v>193</v>
      </c>
      <c r="H12" s="8">
        <f t="shared" si="3"/>
        <v>164</v>
      </c>
      <c r="I12" s="8"/>
      <c r="J12" s="447">
        <v>0.25</v>
      </c>
      <c r="K12" s="8">
        <f>K5</f>
        <v>168</v>
      </c>
      <c r="L12" s="8">
        <f t="shared" ref="L12:O12" si="7">L5</f>
        <v>168</v>
      </c>
      <c r="M12" s="8">
        <f t="shared" si="7"/>
        <v>166.25</v>
      </c>
      <c r="N12" s="8">
        <f t="shared" si="7"/>
        <v>170</v>
      </c>
      <c r="O12" s="8">
        <f t="shared" si="7"/>
        <v>175</v>
      </c>
      <c r="P12" s="8"/>
    </row>
    <row r="13" spans="1:16" x14ac:dyDescent="0.25">
      <c r="A13" s="2">
        <v>20</v>
      </c>
      <c r="B13" s="2">
        <v>183</v>
      </c>
      <c r="D13" s="8">
        <f t="shared" si="1"/>
        <v>183</v>
      </c>
      <c r="E13" s="8">
        <f t="shared" si="2"/>
        <v>185</v>
      </c>
      <c r="F13" s="8">
        <f t="shared" si="4"/>
        <v>180</v>
      </c>
      <c r="G13" s="8">
        <f t="shared" si="5"/>
        <v>160</v>
      </c>
      <c r="H13" s="8">
        <f t="shared" si="3"/>
        <v>175</v>
      </c>
      <c r="I13" s="8"/>
      <c r="J13" s="447">
        <v>0.5</v>
      </c>
      <c r="K13" s="8">
        <f>K6-K5</f>
        <v>12</v>
      </c>
      <c r="L13" s="8">
        <f t="shared" ref="L13:O13" si="8">L6-L5</f>
        <v>8</v>
      </c>
      <c r="M13" s="8">
        <f t="shared" si="8"/>
        <v>5.75</v>
      </c>
      <c r="N13" s="8">
        <f t="shared" si="8"/>
        <v>6</v>
      </c>
      <c r="O13" s="8">
        <f t="shared" si="8"/>
        <v>5</v>
      </c>
      <c r="P13" s="8"/>
    </row>
    <row r="14" spans="1:16" x14ac:dyDescent="0.25">
      <c r="A14" s="2">
        <v>20</v>
      </c>
      <c r="B14" s="2">
        <v>183</v>
      </c>
      <c r="D14" s="8">
        <f t="shared" si="1"/>
        <v>183</v>
      </c>
      <c r="E14" s="8">
        <f t="shared" si="2"/>
        <v>185</v>
      </c>
      <c r="F14" s="8">
        <f t="shared" si="4"/>
        <v>184</v>
      </c>
      <c r="G14" s="8">
        <f t="shared" si="5"/>
        <v>170</v>
      </c>
      <c r="H14" s="8">
        <f t="shared" si="3"/>
        <v>182</v>
      </c>
      <c r="I14" s="8"/>
      <c r="J14" s="447">
        <v>0.75</v>
      </c>
      <c r="K14" s="8">
        <f>K7-K6</f>
        <v>3</v>
      </c>
      <c r="L14" s="8">
        <f t="shared" ref="L14:O14" si="9">L7-L6</f>
        <v>5</v>
      </c>
      <c r="M14" s="8">
        <f t="shared" si="9"/>
        <v>11</v>
      </c>
      <c r="N14" s="8">
        <f t="shared" si="9"/>
        <v>6.5</v>
      </c>
      <c r="O14" s="8">
        <f t="shared" si="9"/>
        <v>5</v>
      </c>
      <c r="P14" s="8"/>
    </row>
    <row r="15" spans="1:16" x14ac:dyDescent="0.25">
      <c r="A15" s="2">
        <v>20</v>
      </c>
      <c r="B15" s="2">
        <v>185</v>
      </c>
      <c r="D15" s="8">
        <f t="shared" si="1"/>
        <v>185</v>
      </c>
      <c r="E15" s="8"/>
      <c r="F15" s="8">
        <f t="shared" si="4"/>
        <v>185</v>
      </c>
      <c r="G15" s="8">
        <f t="shared" si="5"/>
        <v>171</v>
      </c>
      <c r="H15" s="8">
        <f t="shared" si="3"/>
        <v>184</v>
      </c>
      <c r="I15" s="8"/>
      <c r="J15" s="18" t="s">
        <v>187</v>
      </c>
      <c r="K15" s="8">
        <f>K8-K7</f>
        <v>12</v>
      </c>
      <c r="L15" s="8">
        <f t="shared" ref="L15:O15" si="10">L8-L7</f>
        <v>4</v>
      </c>
      <c r="M15" s="8">
        <f t="shared" si="10"/>
        <v>5</v>
      </c>
      <c r="N15" s="8">
        <f t="shared" si="10"/>
        <v>10.5</v>
      </c>
      <c r="O15" s="8">
        <f t="shared" si="10"/>
        <v>8</v>
      </c>
      <c r="P15" s="8"/>
    </row>
    <row r="16" spans="1:16" x14ac:dyDescent="0.25">
      <c r="A16" s="2">
        <v>20</v>
      </c>
      <c r="B16" s="2">
        <v>195</v>
      </c>
      <c r="D16" s="8">
        <f t="shared" si="1"/>
        <v>195</v>
      </c>
      <c r="E16" s="8"/>
      <c r="F16" s="8">
        <f t="shared" si="4"/>
        <v>187</v>
      </c>
      <c r="G16" s="8">
        <f t="shared" si="5"/>
        <v>182</v>
      </c>
      <c r="H16" s="8">
        <f t="shared" si="3"/>
        <v>185</v>
      </c>
      <c r="I16" s="8"/>
      <c r="J16" s="18"/>
      <c r="K16" s="8"/>
      <c r="L16" s="8"/>
      <c r="M16" s="8"/>
      <c r="N16" s="8"/>
      <c r="O16" s="8"/>
      <c r="P16" s="8"/>
    </row>
    <row r="17" spans="1:16" x14ac:dyDescent="0.25">
      <c r="A17" s="47">
        <v>21</v>
      </c>
      <c r="B17" s="47">
        <v>160</v>
      </c>
      <c r="D17" s="8"/>
      <c r="E17" s="8"/>
      <c r="F17" s="8">
        <f>B41</f>
        <v>188</v>
      </c>
      <c r="G17" s="8">
        <f t="shared" si="5"/>
        <v>182</v>
      </c>
      <c r="H17" s="8">
        <f t="shared" si="3"/>
        <v>185</v>
      </c>
      <c r="I17" s="8"/>
      <c r="J17" s="18"/>
      <c r="K17" s="8"/>
      <c r="L17" s="8"/>
      <c r="M17" s="8"/>
      <c r="N17" s="8"/>
      <c r="O17" s="8"/>
      <c r="P17" s="8"/>
    </row>
    <row r="18" spans="1:16" x14ac:dyDescent="0.25">
      <c r="A18" s="47">
        <v>21</v>
      </c>
      <c r="B18" s="47">
        <v>163</v>
      </c>
      <c r="D18" s="8"/>
      <c r="E18" s="8"/>
      <c r="F18" s="8"/>
      <c r="G18" s="8">
        <f t="shared" si="5"/>
        <v>183</v>
      </c>
      <c r="H18" s="8">
        <f t="shared" si="3"/>
        <v>193</v>
      </c>
      <c r="I18" s="8"/>
      <c r="J18" s="18"/>
      <c r="K18" s="8"/>
      <c r="L18" s="8"/>
      <c r="M18" s="8"/>
      <c r="N18" s="8"/>
      <c r="O18" s="8"/>
      <c r="P18" s="8"/>
    </row>
    <row r="19" spans="1:16" x14ac:dyDescent="0.25">
      <c r="A19" s="47">
        <v>21</v>
      </c>
      <c r="B19" s="47">
        <v>165</v>
      </c>
      <c r="D19" s="8"/>
      <c r="E19" s="8"/>
      <c r="F19" s="8"/>
      <c r="G19" s="8"/>
      <c r="H19" s="8">
        <f t="shared" si="3"/>
        <v>169</v>
      </c>
      <c r="I19" s="8"/>
      <c r="J19" s="18"/>
      <c r="K19" s="8"/>
      <c r="L19" s="8"/>
      <c r="M19" s="8"/>
      <c r="N19" s="8"/>
      <c r="O19" s="8"/>
      <c r="P19" s="8"/>
    </row>
    <row r="20" spans="1:16" x14ac:dyDescent="0.25">
      <c r="A20" s="47">
        <v>21</v>
      </c>
      <c r="B20" s="47">
        <v>173</v>
      </c>
      <c r="D20" s="8"/>
      <c r="E20" s="8"/>
      <c r="F20" s="8"/>
      <c r="G20" s="8"/>
      <c r="H20" s="8">
        <f t="shared" si="3"/>
        <v>190</v>
      </c>
      <c r="I20" s="8"/>
      <c r="J20" s="18"/>
      <c r="K20" s="8"/>
      <c r="L20" s="8"/>
      <c r="M20" s="8"/>
      <c r="N20" s="8"/>
      <c r="O20" s="8"/>
      <c r="P20" s="8"/>
    </row>
    <row r="21" spans="1:16" x14ac:dyDescent="0.25">
      <c r="A21" s="47">
        <v>21</v>
      </c>
      <c r="B21" s="47">
        <v>174</v>
      </c>
      <c r="D21" s="8"/>
      <c r="E21" s="8"/>
      <c r="F21" s="8"/>
      <c r="G21" s="8"/>
      <c r="H21" s="8"/>
      <c r="I21" s="8"/>
      <c r="J21" s="18"/>
      <c r="K21" s="8"/>
      <c r="L21" s="8"/>
      <c r="M21" s="8"/>
      <c r="N21" s="8"/>
      <c r="O21" s="8"/>
      <c r="P21" s="8"/>
    </row>
    <row r="22" spans="1:16" ht="15.75" thickBot="1" x14ac:dyDescent="0.3">
      <c r="A22" s="47">
        <v>21</v>
      </c>
      <c r="B22" s="47">
        <v>176</v>
      </c>
      <c r="C22" s="430"/>
      <c r="D22" s="439" t="s">
        <v>179</v>
      </c>
      <c r="E22" s="439" t="s">
        <v>180</v>
      </c>
      <c r="F22" s="439" t="s">
        <v>181</v>
      </c>
      <c r="G22" s="439" t="s">
        <v>182</v>
      </c>
      <c r="H22" s="439" t="s">
        <v>183</v>
      </c>
      <c r="I22" s="8"/>
      <c r="J22" s="18"/>
    </row>
    <row r="23" spans="1:16" x14ac:dyDescent="0.25">
      <c r="A23" s="47">
        <v>21</v>
      </c>
      <c r="B23" s="47">
        <v>176</v>
      </c>
      <c r="C23" s="18" t="s">
        <v>35</v>
      </c>
      <c r="D23" s="8">
        <f>QUARTILE($B$4:$B$16,0)</f>
        <v>160</v>
      </c>
      <c r="E23" s="8">
        <f>QUARTILE($B$17:$B$27,0)</f>
        <v>160</v>
      </c>
      <c r="F23" s="8">
        <f>QUARTILE($B$28:$B$41,0)</f>
        <v>160</v>
      </c>
      <c r="G23" s="8">
        <f>QUARTILE($B$42:$B$56,0)</f>
        <v>155</v>
      </c>
      <c r="H23" s="8">
        <f>QUARTILE($B$57:$B$73,0)</f>
        <v>164</v>
      </c>
      <c r="I23" s="8"/>
      <c r="J23" s="18"/>
    </row>
    <row r="24" spans="1:16" x14ac:dyDescent="0.25">
      <c r="A24" s="47">
        <v>21</v>
      </c>
      <c r="B24" s="47">
        <v>178</v>
      </c>
      <c r="C24" s="447">
        <v>0.25</v>
      </c>
      <c r="D24" s="8">
        <f>QUARTILE($B$4:$B$16,1)</f>
        <v>168</v>
      </c>
      <c r="E24" s="8">
        <f>QUARTILE($B$4:$B$16,1)</f>
        <v>168</v>
      </c>
      <c r="F24" s="8">
        <f>QUARTILE($B$28:$B$41,1)</f>
        <v>166.25</v>
      </c>
      <c r="G24" s="8">
        <f>QUARTILE($B$42:$B$56,1)</f>
        <v>170</v>
      </c>
      <c r="H24" s="8">
        <f>QUARTILE($B$57:$B$73,1)</f>
        <v>175</v>
      </c>
      <c r="I24" s="8"/>
      <c r="J24" s="18"/>
    </row>
    <row r="25" spans="1:16" x14ac:dyDescent="0.25">
      <c r="A25" s="47">
        <v>21</v>
      </c>
      <c r="B25" s="47">
        <v>184</v>
      </c>
      <c r="C25" s="447">
        <v>0.5</v>
      </c>
      <c r="D25" s="8">
        <f>QUARTILE($B$4:$B$16,2)</f>
        <v>180</v>
      </c>
      <c r="E25" s="8">
        <f>QUARTILE($B$17:$B$27,2)</f>
        <v>176</v>
      </c>
      <c r="F25" s="8">
        <f>QUARTILE($B$28:$B$41,2)</f>
        <v>172</v>
      </c>
      <c r="G25" s="8">
        <f>QUARTILE($B$42:$B$56,2)</f>
        <v>176</v>
      </c>
      <c r="H25" s="8">
        <f>QUARTILE($B$57:$B$73,2)</f>
        <v>180</v>
      </c>
      <c r="I25" s="8"/>
      <c r="J25" s="18"/>
    </row>
    <row r="26" spans="1:16" x14ac:dyDescent="0.25">
      <c r="A26" s="47">
        <v>21</v>
      </c>
      <c r="B26" s="47">
        <v>185</v>
      </c>
      <c r="C26" s="447">
        <v>0.75</v>
      </c>
      <c r="D26" s="8">
        <f>QUARTILE($B$4:$B$16,3)</f>
        <v>183</v>
      </c>
      <c r="E26" s="8">
        <f>QUARTILE($B$17:$B$27,3)</f>
        <v>181</v>
      </c>
      <c r="F26" s="8">
        <f>QUARTILE($B$28:$B$41,3)</f>
        <v>183</v>
      </c>
      <c r="G26" s="8">
        <f>QUARTILE($B$42:$B$56,3)</f>
        <v>182.5</v>
      </c>
      <c r="H26" s="8">
        <f>QUARTILE($B$57:$B$73,3)</f>
        <v>185</v>
      </c>
      <c r="I26" s="8"/>
      <c r="J26" s="18"/>
    </row>
    <row r="27" spans="1:16" x14ac:dyDescent="0.25">
      <c r="A27" s="47">
        <v>21</v>
      </c>
      <c r="B27" s="47">
        <v>185</v>
      </c>
      <c r="C27" s="18" t="s">
        <v>36</v>
      </c>
      <c r="D27" s="8">
        <f>QUARTILE($B$4:$B$16,4)</f>
        <v>195</v>
      </c>
      <c r="E27" s="8">
        <f>QUARTILE($B$17:$B$27,4)</f>
        <v>185</v>
      </c>
      <c r="F27" s="8">
        <f>QUARTILE($B$28:$B$41,4)</f>
        <v>188</v>
      </c>
      <c r="G27" s="8">
        <f>QUARTILE($B$42:$B$56,4)</f>
        <v>193</v>
      </c>
      <c r="H27" s="8">
        <f>QUARTILE($B$57:$B$73,4)</f>
        <v>193</v>
      </c>
      <c r="I27" s="8"/>
      <c r="J27" s="18"/>
    </row>
    <row r="28" spans="1:16" x14ac:dyDescent="0.25">
      <c r="A28" s="2">
        <v>22</v>
      </c>
      <c r="B28" s="2">
        <v>160</v>
      </c>
      <c r="D28" s="8"/>
      <c r="E28" s="8"/>
      <c r="F28" s="8"/>
      <c r="G28" s="8"/>
      <c r="H28" s="8"/>
      <c r="I28" s="8"/>
      <c r="J28" s="18"/>
    </row>
    <row r="29" spans="1:16" x14ac:dyDescent="0.25">
      <c r="A29" s="2">
        <v>22</v>
      </c>
      <c r="B29" s="2">
        <v>161</v>
      </c>
      <c r="D29" s="8"/>
      <c r="E29" s="8"/>
      <c r="F29" s="8"/>
      <c r="G29" s="8"/>
      <c r="H29" s="8"/>
      <c r="I29" s="8"/>
      <c r="J29" s="18"/>
    </row>
    <row r="30" spans="1:16" x14ac:dyDescent="0.25">
      <c r="A30" s="2">
        <v>22</v>
      </c>
      <c r="B30" s="2">
        <v>165</v>
      </c>
      <c r="D30" s="8"/>
      <c r="E30" s="8"/>
      <c r="F30" s="8"/>
      <c r="G30" s="8"/>
      <c r="H30" s="8"/>
      <c r="I30" s="8"/>
      <c r="J30" s="18"/>
    </row>
    <row r="31" spans="1:16" x14ac:dyDescent="0.25">
      <c r="A31" s="2">
        <v>22</v>
      </c>
      <c r="B31" s="2">
        <v>165</v>
      </c>
      <c r="D31" s="8"/>
      <c r="E31" s="8"/>
      <c r="F31" s="8"/>
      <c r="G31" s="8"/>
      <c r="H31" s="8"/>
      <c r="I31" s="8"/>
      <c r="J31" s="18"/>
    </row>
    <row r="32" spans="1:16" x14ac:dyDescent="0.25">
      <c r="A32" s="2">
        <v>22</v>
      </c>
      <c r="B32" s="2">
        <v>170</v>
      </c>
      <c r="D32" s="8"/>
      <c r="E32" s="8"/>
      <c r="F32" s="8"/>
      <c r="G32" s="8"/>
      <c r="H32" s="8"/>
      <c r="I32" s="8"/>
      <c r="J32" s="18"/>
    </row>
    <row r="33" spans="1:10" x14ac:dyDescent="0.25">
      <c r="A33" s="2">
        <v>22</v>
      </c>
      <c r="B33" s="2">
        <v>170</v>
      </c>
      <c r="D33" s="8"/>
      <c r="E33" s="8"/>
      <c r="F33" s="8"/>
      <c r="G33" s="8"/>
      <c r="H33" s="8"/>
      <c r="I33" s="8"/>
      <c r="J33" s="18"/>
    </row>
    <row r="34" spans="1:10" x14ac:dyDescent="0.25">
      <c r="A34" s="2">
        <v>22</v>
      </c>
      <c r="B34" s="2">
        <v>170</v>
      </c>
      <c r="D34" s="8"/>
      <c r="E34" s="8"/>
      <c r="F34" s="8"/>
      <c r="G34" s="8"/>
      <c r="H34" s="8"/>
      <c r="I34" s="8"/>
      <c r="J34" s="18"/>
    </row>
    <row r="35" spans="1:10" x14ac:dyDescent="0.25">
      <c r="A35" s="2">
        <v>22</v>
      </c>
      <c r="B35" s="2">
        <v>174</v>
      </c>
      <c r="D35" s="8"/>
      <c r="E35" s="8"/>
      <c r="F35" s="8"/>
      <c r="G35" s="8"/>
      <c r="H35" s="8"/>
      <c r="I35" s="8"/>
      <c r="J35" s="18"/>
    </row>
    <row r="36" spans="1:10" x14ac:dyDescent="0.25">
      <c r="A36" s="2">
        <v>22</v>
      </c>
      <c r="B36" s="2">
        <v>180</v>
      </c>
      <c r="D36" s="8"/>
      <c r="E36" s="8"/>
      <c r="F36" s="8"/>
      <c r="G36" s="8"/>
      <c r="H36" s="8"/>
      <c r="I36" s="8"/>
      <c r="J36" s="18"/>
    </row>
    <row r="37" spans="1:10" x14ac:dyDescent="0.25">
      <c r="A37" s="2">
        <v>22</v>
      </c>
      <c r="B37" s="2">
        <v>180</v>
      </c>
      <c r="D37" s="8"/>
      <c r="E37" s="8"/>
      <c r="F37" s="8"/>
      <c r="G37" s="8"/>
      <c r="H37" s="8"/>
      <c r="I37" s="8"/>
      <c r="J37" s="18"/>
    </row>
    <row r="38" spans="1:10" x14ac:dyDescent="0.25">
      <c r="A38" s="2">
        <v>22</v>
      </c>
      <c r="B38" s="2">
        <v>184</v>
      </c>
      <c r="D38" s="8"/>
      <c r="E38" s="8"/>
      <c r="F38" s="8"/>
      <c r="G38" s="8"/>
      <c r="H38" s="8"/>
      <c r="I38" s="8"/>
      <c r="J38" s="18"/>
    </row>
    <row r="39" spans="1:10" x14ac:dyDescent="0.25">
      <c r="A39" s="2">
        <v>22</v>
      </c>
      <c r="B39" s="2">
        <v>185</v>
      </c>
      <c r="D39" s="8"/>
      <c r="E39" s="8"/>
      <c r="F39" s="8"/>
      <c r="G39" s="8"/>
      <c r="H39" s="8"/>
      <c r="J39" s="18"/>
    </row>
    <row r="40" spans="1:10" x14ac:dyDescent="0.25">
      <c r="A40" s="2">
        <v>22</v>
      </c>
      <c r="B40" s="2">
        <v>187</v>
      </c>
    </row>
    <row r="41" spans="1:10" x14ac:dyDescent="0.25">
      <c r="A41" s="2">
        <v>22</v>
      </c>
      <c r="B41" s="2">
        <v>188</v>
      </c>
    </row>
    <row r="42" spans="1:10" x14ac:dyDescent="0.25">
      <c r="A42" s="47">
        <v>23</v>
      </c>
      <c r="B42" s="47">
        <v>155</v>
      </c>
    </row>
    <row r="43" spans="1:10" x14ac:dyDescent="0.25">
      <c r="A43" s="47">
        <v>23</v>
      </c>
      <c r="B43" s="47">
        <v>160</v>
      </c>
    </row>
    <row r="44" spans="1:10" x14ac:dyDescent="0.25">
      <c r="A44" s="47">
        <v>23</v>
      </c>
      <c r="B44" s="47">
        <v>170</v>
      </c>
    </row>
    <row r="45" spans="1:10" x14ac:dyDescent="0.25">
      <c r="A45" s="47">
        <v>23</v>
      </c>
      <c r="B45" s="47">
        <v>176</v>
      </c>
    </row>
    <row r="46" spans="1:10" x14ac:dyDescent="0.25">
      <c r="A46" s="47">
        <v>23</v>
      </c>
      <c r="B46" s="47">
        <v>176</v>
      </c>
    </row>
    <row r="47" spans="1:10" x14ac:dyDescent="0.25">
      <c r="A47" s="47">
        <v>23</v>
      </c>
      <c r="B47" s="47">
        <v>178</v>
      </c>
    </row>
    <row r="48" spans="1:10" x14ac:dyDescent="0.25">
      <c r="A48" s="47">
        <v>23</v>
      </c>
      <c r="B48" s="47">
        <v>185</v>
      </c>
    </row>
    <row r="49" spans="1:2" x14ac:dyDescent="0.25">
      <c r="A49" s="47">
        <v>23</v>
      </c>
      <c r="B49" s="47">
        <v>189</v>
      </c>
    </row>
    <row r="50" spans="1:2" x14ac:dyDescent="0.25">
      <c r="A50" s="47">
        <v>23</v>
      </c>
      <c r="B50" s="47">
        <v>193</v>
      </c>
    </row>
    <row r="51" spans="1:2" x14ac:dyDescent="0.25">
      <c r="A51" s="47">
        <v>24</v>
      </c>
      <c r="B51" s="47">
        <v>160</v>
      </c>
    </row>
    <row r="52" spans="1:2" x14ac:dyDescent="0.25">
      <c r="A52" s="47">
        <v>24</v>
      </c>
      <c r="B52" s="47">
        <v>170</v>
      </c>
    </row>
    <row r="53" spans="1:2" x14ac:dyDescent="0.25">
      <c r="A53" s="47">
        <v>24</v>
      </c>
      <c r="B53" s="47">
        <v>171</v>
      </c>
    </row>
    <row r="54" spans="1:2" x14ac:dyDescent="0.25">
      <c r="A54" s="47">
        <v>24</v>
      </c>
      <c r="B54" s="47">
        <v>182</v>
      </c>
    </row>
    <row r="55" spans="1:2" x14ac:dyDescent="0.25">
      <c r="A55" s="47">
        <v>24</v>
      </c>
      <c r="B55" s="47">
        <v>182</v>
      </c>
    </row>
    <row r="56" spans="1:2" x14ac:dyDescent="0.25">
      <c r="A56" s="47">
        <v>24</v>
      </c>
      <c r="B56" s="47">
        <v>183</v>
      </c>
    </row>
    <row r="57" spans="1:2" x14ac:dyDescent="0.25">
      <c r="A57" s="2">
        <v>25</v>
      </c>
      <c r="B57" s="2">
        <v>170</v>
      </c>
    </row>
    <row r="58" spans="1:2" x14ac:dyDescent="0.25">
      <c r="A58" s="2">
        <v>25</v>
      </c>
      <c r="B58" s="2">
        <v>172</v>
      </c>
    </row>
    <row r="59" spans="1:2" x14ac:dyDescent="0.25">
      <c r="A59" s="2">
        <v>25</v>
      </c>
      <c r="B59" s="2">
        <v>176</v>
      </c>
    </row>
    <row r="60" spans="1:2" x14ac:dyDescent="0.25">
      <c r="A60" s="2">
        <v>25</v>
      </c>
      <c r="B60" s="2">
        <v>176</v>
      </c>
    </row>
    <row r="61" spans="1:2" x14ac:dyDescent="0.25">
      <c r="A61" s="2">
        <v>25</v>
      </c>
      <c r="B61" s="2">
        <v>178</v>
      </c>
    </row>
    <row r="62" spans="1:2" x14ac:dyDescent="0.25">
      <c r="A62" s="2">
        <v>25</v>
      </c>
      <c r="B62" s="2">
        <v>180</v>
      </c>
    </row>
    <row r="63" spans="1:2" x14ac:dyDescent="0.25">
      <c r="A63" s="2">
        <v>25</v>
      </c>
      <c r="B63" s="2">
        <v>183</v>
      </c>
    </row>
    <row r="64" spans="1:2" x14ac:dyDescent="0.25">
      <c r="A64" s="2">
        <v>25</v>
      </c>
      <c r="B64" s="2">
        <v>187</v>
      </c>
    </row>
    <row r="65" spans="1:2" x14ac:dyDescent="0.25">
      <c r="A65" s="2">
        <v>26</v>
      </c>
      <c r="B65" s="2">
        <v>164</v>
      </c>
    </row>
    <row r="66" spans="1:2" x14ac:dyDescent="0.25">
      <c r="A66" s="2">
        <v>26</v>
      </c>
      <c r="B66" s="2">
        <v>175</v>
      </c>
    </row>
    <row r="67" spans="1:2" x14ac:dyDescent="0.25">
      <c r="A67" s="2">
        <v>26</v>
      </c>
      <c r="B67" s="2">
        <v>182</v>
      </c>
    </row>
    <row r="68" spans="1:2" x14ac:dyDescent="0.25">
      <c r="A68" s="2">
        <v>26</v>
      </c>
      <c r="B68" s="2">
        <v>184</v>
      </c>
    </row>
    <row r="69" spans="1:2" x14ac:dyDescent="0.25">
      <c r="A69" s="2">
        <v>26</v>
      </c>
      <c r="B69" s="2">
        <v>185</v>
      </c>
    </row>
    <row r="70" spans="1:2" x14ac:dyDescent="0.25">
      <c r="A70" s="2">
        <v>26</v>
      </c>
      <c r="B70" s="2">
        <v>185</v>
      </c>
    </row>
    <row r="71" spans="1:2" x14ac:dyDescent="0.25">
      <c r="A71" s="2">
        <v>27</v>
      </c>
      <c r="B71" s="2">
        <v>193</v>
      </c>
    </row>
    <row r="72" spans="1:2" x14ac:dyDescent="0.25">
      <c r="A72" s="2">
        <v>28</v>
      </c>
      <c r="B72" s="2">
        <v>169</v>
      </c>
    </row>
    <row r="73" spans="1:2" x14ac:dyDescent="0.25">
      <c r="A73" s="2">
        <v>28</v>
      </c>
      <c r="B73" s="2">
        <v>190</v>
      </c>
    </row>
  </sheetData>
  <pageMargins left="0" right="0" top="0" bottom="0" header="0" footer="0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L24"/>
  <sheetViews>
    <sheetView workbookViewId="0">
      <selection activeCell="I22" sqref="I22"/>
    </sheetView>
  </sheetViews>
  <sheetFormatPr baseColWidth="10" defaultRowHeight="15" x14ac:dyDescent="0.25"/>
  <sheetData>
    <row r="3" spans="1:142" s="8" customFormat="1" ht="18" x14ac:dyDescent="0.35">
      <c r="A3" s="38" t="s">
        <v>22</v>
      </c>
      <c r="B3" s="39" t="s">
        <v>14</v>
      </c>
      <c r="C3" s="40" t="s">
        <v>16</v>
      </c>
      <c r="D3" s="40" t="s">
        <v>16</v>
      </c>
      <c r="E3" s="40" t="s">
        <v>16</v>
      </c>
      <c r="F3" s="40" t="s">
        <v>16</v>
      </c>
      <c r="G3" s="40" t="s">
        <v>16</v>
      </c>
      <c r="H3" s="40" t="s">
        <v>18</v>
      </c>
      <c r="I3" s="40" t="s">
        <v>16</v>
      </c>
      <c r="J3" s="40" t="s">
        <v>16</v>
      </c>
      <c r="K3" s="40" t="s">
        <v>16</v>
      </c>
      <c r="L3" s="40" t="s">
        <v>16</v>
      </c>
      <c r="M3" s="40" t="s">
        <v>16</v>
      </c>
      <c r="N3" s="40" t="s">
        <v>18</v>
      </c>
      <c r="O3" s="40" t="s">
        <v>16</v>
      </c>
      <c r="P3" s="40" t="s">
        <v>16</v>
      </c>
      <c r="Q3" s="40" t="s">
        <v>16</v>
      </c>
      <c r="R3" s="40" t="s">
        <v>16</v>
      </c>
      <c r="S3" s="40" t="s">
        <v>16</v>
      </c>
      <c r="T3" s="40" t="s">
        <v>16</v>
      </c>
      <c r="U3" s="40" t="s">
        <v>16</v>
      </c>
      <c r="V3" s="40" t="s">
        <v>16</v>
      </c>
      <c r="W3" s="40" t="s">
        <v>16</v>
      </c>
      <c r="X3" s="41" t="s">
        <v>16</v>
      </c>
      <c r="Y3" s="40" t="s">
        <v>16</v>
      </c>
      <c r="Z3" s="40" t="s">
        <v>16</v>
      </c>
      <c r="AA3" s="40" t="s">
        <v>16</v>
      </c>
      <c r="AB3" s="40" t="s">
        <v>18</v>
      </c>
      <c r="AC3" s="40" t="s">
        <v>16</v>
      </c>
      <c r="AD3" s="40" t="s">
        <v>18</v>
      </c>
      <c r="AE3" s="40" t="s">
        <v>18</v>
      </c>
      <c r="AF3" s="40" t="s">
        <v>18</v>
      </c>
      <c r="AG3" s="40" t="s">
        <v>16</v>
      </c>
      <c r="AH3" s="41" t="s">
        <v>16</v>
      </c>
      <c r="AI3" s="40" t="s">
        <v>16</v>
      </c>
      <c r="AJ3" s="40" t="s">
        <v>18</v>
      </c>
      <c r="AK3" s="40" t="s">
        <v>16</v>
      </c>
      <c r="AL3" s="40" t="s">
        <v>16</v>
      </c>
      <c r="AM3" s="40" t="s">
        <v>16</v>
      </c>
      <c r="AN3" s="40" t="s">
        <v>16</v>
      </c>
      <c r="AO3" s="40" t="s">
        <v>18</v>
      </c>
      <c r="AP3" s="40" t="s">
        <v>16</v>
      </c>
      <c r="AQ3" s="40" t="s">
        <v>18</v>
      </c>
      <c r="AR3" s="40" t="s">
        <v>18</v>
      </c>
      <c r="AS3" s="40" t="s">
        <v>16</v>
      </c>
      <c r="AT3" s="40" t="s">
        <v>18</v>
      </c>
      <c r="AU3" s="40" t="s">
        <v>16</v>
      </c>
      <c r="AV3" s="40" t="s">
        <v>16</v>
      </c>
      <c r="AW3" s="40" t="s">
        <v>16</v>
      </c>
      <c r="AX3" s="40" t="s">
        <v>16</v>
      </c>
      <c r="AY3" s="40" t="s">
        <v>16</v>
      </c>
      <c r="AZ3" s="40" t="s">
        <v>16</v>
      </c>
      <c r="BA3" s="40" t="s">
        <v>16</v>
      </c>
      <c r="BB3" s="40" t="s">
        <v>18</v>
      </c>
      <c r="BC3" s="40" t="s">
        <v>16</v>
      </c>
      <c r="BD3" s="40" t="s">
        <v>18</v>
      </c>
      <c r="BE3" s="40" t="s">
        <v>16</v>
      </c>
      <c r="BF3" s="40" t="s">
        <v>16</v>
      </c>
      <c r="BG3" s="40" t="s">
        <v>16</v>
      </c>
      <c r="BH3" s="40" t="s">
        <v>18</v>
      </c>
      <c r="BI3" s="40" t="s">
        <v>16</v>
      </c>
      <c r="BJ3" s="40" t="s">
        <v>16</v>
      </c>
      <c r="BK3" s="40" t="s">
        <v>18</v>
      </c>
      <c r="BL3" s="40" t="s">
        <v>16</v>
      </c>
      <c r="BM3" s="40" t="s">
        <v>18</v>
      </c>
      <c r="BN3" s="40" t="s">
        <v>16</v>
      </c>
      <c r="BO3" s="40" t="s">
        <v>16</v>
      </c>
      <c r="BP3" s="40" t="s">
        <v>16</v>
      </c>
      <c r="BQ3" s="40" t="s">
        <v>18</v>
      </c>
      <c r="BR3" s="40" t="s">
        <v>16</v>
      </c>
      <c r="BS3" s="40" t="s">
        <v>16</v>
      </c>
      <c r="BT3" s="40" t="s">
        <v>16</v>
      </c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1"/>
      <c r="CG3" s="40"/>
      <c r="CH3" s="41"/>
      <c r="CI3" s="40"/>
      <c r="CJ3" s="41"/>
      <c r="CK3" s="40"/>
      <c r="CL3" s="41"/>
      <c r="CM3" s="40"/>
      <c r="CN3" s="41"/>
      <c r="CO3" s="40"/>
      <c r="CP3" s="41"/>
      <c r="CQ3" s="40"/>
      <c r="CR3" s="41"/>
      <c r="CS3" s="40"/>
      <c r="CT3" s="41"/>
      <c r="CU3" s="40"/>
      <c r="CV3" s="41"/>
      <c r="CW3" s="40"/>
      <c r="CX3" s="41"/>
      <c r="CY3" s="40"/>
      <c r="CZ3" s="41"/>
      <c r="DA3" s="40"/>
      <c r="DB3" s="41"/>
      <c r="DC3" s="40"/>
      <c r="DD3" s="41"/>
      <c r="DE3" s="40"/>
      <c r="DF3" s="41"/>
      <c r="DG3" s="40"/>
      <c r="DH3" s="41"/>
      <c r="DI3" s="40"/>
      <c r="DJ3" s="41"/>
      <c r="DK3" s="40"/>
      <c r="DL3" s="41"/>
      <c r="DM3" s="40"/>
      <c r="DN3" s="41"/>
      <c r="DO3" s="40"/>
      <c r="DP3" s="41"/>
      <c r="DQ3" s="40"/>
      <c r="DR3" s="41"/>
      <c r="DS3" s="40"/>
      <c r="DT3" s="41"/>
      <c r="DU3" s="40"/>
      <c r="DV3" s="41"/>
      <c r="DW3" s="40"/>
      <c r="DX3" s="41"/>
      <c r="DY3" s="40"/>
      <c r="DZ3" s="41"/>
      <c r="EA3" s="40"/>
      <c r="EB3" s="41"/>
      <c r="EC3" s="40"/>
      <c r="ED3" s="41"/>
      <c r="EE3" s="40"/>
      <c r="EF3" s="41"/>
      <c r="EG3" s="40"/>
      <c r="EH3" s="41"/>
      <c r="EI3" s="40"/>
      <c r="EJ3" s="41"/>
      <c r="EK3" s="41"/>
      <c r="EL3" s="41"/>
    </row>
    <row r="4" spans="1:142" s="8" customFormat="1" ht="18" x14ac:dyDescent="0.35">
      <c r="A4" s="42" t="s">
        <v>12</v>
      </c>
      <c r="B4" s="43" t="s">
        <v>15</v>
      </c>
      <c r="C4" s="44" t="s">
        <v>17</v>
      </c>
      <c r="D4" s="44" t="s">
        <v>17</v>
      </c>
      <c r="E4" s="44" t="s">
        <v>17</v>
      </c>
      <c r="F4" s="44" t="s">
        <v>17</v>
      </c>
      <c r="G4" s="44" t="s">
        <v>17</v>
      </c>
      <c r="H4" s="44" t="s">
        <v>17</v>
      </c>
      <c r="I4" s="44" t="s">
        <v>19</v>
      </c>
      <c r="J4" s="44" t="s">
        <v>19</v>
      </c>
      <c r="K4" s="44" t="s">
        <v>19</v>
      </c>
      <c r="L4" s="44" t="s">
        <v>19</v>
      </c>
      <c r="M4" s="44" t="s">
        <v>19</v>
      </c>
      <c r="N4" s="44" t="s">
        <v>17</v>
      </c>
      <c r="O4" s="44" t="s">
        <v>17</v>
      </c>
      <c r="P4" s="44" t="s">
        <v>19</v>
      </c>
      <c r="Q4" s="44" t="s">
        <v>19</v>
      </c>
      <c r="R4" s="44" t="s">
        <v>17</v>
      </c>
      <c r="S4" s="44" t="s">
        <v>17</v>
      </c>
      <c r="T4" s="44" t="s">
        <v>17</v>
      </c>
      <c r="U4" s="44" t="s">
        <v>19</v>
      </c>
      <c r="V4" s="44" t="s">
        <v>17</v>
      </c>
      <c r="W4" s="44" t="s">
        <v>17</v>
      </c>
      <c r="X4" s="45" t="s">
        <v>17</v>
      </c>
      <c r="Y4" s="44" t="s">
        <v>17</v>
      </c>
      <c r="Z4" s="44" t="s">
        <v>17</v>
      </c>
      <c r="AA4" s="44" t="s">
        <v>17</v>
      </c>
      <c r="AB4" s="44" t="s">
        <v>17</v>
      </c>
      <c r="AC4" s="44" t="s">
        <v>17</v>
      </c>
      <c r="AD4" s="44" t="s">
        <v>19</v>
      </c>
      <c r="AE4" s="44" t="s">
        <v>17</v>
      </c>
      <c r="AF4" s="44" t="s">
        <v>17</v>
      </c>
      <c r="AG4" s="44" t="s">
        <v>17</v>
      </c>
      <c r="AH4" s="45" t="s">
        <v>17</v>
      </c>
      <c r="AI4" s="44" t="s">
        <v>17</v>
      </c>
      <c r="AJ4" s="44" t="s">
        <v>19</v>
      </c>
      <c r="AK4" s="44" t="s">
        <v>19</v>
      </c>
      <c r="AL4" s="44" t="s">
        <v>19</v>
      </c>
      <c r="AM4" s="44" t="s">
        <v>19</v>
      </c>
      <c r="AN4" s="44" t="s">
        <v>19</v>
      </c>
      <c r="AO4" s="44" t="s">
        <v>17</v>
      </c>
      <c r="AP4" s="44" t="s">
        <v>17</v>
      </c>
      <c r="AQ4" s="44" t="s">
        <v>17</v>
      </c>
      <c r="AR4" s="44" t="s">
        <v>17</v>
      </c>
      <c r="AS4" s="44" t="s">
        <v>17</v>
      </c>
      <c r="AT4" s="44" t="s">
        <v>17</v>
      </c>
      <c r="AU4" s="44" t="s">
        <v>17</v>
      </c>
      <c r="AV4" s="44" t="s">
        <v>17</v>
      </c>
      <c r="AW4" s="44" t="s">
        <v>17</v>
      </c>
      <c r="AX4" s="44" t="s">
        <v>17</v>
      </c>
      <c r="AY4" s="44" t="s">
        <v>19</v>
      </c>
      <c r="AZ4" s="44" t="s">
        <v>17</v>
      </c>
      <c r="BA4" s="44" t="s">
        <v>19</v>
      </c>
      <c r="BB4" s="44" t="s">
        <v>17</v>
      </c>
      <c r="BC4" s="44" t="s">
        <v>17</v>
      </c>
      <c r="BD4" s="44" t="s">
        <v>19</v>
      </c>
      <c r="BE4" s="44" t="s">
        <v>19</v>
      </c>
      <c r="BF4" s="44" t="s">
        <v>17</v>
      </c>
      <c r="BG4" s="44" t="s">
        <v>17</v>
      </c>
      <c r="BH4" s="44" t="s">
        <v>17</v>
      </c>
      <c r="BI4" s="44" t="s">
        <v>17</v>
      </c>
      <c r="BJ4" s="44" t="s">
        <v>17</v>
      </c>
      <c r="BK4" s="44" t="s">
        <v>19</v>
      </c>
      <c r="BL4" s="44" t="s">
        <v>17</v>
      </c>
      <c r="BM4" s="44" t="s">
        <v>17</v>
      </c>
      <c r="BN4" s="44" t="s">
        <v>17</v>
      </c>
      <c r="BO4" s="44" t="s">
        <v>17</v>
      </c>
      <c r="BP4" s="44" t="s">
        <v>19</v>
      </c>
      <c r="BQ4" s="44" t="s">
        <v>19</v>
      </c>
      <c r="BR4" s="44" t="s">
        <v>17</v>
      </c>
      <c r="BS4" s="44" t="s">
        <v>19</v>
      </c>
      <c r="BT4" s="44" t="s">
        <v>19</v>
      </c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5"/>
      <c r="CG4" s="44"/>
      <c r="CH4" s="45"/>
      <c r="CI4" s="44"/>
      <c r="CJ4" s="45"/>
      <c r="CK4" s="44"/>
      <c r="CL4" s="45"/>
      <c r="CM4" s="44"/>
      <c r="CN4" s="45"/>
      <c r="CO4" s="44"/>
      <c r="CP4" s="45"/>
      <c r="CQ4" s="44"/>
      <c r="CR4" s="45"/>
      <c r="CS4" s="44"/>
      <c r="CT4" s="45"/>
      <c r="CU4" s="44"/>
      <c r="CV4" s="45"/>
      <c r="CW4" s="44"/>
      <c r="CX4" s="45"/>
      <c r="CY4" s="44"/>
      <c r="CZ4" s="45"/>
      <c r="DA4" s="44"/>
      <c r="DB4" s="45"/>
      <c r="DC4" s="44"/>
      <c r="DD4" s="45"/>
      <c r="DE4" s="44"/>
      <c r="DF4" s="45"/>
      <c r="DG4" s="44"/>
      <c r="DH4" s="45"/>
      <c r="DI4" s="44"/>
      <c r="DJ4" s="45"/>
      <c r="DK4" s="44"/>
      <c r="DL4" s="45"/>
      <c r="DM4" s="44"/>
      <c r="DN4" s="45"/>
      <c r="DO4" s="44"/>
      <c r="DP4" s="45"/>
      <c r="DQ4" s="44"/>
      <c r="DR4" s="45"/>
      <c r="DS4" s="44"/>
      <c r="DT4" s="45"/>
      <c r="DU4" s="44"/>
      <c r="DV4" s="45"/>
      <c r="DW4" s="44"/>
      <c r="DX4" s="45"/>
      <c r="DY4" s="44"/>
      <c r="DZ4" s="45"/>
      <c r="EA4" s="44"/>
      <c r="EB4" s="45"/>
      <c r="EC4" s="44"/>
      <c r="ED4" s="45"/>
      <c r="EE4" s="44"/>
      <c r="EF4" s="45"/>
      <c r="EG4" s="44"/>
      <c r="EH4" s="45"/>
      <c r="EI4" s="44"/>
      <c r="EJ4" s="45"/>
      <c r="EK4" s="45"/>
      <c r="EL4" s="45"/>
    </row>
    <row r="6" spans="1:142" x14ac:dyDescent="0.25">
      <c r="C6" t="b">
        <f>IF(C3="n",TRUE,FALSE)</f>
        <v>1</v>
      </c>
      <c r="D6" t="b">
        <f t="shared" ref="D6:BO6" si="0">IF(D3="n",TRUE,FALSE)</f>
        <v>1</v>
      </c>
      <c r="E6" t="b">
        <f t="shared" si="0"/>
        <v>1</v>
      </c>
      <c r="F6" t="b">
        <f t="shared" si="0"/>
        <v>1</v>
      </c>
      <c r="G6" t="b">
        <f t="shared" si="0"/>
        <v>1</v>
      </c>
      <c r="H6" t="b">
        <f t="shared" si="0"/>
        <v>0</v>
      </c>
      <c r="I6" t="b">
        <f t="shared" si="0"/>
        <v>1</v>
      </c>
      <c r="J6" t="b">
        <f t="shared" si="0"/>
        <v>1</v>
      </c>
      <c r="K6" t="b">
        <f t="shared" si="0"/>
        <v>1</v>
      </c>
      <c r="L6" t="b">
        <f t="shared" si="0"/>
        <v>1</v>
      </c>
      <c r="M6" t="b">
        <f t="shared" si="0"/>
        <v>1</v>
      </c>
      <c r="N6" t="b">
        <f t="shared" si="0"/>
        <v>0</v>
      </c>
      <c r="O6" t="b">
        <f t="shared" si="0"/>
        <v>1</v>
      </c>
      <c r="P6" t="b">
        <f t="shared" si="0"/>
        <v>1</v>
      </c>
      <c r="Q6" t="b">
        <f t="shared" si="0"/>
        <v>1</v>
      </c>
      <c r="R6" t="b">
        <f t="shared" si="0"/>
        <v>1</v>
      </c>
      <c r="S6" t="b">
        <f t="shared" si="0"/>
        <v>1</v>
      </c>
      <c r="T6" t="b">
        <f t="shared" si="0"/>
        <v>1</v>
      </c>
      <c r="U6" t="b">
        <f t="shared" si="0"/>
        <v>1</v>
      </c>
      <c r="V6" t="b">
        <f t="shared" si="0"/>
        <v>1</v>
      </c>
      <c r="W6" t="b">
        <f t="shared" si="0"/>
        <v>1</v>
      </c>
      <c r="X6" t="b">
        <f t="shared" si="0"/>
        <v>1</v>
      </c>
      <c r="Y6" t="b">
        <f t="shared" si="0"/>
        <v>1</v>
      </c>
      <c r="Z6" t="b">
        <f t="shared" si="0"/>
        <v>1</v>
      </c>
      <c r="AA6" t="b">
        <f t="shared" si="0"/>
        <v>1</v>
      </c>
      <c r="AB6" t="b">
        <f t="shared" si="0"/>
        <v>0</v>
      </c>
      <c r="AC6" t="b">
        <f t="shared" si="0"/>
        <v>1</v>
      </c>
      <c r="AD6" t="b">
        <f t="shared" si="0"/>
        <v>0</v>
      </c>
      <c r="AE6" t="b">
        <f t="shared" si="0"/>
        <v>0</v>
      </c>
      <c r="AF6" t="b">
        <f t="shared" si="0"/>
        <v>0</v>
      </c>
      <c r="AG6" t="b">
        <f t="shared" si="0"/>
        <v>1</v>
      </c>
      <c r="AH6" t="b">
        <f t="shared" si="0"/>
        <v>1</v>
      </c>
      <c r="AI6" t="b">
        <f t="shared" si="0"/>
        <v>1</v>
      </c>
      <c r="AJ6" t="b">
        <f t="shared" si="0"/>
        <v>0</v>
      </c>
      <c r="AK6" t="b">
        <f t="shared" si="0"/>
        <v>1</v>
      </c>
      <c r="AL6" t="b">
        <f t="shared" si="0"/>
        <v>1</v>
      </c>
      <c r="AM6" t="b">
        <f t="shared" si="0"/>
        <v>1</v>
      </c>
      <c r="AN6" t="b">
        <f t="shared" si="0"/>
        <v>1</v>
      </c>
      <c r="AO6" t="b">
        <f t="shared" si="0"/>
        <v>0</v>
      </c>
      <c r="AP6" t="b">
        <f t="shared" si="0"/>
        <v>1</v>
      </c>
      <c r="AQ6" t="b">
        <f t="shared" si="0"/>
        <v>0</v>
      </c>
      <c r="AR6" t="b">
        <f t="shared" si="0"/>
        <v>0</v>
      </c>
      <c r="AS6" t="b">
        <f t="shared" si="0"/>
        <v>1</v>
      </c>
      <c r="AT6" t="b">
        <f t="shared" si="0"/>
        <v>0</v>
      </c>
      <c r="AU6" t="b">
        <f t="shared" si="0"/>
        <v>1</v>
      </c>
      <c r="AV6" t="b">
        <f t="shared" si="0"/>
        <v>1</v>
      </c>
      <c r="AW6" t="b">
        <f t="shared" si="0"/>
        <v>1</v>
      </c>
      <c r="AX6" t="b">
        <f t="shared" si="0"/>
        <v>1</v>
      </c>
      <c r="AY6" t="b">
        <f t="shared" si="0"/>
        <v>1</v>
      </c>
      <c r="AZ6" t="b">
        <f t="shared" si="0"/>
        <v>1</v>
      </c>
      <c r="BA6" t="b">
        <f t="shared" si="0"/>
        <v>1</v>
      </c>
      <c r="BB6" t="b">
        <f t="shared" si="0"/>
        <v>0</v>
      </c>
      <c r="BC6" t="b">
        <f t="shared" si="0"/>
        <v>1</v>
      </c>
      <c r="BD6" t="b">
        <f t="shared" si="0"/>
        <v>0</v>
      </c>
      <c r="BE6" t="b">
        <f t="shared" si="0"/>
        <v>1</v>
      </c>
      <c r="BF6" t="b">
        <f t="shared" si="0"/>
        <v>1</v>
      </c>
      <c r="BG6" t="b">
        <f t="shared" si="0"/>
        <v>1</v>
      </c>
      <c r="BH6" t="b">
        <f t="shared" si="0"/>
        <v>0</v>
      </c>
      <c r="BI6" t="b">
        <f t="shared" si="0"/>
        <v>1</v>
      </c>
      <c r="BJ6" t="b">
        <f t="shared" si="0"/>
        <v>1</v>
      </c>
      <c r="BK6" t="b">
        <f t="shared" si="0"/>
        <v>0</v>
      </c>
      <c r="BL6" t="b">
        <f t="shared" si="0"/>
        <v>1</v>
      </c>
      <c r="BM6" t="b">
        <f t="shared" si="0"/>
        <v>0</v>
      </c>
      <c r="BN6" t="b">
        <f t="shared" si="0"/>
        <v>1</v>
      </c>
      <c r="BO6" t="b">
        <f t="shared" si="0"/>
        <v>1</v>
      </c>
      <c r="BP6" t="b">
        <f t="shared" ref="BP6:BT6" si="1">IF(BP3="n",TRUE,FALSE)</f>
        <v>1</v>
      </c>
      <c r="BQ6" t="b">
        <f t="shared" si="1"/>
        <v>0</v>
      </c>
      <c r="BR6" t="b">
        <f t="shared" si="1"/>
        <v>1</v>
      </c>
      <c r="BS6" t="b">
        <f t="shared" si="1"/>
        <v>1</v>
      </c>
      <c r="BT6" t="b">
        <f t="shared" si="1"/>
        <v>1</v>
      </c>
    </row>
    <row r="7" spans="1:142" x14ac:dyDescent="0.25">
      <c r="C7" t="b">
        <f>IF(C4="m",TRUE,FALSE)</f>
        <v>1</v>
      </c>
      <c r="D7" t="b">
        <f t="shared" ref="D7:BO7" si="2">IF(D4="m",TRUE,FALSE)</f>
        <v>1</v>
      </c>
      <c r="E7" t="b">
        <f t="shared" si="2"/>
        <v>1</v>
      </c>
      <c r="F7" t="b">
        <f t="shared" si="2"/>
        <v>1</v>
      </c>
      <c r="G7" t="b">
        <f t="shared" si="2"/>
        <v>1</v>
      </c>
      <c r="H7" t="b">
        <f t="shared" si="2"/>
        <v>1</v>
      </c>
      <c r="I7" t="b">
        <f t="shared" si="2"/>
        <v>0</v>
      </c>
      <c r="J7" t="b">
        <f t="shared" si="2"/>
        <v>0</v>
      </c>
      <c r="K7" t="b">
        <f t="shared" si="2"/>
        <v>0</v>
      </c>
      <c r="L7" t="b">
        <f t="shared" si="2"/>
        <v>0</v>
      </c>
      <c r="M7" t="b">
        <f t="shared" si="2"/>
        <v>0</v>
      </c>
      <c r="N7" t="b">
        <f t="shared" si="2"/>
        <v>1</v>
      </c>
      <c r="O7" t="b">
        <f t="shared" si="2"/>
        <v>1</v>
      </c>
      <c r="P7" t="b">
        <f t="shared" si="2"/>
        <v>0</v>
      </c>
      <c r="Q7" t="b">
        <f t="shared" si="2"/>
        <v>0</v>
      </c>
      <c r="R7" t="b">
        <f t="shared" si="2"/>
        <v>1</v>
      </c>
      <c r="S7" t="b">
        <f t="shared" si="2"/>
        <v>1</v>
      </c>
      <c r="T7" t="b">
        <f t="shared" si="2"/>
        <v>1</v>
      </c>
      <c r="U7" t="b">
        <f t="shared" si="2"/>
        <v>0</v>
      </c>
      <c r="V7" t="b">
        <f t="shared" si="2"/>
        <v>1</v>
      </c>
      <c r="W7" t="b">
        <f t="shared" si="2"/>
        <v>1</v>
      </c>
      <c r="X7" t="b">
        <f t="shared" si="2"/>
        <v>1</v>
      </c>
      <c r="Y7" t="b">
        <f t="shared" si="2"/>
        <v>1</v>
      </c>
      <c r="Z7" t="b">
        <f t="shared" si="2"/>
        <v>1</v>
      </c>
      <c r="AA7" t="b">
        <f t="shared" si="2"/>
        <v>1</v>
      </c>
      <c r="AB7" t="b">
        <f t="shared" si="2"/>
        <v>1</v>
      </c>
      <c r="AC7" t="b">
        <f t="shared" si="2"/>
        <v>1</v>
      </c>
      <c r="AD7" t="b">
        <f t="shared" si="2"/>
        <v>0</v>
      </c>
      <c r="AE7" t="b">
        <f t="shared" si="2"/>
        <v>1</v>
      </c>
      <c r="AF7" t="b">
        <f t="shared" si="2"/>
        <v>1</v>
      </c>
      <c r="AG7" t="b">
        <f t="shared" si="2"/>
        <v>1</v>
      </c>
      <c r="AH7" t="b">
        <f t="shared" si="2"/>
        <v>1</v>
      </c>
      <c r="AI7" t="b">
        <f t="shared" si="2"/>
        <v>1</v>
      </c>
      <c r="AJ7" t="b">
        <f t="shared" si="2"/>
        <v>0</v>
      </c>
      <c r="AK7" t="b">
        <f t="shared" si="2"/>
        <v>0</v>
      </c>
      <c r="AL7" t="b">
        <f t="shared" si="2"/>
        <v>0</v>
      </c>
      <c r="AM7" t="b">
        <f t="shared" si="2"/>
        <v>0</v>
      </c>
      <c r="AN7" t="b">
        <f t="shared" si="2"/>
        <v>0</v>
      </c>
      <c r="AO7" t="b">
        <f t="shared" si="2"/>
        <v>1</v>
      </c>
      <c r="AP7" t="b">
        <f t="shared" si="2"/>
        <v>1</v>
      </c>
      <c r="AQ7" t="b">
        <f t="shared" si="2"/>
        <v>1</v>
      </c>
      <c r="AR7" t="b">
        <f t="shared" si="2"/>
        <v>1</v>
      </c>
      <c r="AS7" t="b">
        <f t="shared" si="2"/>
        <v>1</v>
      </c>
      <c r="AT7" t="b">
        <f t="shared" si="2"/>
        <v>1</v>
      </c>
      <c r="AU7" t="b">
        <f t="shared" si="2"/>
        <v>1</v>
      </c>
      <c r="AV7" t="b">
        <f t="shared" si="2"/>
        <v>1</v>
      </c>
      <c r="AW7" t="b">
        <f t="shared" si="2"/>
        <v>1</v>
      </c>
      <c r="AX7" t="b">
        <f t="shared" si="2"/>
        <v>1</v>
      </c>
      <c r="AY7" t="b">
        <f t="shared" si="2"/>
        <v>0</v>
      </c>
      <c r="AZ7" t="b">
        <f t="shared" si="2"/>
        <v>1</v>
      </c>
      <c r="BA7" t="b">
        <f t="shared" si="2"/>
        <v>0</v>
      </c>
      <c r="BB7" t="b">
        <f t="shared" si="2"/>
        <v>1</v>
      </c>
      <c r="BC7" t="b">
        <f t="shared" si="2"/>
        <v>1</v>
      </c>
      <c r="BD7" t="b">
        <f t="shared" si="2"/>
        <v>0</v>
      </c>
      <c r="BE7" t="b">
        <f t="shared" si="2"/>
        <v>0</v>
      </c>
      <c r="BF7" t="b">
        <f t="shared" si="2"/>
        <v>1</v>
      </c>
      <c r="BG7" t="b">
        <f t="shared" si="2"/>
        <v>1</v>
      </c>
      <c r="BH7" t="b">
        <f t="shared" si="2"/>
        <v>1</v>
      </c>
      <c r="BI7" t="b">
        <f t="shared" si="2"/>
        <v>1</v>
      </c>
      <c r="BJ7" t="b">
        <f t="shared" si="2"/>
        <v>1</v>
      </c>
      <c r="BK7" t="b">
        <f t="shared" si="2"/>
        <v>0</v>
      </c>
      <c r="BL7" t="b">
        <f t="shared" si="2"/>
        <v>1</v>
      </c>
      <c r="BM7" t="b">
        <f t="shared" si="2"/>
        <v>1</v>
      </c>
      <c r="BN7" t="b">
        <f t="shared" si="2"/>
        <v>1</v>
      </c>
      <c r="BO7" t="b">
        <f t="shared" si="2"/>
        <v>1</v>
      </c>
      <c r="BP7" t="b">
        <f t="shared" ref="BP7:BT7" si="3">IF(BP4="m",TRUE,FALSE)</f>
        <v>0</v>
      </c>
      <c r="BQ7" t="b">
        <f t="shared" si="3"/>
        <v>0</v>
      </c>
      <c r="BR7" t="b">
        <f t="shared" si="3"/>
        <v>1</v>
      </c>
      <c r="BS7" t="b">
        <f t="shared" si="3"/>
        <v>0</v>
      </c>
      <c r="BT7" t="b">
        <f t="shared" si="3"/>
        <v>0</v>
      </c>
    </row>
    <row r="9" spans="1:142" x14ac:dyDescent="0.25">
      <c r="B9">
        <f>SUM(C9:BT9)</f>
        <v>35</v>
      </c>
      <c r="C9">
        <f>IF(AND(C6,C7),1,0)</f>
        <v>1</v>
      </c>
      <c r="D9">
        <f t="shared" ref="D9:BO9" si="4">IF(AND(D6,D7),1,0)</f>
        <v>1</v>
      </c>
      <c r="E9">
        <f t="shared" si="4"/>
        <v>1</v>
      </c>
      <c r="F9">
        <f t="shared" si="4"/>
        <v>1</v>
      </c>
      <c r="G9">
        <f t="shared" si="4"/>
        <v>1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1</v>
      </c>
      <c r="P9">
        <f t="shared" si="4"/>
        <v>0</v>
      </c>
      <c r="Q9">
        <f t="shared" si="4"/>
        <v>0</v>
      </c>
      <c r="R9">
        <f t="shared" si="4"/>
        <v>1</v>
      </c>
      <c r="S9">
        <f t="shared" si="4"/>
        <v>1</v>
      </c>
      <c r="T9">
        <f t="shared" si="4"/>
        <v>1</v>
      </c>
      <c r="U9">
        <f t="shared" si="4"/>
        <v>0</v>
      </c>
      <c r="V9">
        <f t="shared" si="4"/>
        <v>1</v>
      </c>
      <c r="W9">
        <f t="shared" si="4"/>
        <v>1</v>
      </c>
      <c r="X9">
        <f t="shared" si="4"/>
        <v>1</v>
      </c>
      <c r="Y9">
        <f t="shared" si="4"/>
        <v>1</v>
      </c>
      <c r="Z9">
        <f t="shared" si="4"/>
        <v>1</v>
      </c>
      <c r="AA9">
        <f t="shared" si="4"/>
        <v>1</v>
      </c>
      <c r="AB9">
        <f t="shared" si="4"/>
        <v>0</v>
      </c>
      <c r="AC9">
        <f t="shared" si="4"/>
        <v>1</v>
      </c>
      <c r="AD9">
        <f t="shared" si="4"/>
        <v>0</v>
      </c>
      <c r="AE9">
        <f t="shared" si="4"/>
        <v>0</v>
      </c>
      <c r="AF9">
        <f t="shared" si="4"/>
        <v>0</v>
      </c>
      <c r="AG9">
        <f t="shared" si="4"/>
        <v>1</v>
      </c>
      <c r="AH9">
        <f t="shared" si="4"/>
        <v>1</v>
      </c>
      <c r="AI9">
        <f t="shared" si="4"/>
        <v>1</v>
      </c>
      <c r="AJ9">
        <f t="shared" si="4"/>
        <v>0</v>
      </c>
      <c r="AK9">
        <f t="shared" si="4"/>
        <v>0</v>
      </c>
      <c r="AL9">
        <f t="shared" si="4"/>
        <v>0</v>
      </c>
      <c r="AM9">
        <f t="shared" si="4"/>
        <v>0</v>
      </c>
      <c r="AN9">
        <f t="shared" si="4"/>
        <v>0</v>
      </c>
      <c r="AO9">
        <f t="shared" si="4"/>
        <v>0</v>
      </c>
      <c r="AP9">
        <f t="shared" si="4"/>
        <v>1</v>
      </c>
      <c r="AQ9">
        <f t="shared" si="4"/>
        <v>0</v>
      </c>
      <c r="AR9">
        <f t="shared" si="4"/>
        <v>0</v>
      </c>
      <c r="AS9">
        <f t="shared" si="4"/>
        <v>1</v>
      </c>
      <c r="AT9">
        <f t="shared" si="4"/>
        <v>0</v>
      </c>
      <c r="AU9">
        <f t="shared" si="4"/>
        <v>1</v>
      </c>
      <c r="AV9">
        <f t="shared" si="4"/>
        <v>1</v>
      </c>
      <c r="AW9">
        <f t="shared" si="4"/>
        <v>1</v>
      </c>
      <c r="AX9">
        <f t="shared" si="4"/>
        <v>1</v>
      </c>
      <c r="AY9">
        <f t="shared" si="4"/>
        <v>0</v>
      </c>
      <c r="AZ9">
        <f t="shared" si="4"/>
        <v>1</v>
      </c>
      <c r="BA9">
        <f t="shared" si="4"/>
        <v>0</v>
      </c>
      <c r="BB9">
        <f t="shared" si="4"/>
        <v>0</v>
      </c>
      <c r="BC9">
        <f t="shared" si="4"/>
        <v>1</v>
      </c>
      <c r="BD9">
        <f t="shared" si="4"/>
        <v>0</v>
      </c>
      <c r="BE9">
        <f t="shared" si="4"/>
        <v>0</v>
      </c>
      <c r="BF9">
        <f t="shared" si="4"/>
        <v>1</v>
      </c>
      <c r="BG9">
        <f t="shared" si="4"/>
        <v>1</v>
      </c>
      <c r="BH9">
        <f t="shared" si="4"/>
        <v>0</v>
      </c>
      <c r="BI9">
        <f t="shared" si="4"/>
        <v>1</v>
      </c>
      <c r="BJ9">
        <f t="shared" si="4"/>
        <v>1</v>
      </c>
      <c r="BK9">
        <f t="shared" si="4"/>
        <v>0</v>
      </c>
      <c r="BL9">
        <f t="shared" si="4"/>
        <v>1</v>
      </c>
      <c r="BM9">
        <f t="shared" si="4"/>
        <v>0</v>
      </c>
      <c r="BN9">
        <f t="shared" si="4"/>
        <v>1</v>
      </c>
      <c r="BO9">
        <f t="shared" si="4"/>
        <v>1</v>
      </c>
      <c r="BP9">
        <f t="shared" ref="BP9:BT9" si="5">IF(AND(BP6,BP7),1,0)</f>
        <v>0</v>
      </c>
      <c r="BQ9">
        <f t="shared" si="5"/>
        <v>0</v>
      </c>
      <c r="BR9">
        <f t="shared" si="5"/>
        <v>1</v>
      </c>
      <c r="BS9">
        <f t="shared" si="5"/>
        <v>0</v>
      </c>
      <c r="BT9">
        <f t="shared" si="5"/>
        <v>0</v>
      </c>
    </row>
    <row r="10" spans="1:142" x14ac:dyDescent="0.25">
      <c r="B10">
        <f t="shared" ref="B10:B12" si="6">SUM(C10:BT10)</f>
        <v>12</v>
      </c>
      <c r="C10">
        <f>IF(AND(NOT(C6),C7),1,0)</f>
        <v>0</v>
      </c>
      <c r="D10">
        <f t="shared" ref="D10:BO10" si="7">IF(AND(NOT(D6),D7),1,0)</f>
        <v>0</v>
      </c>
      <c r="E10">
        <f t="shared" si="7"/>
        <v>0</v>
      </c>
      <c r="F10">
        <f t="shared" si="7"/>
        <v>0</v>
      </c>
      <c r="G10">
        <f t="shared" si="7"/>
        <v>0</v>
      </c>
      <c r="H10">
        <f t="shared" si="7"/>
        <v>1</v>
      </c>
      <c r="I10">
        <f t="shared" si="7"/>
        <v>0</v>
      </c>
      <c r="J10">
        <f t="shared" si="7"/>
        <v>0</v>
      </c>
      <c r="K10">
        <f t="shared" si="7"/>
        <v>0</v>
      </c>
      <c r="L10">
        <f t="shared" si="7"/>
        <v>0</v>
      </c>
      <c r="M10">
        <f t="shared" si="7"/>
        <v>0</v>
      </c>
      <c r="N10">
        <f t="shared" si="7"/>
        <v>1</v>
      </c>
      <c r="O10">
        <f t="shared" si="7"/>
        <v>0</v>
      </c>
      <c r="P10">
        <f t="shared" si="7"/>
        <v>0</v>
      </c>
      <c r="Q10">
        <f t="shared" si="7"/>
        <v>0</v>
      </c>
      <c r="R10">
        <f t="shared" si="7"/>
        <v>0</v>
      </c>
      <c r="S10">
        <f t="shared" si="7"/>
        <v>0</v>
      </c>
      <c r="T10">
        <f t="shared" si="7"/>
        <v>0</v>
      </c>
      <c r="U10">
        <f t="shared" si="7"/>
        <v>0</v>
      </c>
      <c r="V10">
        <f t="shared" si="7"/>
        <v>0</v>
      </c>
      <c r="W10">
        <f t="shared" si="7"/>
        <v>0</v>
      </c>
      <c r="X10">
        <f t="shared" si="7"/>
        <v>0</v>
      </c>
      <c r="Y10">
        <f t="shared" si="7"/>
        <v>0</v>
      </c>
      <c r="Z10">
        <f t="shared" si="7"/>
        <v>0</v>
      </c>
      <c r="AA10">
        <f t="shared" si="7"/>
        <v>0</v>
      </c>
      <c r="AB10">
        <f t="shared" si="7"/>
        <v>1</v>
      </c>
      <c r="AC10">
        <f t="shared" si="7"/>
        <v>0</v>
      </c>
      <c r="AD10">
        <f t="shared" si="7"/>
        <v>0</v>
      </c>
      <c r="AE10">
        <f t="shared" si="7"/>
        <v>1</v>
      </c>
      <c r="AF10">
        <f t="shared" si="7"/>
        <v>1</v>
      </c>
      <c r="AG10">
        <f t="shared" si="7"/>
        <v>0</v>
      </c>
      <c r="AH10">
        <f t="shared" si="7"/>
        <v>0</v>
      </c>
      <c r="AI10">
        <f t="shared" si="7"/>
        <v>0</v>
      </c>
      <c r="AJ10">
        <f t="shared" si="7"/>
        <v>0</v>
      </c>
      <c r="AK10">
        <f t="shared" si="7"/>
        <v>0</v>
      </c>
      <c r="AL10">
        <f t="shared" si="7"/>
        <v>0</v>
      </c>
      <c r="AM10">
        <f t="shared" si="7"/>
        <v>0</v>
      </c>
      <c r="AN10">
        <f t="shared" si="7"/>
        <v>0</v>
      </c>
      <c r="AO10">
        <f t="shared" si="7"/>
        <v>1</v>
      </c>
      <c r="AP10">
        <f t="shared" si="7"/>
        <v>0</v>
      </c>
      <c r="AQ10">
        <f t="shared" si="7"/>
        <v>1</v>
      </c>
      <c r="AR10">
        <f t="shared" si="7"/>
        <v>1</v>
      </c>
      <c r="AS10">
        <f t="shared" si="7"/>
        <v>0</v>
      </c>
      <c r="AT10">
        <f t="shared" si="7"/>
        <v>1</v>
      </c>
      <c r="AU10">
        <f t="shared" si="7"/>
        <v>0</v>
      </c>
      <c r="AV10">
        <f t="shared" si="7"/>
        <v>0</v>
      </c>
      <c r="AW10">
        <f t="shared" si="7"/>
        <v>0</v>
      </c>
      <c r="AX10">
        <f t="shared" si="7"/>
        <v>0</v>
      </c>
      <c r="AY10">
        <f t="shared" si="7"/>
        <v>0</v>
      </c>
      <c r="AZ10">
        <f t="shared" si="7"/>
        <v>0</v>
      </c>
      <c r="BA10">
        <f t="shared" si="7"/>
        <v>0</v>
      </c>
      <c r="BB10">
        <f t="shared" si="7"/>
        <v>1</v>
      </c>
      <c r="BC10">
        <f t="shared" si="7"/>
        <v>0</v>
      </c>
      <c r="BD10">
        <f t="shared" si="7"/>
        <v>0</v>
      </c>
      <c r="BE10">
        <f t="shared" si="7"/>
        <v>0</v>
      </c>
      <c r="BF10">
        <f t="shared" si="7"/>
        <v>0</v>
      </c>
      <c r="BG10">
        <f t="shared" si="7"/>
        <v>0</v>
      </c>
      <c r="BH10">
        <f t="shared" si="7"/>
        <v>1</v>
      </c>
      <c r="BI10">
        <f t="shared" si="7"/>
        <v>0</v>
      </c>
      <c r="BJ10">
        <f t="shared" si="7"/>
        <v>0</v>
      </c>
      <c r="BK10">
        <f t="shared" si="7"/>
        <v>0</v>
      </c>
      <c r="BL10">
        <f t="shared" si="7"/>
        <v>0</v>
      </c>
      <c r="BM10">
        <f t="shared" si="7"/>
        <v>1</v>
      </c>
      <c r="BN10">
        <f t="shared" si="7"/>
        <v>0</v>
      </c>
      <c r="BO10">
        <f t="shared" si="7"/>
        <v>0</v>
      </c>
      <c r="BP10">
        <f t="shared" ref="BP10:BT10" si="8">IF(AND(NOT(BP6),BP7),1,0)</f>
        <v>0</v>
      </c>
      <c r="BQ10">
        <f t="shared" si="8"/>
        <v>0</v>
      </c>
      <c r="BR10">
        <f t="shared" si="8"/>
        <v>0</v>
      </c>
      <c r="BS10">
        <f t="shared" si="8"/>
        <v>0</v>
      </c>
      <c r="BT10">
        <f t="shared" si="8"/>
        <v>0</v>
      </c>
    </row>
    <row r="11" spans="1:142" x14ac:dyDescent="0.25">
      <c r="B11">
        <f t="shared" si="6"/>
        <v>18</v>
      </c>
      <c r="C11">
        <f>IF(AND(C6,NOT(C7)),1,0)</f>
        <v>0</v>
      </c>
      <c r="D11">
        <f t="shared" ref="D11:BO11" si="9">IF(AND(D6,NOT(D7)),1,0)</f>
        <v>0</v>
      </c>
      <c r="E11">
        <f t="shared" si="9"/>
        <v>0</v>
      </c>
      <c r="F11">
        <f t="shared" si="9"/>
        <v>0</v>
      </c>
      <c r="G11">
        <f t="shared" si="9"/>
        <v>0</v>
      </c>
      <c r="H11">
        <f t="shared" si="9"/>
        <v>0</v>
      </c>
      <c r="I11">
        <f t="shared" si="9"/>
        <v>1</v>
      </c>
      <c r="J11">
        <f t="shared" si="9"/>
        <v>1</v>
      </c>
      <c r="K11">
        <f t="shared" si="9"/>
        <v>1</v>
      </c>
      <c r="L11">
        <f t="shared" si="9"/>
        <v>1</v>
      </c>
      <c r="M11">
        <f t="shared" si="9"/>
        <v>1</v>
      </c>
      <c r="N11">
        <f t="shared" si="9"/>
        <v>0</v>
      </c>
      <c r="O11">
        <f t="shared" si="9"/>
        <v>0</v>
      </c>
      <c r="P11">
        <f t="shared" si="9"/>
        <v>1</v>
      </c>
      <c r="Q11">
        <f t="shared" si="9"/>
        <v>1</v>
      </c>
      <c r="R11">
        <f t="shared" si="9"/>
        <v>0</v>
      </c>
      <c r="S11">
        <f t="shared" si="9"/>
        <v>0</v>
      </c>
      <c r="T11">
        <f t="shared" si="9"/>
        <v>0</v>
      </c>
      <c r="U11">
        <f t="shared" si="9"/>
        <v>1</v>
      </c>
      <c r="V11">
        <f t="shared" si="9"/>
        <v>0</v>
      </c>
      <c r="W11">
        <f t="shared" si="9"/>
        <v>0</v>
      </c>
      <c r="X11">
        <f t="shared" si="9"/>
        <v>0</v>
      </c>
      <c r="Y11">
        <f t="shared" si="9"/>
        <v>0</v>
      </c>
      <c r="Z11">
        <f t="shared" si="9"/>
        <v>0</v>
      </c>
      <c r="AA11">
        <f t="shared" si="9"/>
        <v>0</v>
      </c>
      <c r="AB11">
        <f t="shared" si="9"/>
        <v>0</v>
      </c>
      <c r="AC11">
        <f t="shared" si="9"/>
        <v>0</v>
      </c>
      <c r="AD11">
        <f t="shared" si="9"/>
        <v>0</v>
      </c>
      <c r="AE11">
        <f t="shared" si="9"/>
        <v>0</v>
      </c>
      <c r="AF11">
        <f t="shared" si="9"/>
        <v>0</v>
      </c>
      <c r="AG11">
        <f t="shared" si="9"/>
        <v>0</v>
      </c>
      <c r="AH11">
        <f t="shared" si="9"/>
        <v>0</v>
      </c>
      <c r="AI11">
        <f t="shared" si="9"/>
        <v>0</v>
      </c>
      <c r="AJ11">
        <f t="shared" si="9"/>
        <v>0</v>
      </c>
      <c r="AK11">
        <f t="shared" si="9"/>
        <v>1</v>
      </c>
      <c r="AL11">
        <f t="shared" si="9"/>
        <v>1</v>
      </c>
      <c r="AM11">
        <f t="shared" si="9"/>
        <v>1</v>
      </c>
      <c r="AN11">
        <f t="shared" si="9"/>
        <v>1</v>
      </c>
      <c r="AO11">
        <f t="shared" si="9"/>
        <v>0</v>
      </c>
      <c r="AP11">
        <f t="shared" si="9"/>
        <v>0</v>
      </c>
      <c r="AQ11">
        <f t="shared" si="9"/>
        <v>0</v>
      </c>
      <c r="AR11">
        <f t="shared" si="9"/>
        <v>0</v>
      </c>
      <c r="AS11">
        <f t="shared" si="9"/>
        <v>0</v>
      </c>
      <c r="AT11">
        <f t="shared" si="9"/>
        <v>0</v>
      </c>
      <c r="AU11">
        <f t="shared" si="9"/>
        <v>0</v>
      </c>
      <c r="AV11">
        <f t="shared" si="9"/>
        <v>0</v>
      </c>
      <c r="AW11">
        <f t="shared" si="9"/>
        <v>0</v>
      </c>
      <c r="AX11">
        <f t="shared" si="9"/>
        <v>0</v>
      </c>
      <c r="AY11">
        <f t="shared" si="9"/>
        <v>1</v>
      </c>
      <c r="AZ11">
        <f t="shared" si="9"/>
        <v>0</v>
      </c>
      <c r="BA11">
        <f t="shared" si="9"/>
        <v>1</v>
      </c>
      <c r="BB11">
        <f t="shared" si="9"/>
        <v>0</v>
      </c>
      <c r="BC11">
        <f t="shared" si="9"/>
        <v>0</v>
      </c>
      <c r="BD11">
        <f t="shared" si="9"/>
        <v>0</v>
      </c>
      <c r="BE11">
        <f t="shared" si="9"/>
        <v>1</v>
      </c>
      <c r="BF11">
        <f t="shared" si="9"/>
        <v>0</v>
      </c>
      <c r="BG11">
        <f t="shared" si="9"/>
        <v>0</v>
      </c>
      <c r="BH11">
        <f t="shared" si="9"/>
        <v>0</v>
      </c>
      <c r="BI11">
        <f t="shared" si="9"/>
        <v>0</v>
      </c>
      <c r="BJ11">
        <f t="shared" si="9"/>
        <v>0</v>
      </c>
      <c r="BK11">
        <f t="shared" si="9"/>
        <v>0</v>
      </c>
      <c r="BL11">
        <f t="shared" si="9"/>
        <v>0</v>
      </c>
      <c r="BM11">
        <f t="shared" si="9"/>
        <v>0</v>
      </c>
      <c r="BN11">
        <f t="shared" si="9"/>
        <v>0</v>
      </c>
      <c r="BO11">
        <f t="shared" si="9"/>
        <v>0</v>
      </c>
      <c r="BP11">
        <f t="shared" ref="BP11:BT11" si="10">IF(AND(BP6,NOT(BP7)),1,0)</f>
        <v>1</v>
      </c>
      <c r="BQ11">
        <f t="shared" si="10"/>
        <v>0</v>
      </c>
      <c r="BR11">
        <f t="shared" si="10"/>
        <v>0</v>
      </c>
      <c r="BS11">
        <f t="shared" si="10"/>
        <v>1</v>
      </c>
      <c r="BT11">
        <f t="shared" si="10"/>
        <v>1</v>
      </c>
    </row>
    <row r="12" spans="1:142" x14ac:dyDescent="0.25">
      <c r="B12">
        <f t="shared" si="6"/>
        <v>5</v>
      </c>
      <c r="C12">
        <f>IF(AND(NOT(C6),NOT(C7)),1,0)</f>
        <v>0</v>
      </c>
      <c r="D12">
        <f t="shared" ref="D12:BO12" si="11">IF(AND(NOT(D6),NOT(D7)),1,0)</f>
        <v>0</v>
      </c>
      <c r="E12">
        <f t="shared" si="11"/>
        <v>0</v>
      </c>
      <c r="F12">
        <f t="shared" si="11"/>
        <v>0</v>
      </c>
      <c r="G12">
        <f t="shared" si="11"/>
        <v>0</v>
      </c>
      <c r="H12">
        <f t="shared" si="11"/>
        <v>0</v>
      </c>
      <c r="I12">
        <f t="shared" si="11"/>
        <v>0</v>
      </c>
      <c r="J12">
        <f t="shared" si="11"/>
        <v>0</v>
      </c>
      <c r="K12">
        <f t="shared" si="11"/>
        <v>0</v>
      </c>
      <c r="L12">
        <f t="shared" si="11"/>
        <v>0</v>
      </c>
      <c r="M12">
        <f t="shared" si="11"/>
        <v>0</v>
      </c>
      <c r="N12">
        <f t="shared" si="11"/>
        <v>0</v>
      </c>
      <c r="O12">
        <f t="shared" si="11"/>
        <v>0</v>
      </c>
      <c r="P12">
        <f t="shared" si="11"/>
        <v>0</v>
      </c>
      <c r="Q12">
        <f t="shared" si="11"/>
        <v>0</v>
      </c>
      <c r="R12">
        <f t="shared" si="11"/>
        <v>0</v>
      </c>
      <c r="S12">
        <f t="shared" si="11"/>
        <v>0</v>
      </c>
      <c r="T12">
        <f t="shared" si="11"/>
        <v>0</v>
      </c>
      <c r="U12">
        <f t="shared" si="11"/>
        <v>0</v>
      </c>
      <c r="V12">
        <f t="shared" si="11"/>
        <v>0</v>
      </c>
      <c r="W12">
        <f t="shared" si="11"/>
        <v>0</v>
      </c>
      <c r="X12">
        <f t="shared" si="11"/>
        <v>0</v>
      </c>
      <c r="Y12">
        <f t="shared" si="11"/>
        <v>0</v>
      </c>
      <c r="Z12">
        <f t="shared" si="11"/>
        <v>0</v>
      </c>
      <c r="AA12">
        <f t="shared" si="11"/>
        <v>0</v>
      </c>
      <c r="AB12">
        <f t="shared" si="11"/>
        <v>0</v>
      </c>
      <c r="AC12">
        <f t="shared" si="11"/>
        <v>0</v>
      </c>
      <c r="AD12">
        <f t="shared" si="11"/>
        <v>1</v>
      </c>
      <c r="AE12">
        <f t="shared" si="11"/>
        <v>0</v>
      </c>
      <c r="AF12">
        <f t="shared" si="11"/>
        <v>0</v>
      </c>
      <c r="AG12">
        <f t="shared" si="11"/>
        <v>0</v>
      </c>
      <c r="AH12">
        <f t="shared" si="11"/>
        <v>0</v>
      </c>
      <c r="AI12">
        <f t="shared" si="11"/>
        <v>0</v>
      </c>
      <c r="AJ12">
        <f t="shared" si="11"/>
        <v>1</v>
      </c>
      <c r="AK12">
        <f t="shared" si="11"/>
        <v>0</v>
      </c>
      <c r="AL12">
        <f t="shared" si="11"/>
        <v>0</v>
      </c>
      <c r="AM12">
        <f t="shared" si="11"/>
        <v>0</v>
      </c>
      <c r="AN12">
        <f t="shared" si="11"/>
        <v>0</v>
      </c>
      <c r="AO12">
        <f t="shared" si="11"/>
        <v>0</v>
      </c>
      <c r="AP12">
        <f t="shared" si="11"/>
        <v>0</v>
      </c>
      <c r="AQ12">
        <f t="shared" si="11"/>
        <v>0</v>
      </c>
      <c r="AR12">
        <f t="shared" si="11"/>
        <v>0</v>
      </c>
      <c r="AS12">
        <f t="shared" si="11"/>
        <v>0</v>
      </c>
      <c r="AT12">
        <f t="shared" si="11"/>
        <v>0</v>
      </c>
      <c r="AU12">
        <f t="shared" si="11"/>
        <v>0</v>
      </c>
      <c r="AV12">
        <f t="shared" si="11"/>
        <v>0</v>
      </c>
      <c r="AW12">
        <f t="shared" si="11"/>
        <v>0</v>
      </c>
      <c r="AX12">
        <f t="shared" si="11"/>
        <v>0</v>
      </c>
      <c r="AY12">
        <f t="shared" si="11"/>
        <v>0</v>
      </c>
      <c r="AZ12">
        <f t="shared" si="11"/>
        <v>0</v>
      </c>
      <c r="BA12">
        <f t="shared" si="11"/>
        <v>0</v>
      </c>
      <c r="BB12">
        <f t="shared" si="11"/>
        <v>0</v>
      </c>
      <c r="BC12">
        <f t="shared" si="11"/>
        <v>0</v>
      </c>
      <c r="BD12">
        <f t="shared" si="11"/>
        <v>1</v>
      </c>
      <c r="BE12">
        <f t="shared" si="11"/>
        <v>0</v>
      </c>
      <c r="BF12">
        <f t="shared" si="11"/>
        <v>0</v>
      </c>
      <c r="BG12">
        <f t="shared" si="11"/>
        <v>0</v>
      </c>
      <c r="BH12">
        <f t="shared" si="11"/>
        <v>0</v>
      </c>
      <c r="BI12">
        <f t="shared" si="11"/>
        <v>0</v>
      </c>
      <c r="BJ12">
        <f t="shared" si="11"/>
        <v>0</v>
      </c>
      <c r="BK12">
        <f t="shared" si="11"/>
        <v>1</v>
      </c>
      <c r="BL12">
        <f t="shared" si="11"/>
        <v>0</v>
      </c>
      <c r="BM12">
        <f t="shared" si="11"/>
        <v>0</v>
      </c>
      <c r="BN12">
        <f t="shared" si="11"/>
        <v>0</v>
      </c>
      <c r="BO12">
        <f t="shared" si="11"/>
        <v>0</v>
      </c>
      <c r="BP12">
        <f t="shared" ref="BP12:BT12" si="12">IF(AND(NOT(BP6),NOT(BP7)),1,0)</f>
        <v>0</v>
      </c>
      <c r="BQ12">
        <f t="shared" si="12"/>
        <v>1</v>
      </c>
      <c r="BR12">
        <f t="shared" si="12"/>
        <v>0</v>
      </c>
      <c r="BS12">
        <f t="shared" si="12"/>
        <v>0</v>
      </c>
      <c r="BT12">
        <f t="shared" si="12"/>
        <v>0</v>
      </c>
    </row>
    <row r="14" spans="1:142" x14ac:dyDescent="0.25">
      <c r="B14">
        <f>SUM(B9:B12)</f>
        <v>70</v>
      </c>
    </row>
    <row r="20" spans="3:9" x14ac:dyDescent="0.25">
      <c r="C20" t="s">
        <v>203</v>
      </c>
      <c r="D20" t="s">
        <v>204</v>
      </c>
      <c r="E20" t="s">
        <v>16</v>
      </c>
    </row>
    <row r="21" spans="3:9" x14ac:dyDescent="0.25">
      <c r="C21" t="s">
        <v>18</v>
      </c>
      <c r="D21" t="s">
        <v>17</v>
      </c>
      <c r="E21">
        <v>12</v>
      </c>
    </row>
    <row r="22" spans="3:9" x14ac:dyDescent="0.25">
      <c r="C22" t="s">
        <v>18</v>
      </c>
      <c r="D22" t="s">
        <v>19</v>
      </c>
      <c r="E22">
        <v>5</v>
      </c>
      <c r="I22" s="448">
        <f>0.5</f>
        <v>0.5</v>
      </c>
    </row>
    <row r="23" spans="3:9" x14ac:dyDescent="0.25">
      <c r="C23" t="s">
        <v>16</v>
      </c>
      <c r="D23" t="s">
        <v>17</v>
      </c>
      <c r="E23">
        <v>35</v>
      </c>
    </row>
    <row r="24" spans="3:9" x14ac:dyDescent="0.25">
      <c r="C24" t="s">
        <v>16</v>
      </c>
      <c r="D24" t="s">
        <v>19</v>
      </c>
      <c r="E24">
        <v>18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L117"/>
  <sheetViews>
    <sheetView topLeftCell="T6" zoomScale="90" zoomScaleNormal="90" workbookViewId="0">
      <selection activeCell="Y9" sqref="Y9"/>
    </sheetView>
  </sheetViews>
  <sheetFormatPr baseColWidth="10" defaultColWidth="11.42578125" defaultRowHeight="15" x14ac:dyDescent="0.25"/>
  <cols>
    <col min="1" max="1" width="11.42578125" style="8"/>
    <col min="2" max="2" width="6.140625" style="152" customWidth="1"/>
    <col min="3" max="142" width="4.7109375" style="8" customWidth="1"/>
    <col min="143" max="16384" width="11.42578125" style="8"/>
  </cols>
  <sheetData>
    <row r="1" spans="1:142" ht="15.75" thickBot="1" x14ac:dyDescent="0.3"/>
    <row r="2" spans="1:142" ht="15.75" thickTop="1" x14ac:dyDescent="0.25">
      <c r="B2" s="494"/>
      <c r="C2" s="67" t="s">
        <v>10</v>
      </c>
      <c r="D2" s="68"/>
      <c r="E2" s="68"/>
      <c r="F2" s="68"/>
      <c r="G2" s="69"/>
      <c r="H2" s="69"/>
      <c r="I2" s="69"/>
      <c r="J2" s="69"/>
      <c r="K2" s="69"/>
      <c r="L2" s="69"/>
      <c r="M2" s="69"/>
      <c r="N2" s="69"/>
      <c r="O2" s="70"/>
    </row>
    <row r="3" spans="1:142" x14ac:dyDescent="0.25">
      <c r="B3" s="495"/>
      <c r="C3" s="72" t="s">
        <v>5</v>
      </c>
      <c r="D3" s="72"/>
      <c r="E3" s="72"/>
      <c r="F3" s="72"/>
      <c r="G3" s="72"/>
      <c r="H3" s="72" t="s">
        <v>156</v>
      </c>
      <c r="I3" s="72"/>
      <c r="J3" s="72"/>
      <c r="K3" s="72"/>
      <c r="L3" s="72"/>
      <c r="M3" s="72"/>
      <c r="N3" s="72"/>
      <c r="O3" s="73"/>
    </row>
    <row r="4" spans="1:142" x14ac:dyDescent="0.25">
      <c r="B4" s="495"/>
      <c r="C4" s="72" t="s">
        <v>6</v>
      </c>
      <c r="D4" s="72"/>
      <c r="E4" s="72"/>
      <c r="F4" s="72"/>
      <c r="G4" s="72"/>
      <c r="H4" s="72" t="s">
        <v>24</v>
      </c>
      <c r="I4" s="72"/>
      <c r="J4" s="72"/>
      <c r="K4" s="72"/>
      <c r="L4" s="72"/>
      <c r="M4" s="72"/>
      <c r="N4" s="72"/>
      <c r="O4" s="73"/>
    </row>
    <row r="5" spans="1:142" ht="15.75" thickBot="1" x14ac:dyDescent="0.3">
      <c r="B5" s="496"/>
      <c r="C5" s="75" t="s">
        <v>7</v>
      </c>
      <c r="D5" s="75"/>
      <c r="E5" s="75"/>
      <c r="F5" s="75"/>
      <c r="G5" s="75"/>
      <c r="H5" s="75" t="s">
        <v>20</v>
      </c>
      <c r="I5" s="75"/>
      <c r="J5" s="75"/>
      <c r="K5" s="75"/>
      <c r="L5" s="75"/>
      <c r="M5" s="75"/>
      <c r="N5" s="75"/>
      <c r="O5" s="76"/>
    </row>
    <row r="6" spans="1:142" ht="15.75" thickTop="1" x14ac:dyDescent="0.25"/>
    <row r="7" spans="1:142" x14ac:dyDescent="0.25">
      <c r="C7" s="31" t="s">
        <v>8</v>
      </c>
      <c r="D7" s="32"/>
      <c r="H7" s="31" t="s">
        <v>61</v>
      </c>
      <c r="N7" s="8" t="s">
        <v>35</v>
      </c>
      <c r="O7" s="8">
        <f>MIN(C15:CF15)</f>
        <v>19</v>
      </c>
      <c r="Q7" s="8" t="s">
        <v>36</v>
      </c>
      <c r="R7" s="8">
        <f>MAX(C15:CF15)</f>
        <v>28</v>
      </c>
    </row>
    <row r="8" spans="1:142" x14ac:dyDescent="0.25">
      <c r="C8" s="31"/>
      <c r="D8" s="32"/>
      <c r="H8" s="31" t="s">
        <v>62</v>
      </c>
      <c r="N8" s="8" t="s">
        <v>35</v>
      </c>
      <c r="O8" s="8">
        <f>MIN(C16:CF16)</f>
        <v>155</v>
      </c>
      <c r="Q8" s="8" t="s">
        <v>36</v>
      </c>
      <c r="R8" s="8">
        <f>MAX(C16:CF16)</f>
        <v>195</v>
      </c>
      <c r="Y8" s="8">
        <f>COUNTIF(BM18:BT18,"w")</f>
        <v>0</v>
      </c>
    </row>
    <row r="9" spans="1:142" x14ac:dyDescent="0.25">
      <c r="C9" s="31"/>
      <c r="D9" s="32"/>
      <c r="H9" s="31" t="s">
        <v>63</v>
      </c>
    </row>
    <row r="10" spans="1:142" x14ac:dyDescent="0.25">
      <c r="C10" s="31"/>
      <c r="D10" s="32"/>
      <c r="H10" s="31" t="s">
        <v>60</v>
      </c>
    </row>
    <row r="12" spans="1:142" x14ac:dyDescent="0.25">
      <c r="C12" s="1" t="s">
        <v>0</v>
      </c>
      <c r="D12" s="2"/>
      <c r="E12" s="2"/>
      <c r="F12" s="1">
        <f>COUNT(C15:CF15)</f>
        <v>70</v>
      </c>
      <c r="G12" s="1" t="s">
        <v>30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142" x14ac:dyDescent="0.25">
      <c r="B13" s="231"/>
      <c r="C13" s="747" t="s">
        <v>160</v>
      </c>
      <c r="D13" s="747"/>
      <c r="E13" s="747"/>
      <c r="F13" s="747"/>
      <c r="G13" s="747"/>
      <c r="H13" s="747"/>
      <c r="I13" s="747"/>
      <c r="J13" s="747"/>
      <c r="K13" s="747"/>
      <c r="L13" s="747"/>
      <c r="M13" s="747"/>
      <c r="N13" s="747"/>
      <c r="O13" s="747"/>
      <c r="P13" s="747"/>
      <c r="Q13" s="747"/>
      <c r="R13" s="747"/>
      <c r="S13" s="747"/>
      <c r="T13" s="747"/>
      <c r="U13" s="747"/>
      <c r="V13" s="747"/>
      <c r="W13" s="747"/>
      <c r="X13" s="747"/>
      <c r="Y13" s="747"/>
      <c r="Z13" s="747"/>
      <c r="AA13" s="747"/>
      <c r="AB13" s="747"/>
      <c r="AC13" s="747"/>
      <c r="AD13" s="747"/>
      <c r="AE13" s="747"/>
      <c r="AF13" s="747"/>
      <c r="AG13" s="747"/>
      <c r="AH13" s="747"/>
      <c r="AI13" s="747"/>
      <c r="AJ13" s="747"/>
      <c r="AK13" s="747"/>
      <c r="AL13" s="747"/>
      <c r="AM13" s="747"/>
      <c r="AN13" s="747"/>
      <c r="AO13" s="747"/>
      <c r="AP13" s="747"/>
      <c r="AQ13" s="747"/>
      <c r="AR13" s="748" t="s">
        <v>161</v>
      </c>
      <c r="AS13" s="748"/>
      <c r="AT13" s="748"/>
      <c r="AU13" s="748"/>
      <c r="AV13" s="748"/>
      <c r="AW13" s="748"/>
      <c r="AX13" s="748"/>
      <c r="AY13" s="748"/>
      <c r="AZ13" s="748"/>
      <c r="BA13" s="748"/>
      <c r="BB13" s="748"/>
      <c r="BC13" s="748"/>
      <c r="BD13" s="748"/>
      <c r="BE13" s="748"/>
      <c r="BF13" s="748"/>
      <c r="BG13" s="748"/>
      <c r="BH13" s="748"/>
      <c r="BI13" s="748"/>
      <c r="BJ13" s="748"/>
      <c r="BK13" s="748"/>
      <c r="BL13" s="748"/>
      <c r="BM13" s="748"/>
      <c r="BN13" s="748"/>
      <c r="BO13" s="748"/>
      <c r="BP13" s="748"/>
      <c r="BQ13" s="748"/>
      <c r="BR13" s="748"/>
      <c r="BS13" s="748"/>
      <c r="BT13" s="748"/>
      <c r="BU13" s="435"/>
      <c r="BV13" s="435"/>
      <c r="BW13" s="435"/>
      <c r="BX13" s="435"/>
      <c r="BY13" s="435"/>
      <c r="BZ13" s="435"/>
      <c r="CA13" s="435"/>
      <c r="CB13" s="435"/>
      <c r="CC13" s="435"/>
      <c r="CD13" s="435"/>
      <c r="CE13" s="435"/>
      <c r="CF13" s="435"/>
    </row>
    <row r="14" spans="1:142" ht="18" x14ac:dyDescent="0.35">
      <c r="A14" s="34" t="s">
        <v>25</v>
      </c>
      <c r="B14" s="497" t="s">
        <v>1</v>
      </c>
      <c r="C14" s="36">
        <v>1</v>
      </c>
      <c r="D14" s="36">
        <v>2</v>
      </c>
      <c r="E14" s="36">
        <v>3</v>
      </c>
      <c r="F14" s="36">
        <v>4</v>
      </c>
      <c r="G14" s="36">
        <v>5</v>
      </c>
      <c r="H14" s="36">
        <v>6</v>
      </c>
      <c r="I14" s="36">
        <v>7</v>
      </c>
      <c r="J14" s="36">
        <v>8</v>
      </c>
      <c r="K14" s="36">
        <v>9</v>
      </c>
      <c r="L14" s="36">
        <v>10</v>
      </c>
      <c r="M14" s="36">
        <v>11</v>
      </c>
      <c r="N14" s="36">
        <v>12</v>
      </c>
      <c r="O14" s="36">
        <v>13</v>
      </c>
      <c r="P14" s="36">
        <v>14</v>
      </c>
      <c r="Q14" s="36">
        <v>15</v>
      </c>
      <c r="R14" s="36">
        <v>16</v>
      </c>
      <c r="S14" s="36">
        <v>17</v>
      </c>
      <c r="T14" s="36">
        <v>18</v>
      </c>
      <c r="U14" s="36">
        <v>19</v>
      </c>
      <c r="V14" s="36">
        <v>20</v>
      </c>
      <c r="W14" s="36">
        <v>21</v>
      </c>
      <c r="X14" s="36">
        <v>22</v>
      </c>
      <c r="Y14" s="35">
        <v>23</v>
      </c>
      <c r="Z14" s="36">
        <v>24</v>
      </c>
      <c r="AA14" s="36">
        <v>25</v>
      </c>
      <c r="AB14" s="36">
        <v>26</v>
      </c>
      <c r="AC14" s="36">
        <v>27</v>
      </c>
      <c r="AD14" s="36">
        <v>28</v>
      </c>
      <c r="AE14" s="36">
        <v>29</v>
      </c>
      <c r="AF14" s="36">
        <v>30</v>
      </c>
      <c r="AG14" s="36">
        <v>31</v>
      </c>
      <c r="AH14" s="36">
        <v>32</v>
      </c>
      <c r="AI14" s="36">
        <v>33</v>
      </c>
      <c r="AJ14" s="36">
        <v>34</v>
      </c>
      <c r="AK14" s="492">
        <v>35</v>
      </c>
      <c r="AL14" s="492">
        <v>36</v>
      </c>
      <c r="AM14" s="36">
        <v>37</v>
      </c>
      <c r="AN14" s="36">
        <v>38</v>
      </c>
      <c r="AO14" s="36">
        <v>39</v>
      </c>
      <c r="AP14" s="36">
        <v>40</v>
      </c>
      <c r="AQ14" s="36">
        <v>41</v>
      </c>
      <c r="AR14" s="36">
        <v>42</v>
      </c>
      <c r="AS14" s="36">
        <v>43</v>
      </c>
      <c r="AT14" s="36">
        <v>44</v>
      </c>
      <c r="AU14" s="36">
        <v>45</v>
      </c>
      <c r="AV14" s="36">
        <v>46</v>
      </c>
      <c r="AW14" s="36">
        <v>47</v>
      </c>
      <c r="AX14" s="36">
        <v>48</v>
      </c>
      <c r="AY14" s="36">
        <v>49</v>
      </c>
      <c r="AZ14" s="36">
        <v>50</v>
      </c>
      <c r="BA14" s="36">
        <v>51</v>
      </c>
      <c r="BB14" s="36">
        <v>52</v>
      </c>
      <c r="BC14" s="36">
        <v>53</v>
      </c>
      <c r="BD14" s="36">
        <v>54</v>
      </c>
      <c r="BE14" s="36">
        <v>55</v>
      </c>
      <c r="BF14" s="36">
        <v>56</v>
      </c>
      <c r="BG14" s="36">
        <v>57</v>
      </c>
      <c r="BH14" s="36">
        <v>58</v>
      </c>
      <c r="BI14" s="36">
        <v>59</v>
      </c>
      <c r="BJ14" s="36">
        <v>60</v>
      </c>
      <c r="BK14" s="36">
        <v>61</v>
      </c>
      <c r="BL14" s="36">
        <v>62</v>
      </c>
      <c r="BM14" s="36">
        <v>63</v>
      </c>
      <c r="BN14" s="36">
        <v>64</v>
      </c>
      <c r="BO14" s="36">
        <v>65</v>
      </c>
      <c r="BP14" s="36">
        <v>66</v>
      </c>
      <c r="BQ14" s="36">
        <v>67</v>
      </c>
      <c r="BR14" s="36">
        <v>68</v>
      </c>
      <c r="BS14" s="36">
        <v>69</v>
      </c>
      <c r="BT14" s="36">
        <v>70</v>
      </c>
      <c r="BU14" s="36">
        <v>71</v>
      </c>
      <c r="BV14" s="36">
        <v>72</v>
      </c>
      <c r="BW14" s="36">
        <v>73</v>
      </c>
      <c r="BX14" s="36">
        <v>74</v>
      </c>
      <c r="BY14" s="36">
        <v>75</v>
      </c>
      <c r="BZ14" s="36">
        <v>76</v>
      </c>
      <c r="CA14" s="36">
        <v>77</v>
      </c>
      <c r="CB14" s="36">
        <v>78</v>
      </c>
      <c r="CC14" s="36">
        <v>79</v>
      </c>
      <c r="CD14" s="36">
        <v>80</v>
      </c>
      <c r="CE14" s="36">
        <v>81</v>
      </c>
      <c r="CF14" s="37">
        <v>82</v>
      </c>
      <c r="CG14" s="36">
        <v>83</v>
      </c>
      <c r="CH14" s="37">
        <v>84</v>
      </c>
      <c r="CI14" s="36">
        <v>85</v>
      </c>
      <c r="CJ14" s="37">
        <v>86</v>
      </c>
      <c r="CK14" s="36">
        <v>87</v>
      </c>
      <c r="CL14" s="37">
        <v>88</v>
      </c>
      <c r="CM14" s="36">
        <v>89</v>
      </c>
      <c r="CN14" s="37">
        <v>90</v>
      </c>
      <c r="CO14" s="36">
        <v>91</v>
      </c>
      <c r="CP14" s="37">
        <v>92</v>
      </c>
      <c r="CQ14" s="36">
        <v>93</v>
      </c>
      <c r="CR14" s="37">
        <v>94</v>
      </c>
      <c r="CS14" s="36">
        <v>95</v>
      </c>
      <c r="CT14" s="37">
        <v>96</v>
      </c>
      <c r="CU14" s="36">
        <v>97</v>
      </c>
      <c r="CV14" s="37">
        <v>98</v>
      </c>
      <c r="CW14" s="36">
        <v>99</v>
      </c>
      <c r="CX14" s="37">
        <v>100</v>
      </c>
      <c r="CY14" s="36">
        <v>101</v>
      </c>
      <c r="CZ14" s="37">
        <v>102</v>
      </c>
      <c r="DA14" s="36">
        <v>103</v>
      </c>
      <c r="DB14" s="37">
        <v>104</v>
      </c>
      <c r="DC14" s="36">
        <v>105</v>
      </c>
      <c r="DD14" s="37">
        <v>106</v>
      </c>
      <c r="DE14" s="36">
        <v>107</v>
      </c>
      <c r="DF14" s="37">
        <v>108</v>
      </c>
      <c r="DG14" s="36">
        <v>109</v>
      </c>
      <c r="DH14" s="37">
        <v>110</v>
      </c>
      <c r="DI14" s="36">
        <v>111</v>
      </c>
      <c r="DJ14" s="37">
        <v>112</v>
      </c>
      <c r="DK14" s="36">
        <v>113</v>
      </c>
      <c r="DL14" s="37">
        <v>114</v>
      </c>
      <c r="DM14" s="36">
        <v>115</v>
      </c>
      <c r="DN14" s="37">
        <v>116</v>
      </c>
      <c r="DO14" s="36">
        <v>117</v>
      </c>
      <c r="DP14" s="37">
        <v>118</v>
      </c>
      <c r="DQ14" s="36">
        <v>119</v>
      </c>
      <c r="DR14" s="37">
        <v>120</v>
      </c>
      <c r="DS14" s="36">
        <v>121</v>
      </c>
      <c r="DT14" s="37">
        <v>122</v>
      </c>
      <c r="DU14" s="36">
        <v>123</v>
      </c>
      <c r="DV14" s="37">
        <v>124</v>
      </c>
      <c r="DW14" s="36">
        <v>125</v>
      </c>
      <c r="DX14" s="37">
        <v>126</v>
      </c>
      <c r="DY14" s="36">
        <v>127</v>
      </c>
      <c r="DZ14" s="37">
        <v>128</v>
      </c>
      <c r="EA14" s="36">
        <v>129</v>
      </c>
      <c r="EB14" s="37">
        <v>130</v>
      </c>
      <c r="EC14" s="36">
        <v>131</v>
      </c>
      <c r="ED14" s="37">
        <v>132</v>
      </c>
      <c r="EE14" s="36">
        <v>133</v>
      </c>
      <c r="EF14" s="37">
        <v>134</v>
      </c>
      <c r="EG14" s="36">
        <v>135</v>
      </c>
      <c r="EH14" s="37">
        <v>136</v>
      </c>
      <c r="EI14" s="36">
        <v>137</v>
      </c>
      <c r="EJ14" s="37">
        <v>138</v>
      </c>
      <c r="EK14" s="36">
        <v>139</v>
      </c>
      <c r="EL14" s="37">
        <v>140</v>
      </c>
    </row>
    <row r="15" spans="1:142" ht="18" x14ac:dyDescent="0.35">
      <c r="A15" s="38" t="s">
        <v>9</v>
      </c>
      <c r="B15" s="498" t="s">
        <v>2</v>
      </c>
      <c r="C15" s="40">
        <v>23</v>
      </c>
      <c r="D15" s="40">
        <v>19</v>
      </c>
      <c r="E15" s="40">
        <v>21</v>
      </c>
      <c r="F15" s="40">
        <v>22</v>
      </c>
      <c r="G15" s="40">
        <v>23</v>
      </c>
      <c r="H15" s="40">
        <v>24</v>
      </c>
      <c r="I15" s="40">
        <v>22</v>
      </c>
      <c r="J15" s="40">
        <v>20</v>
      </c>
      <c r="K15" s="40">
        <v>20</v>
      </c>
      <c r="L15" s="40">
        <v>21</v>
      </c>
      <c r="M15" s="40">
        <v>26</v>
      </c>
      <c r="N15" s="40">
        <v>21</v>
      </c>
      <c r="O15" s="40">
        <v>22</v>
      </c>
      <c r="P15" s="40">
        <v>22</v>
      </c>
      <c r="Q15" s="40">
        <v>19</v>
      </c>
      <c r="R15" s="40">
        <v>28</v>
      </c>
      <c r="S15" s="40">
        <v>20</v>
      </c>
      <c r="T15" s="40">
        <v>22</v>
      </c>
      <c r="U15" s="40">
        <v>22</v>
      </c>
      <c r="V15" s="40">
        <v>22</v>
      </c>
      <c r="W15" s="40">
        <v>23</v>
      </c>
      <c r="X15" s="41">
        <v>24</v>
      </c>
      <c r="Y15" s="40">
        <v>25</v>
      </c>
      <c r="Z15" s="40">
        <v>24</v>
      </c>
      <c r="AA15" s="40">
        <v>25</v>
      </c>
      <c r="AB15" s="40">
        <v>21</v>
      </c>
      <c r="AC15" s="40">
        <v>20</v>
      </c>
      <c r="AD15" s="40">
        <v>21</v>
      </c>
      <c r="AE15" s="40">
        <v>22</v>
      </c>
      <c r="AF15" s="40">
        <v>26</v>
      </c>
      <c r="AG15" s="40">
        <v>21</v>
      </c>
      <c r="AH15" s="41">
        <v>21</v>
      </c>
      <c r="AI15" s="40">
        <v>23</v>
      </c>
      <c r="AJ15" s="40">
        <v>23</v>
      </c>
      <c r="AK15" s="500">
        <v>25</v>
      </c>
      <c r="AL15" s="500">
        <v>25</v>
      </c>
      <c r="AM15" s="40">
        <v>21</v>
      </c>
      <c r="AN15" s="40">
        <v>23</v>
      </c>
      <c r="AO15" s="40">
        <v>25</v>
      </c>
      <c r="AP15" s="40">
        <v>20</v>
      </c>
      <c r="AQ15" s="40">
        <v>22</v>
      </c>
      <c r="AR15" s="40">
        <v>22</v>
      </c>
      <c r="AS15" s="40">
        <v>25</v>
      </c>
      <c r="AT15" s="40">
        <v>19</v>
      </c>
      <c r="AU15" s="40">
        <v>20</v>
      </c>
      <c r="AV15" s="40">
        <v>24</v>
      </c>
      <c r="AW15" s="40">
        <v>24</v>
      </c>
      <c r="AX15" s="40">
        <v>26</v>
      </c>
      <c r="AY15" s="40">
        <v>20</v>
      </c>
      <c r="AZ15" s="40">
        <v>20</v>
      </c>
      <c r="BA15" s="40">
        <v>24</v>
      </c>
      <c r="BB15" s="40">
        <v>25</v>
      </c>
      <c r="BC15" s="40">
        <v>21</v>
      </c>
      <c r="BD15" s="40">
        <v>22</v>
      </c>
      <c r="BE15" s="40">
        <v>26</v>
      </c>
      <c r="BF15" s="40">
        <v>20</v>
      </c>
      <c r="BG15" s="40">
        <v>21</v>
      </c>
      <c r="BH15" s="40">
        <v>21</v>
      </c>
      <c r="BI15" s="40">
        <v>22</v>
      </c>
      <c r="BJ15" s="40">
        <v>23</v>
      </c>
      <c r="BK15" s="40">
        <v>26</v>
      </c>
      <c r="BL15" s="40">
        <v>26</v>
      </c>
      <c r="BM15" s="40">
        <v>22</v>
      </c>
      <c r="BN15" s="40">
        <v>25</v>
      </c>
      <c r="BO15" s="40">
        <v>22</v>
      </c>
      <c r="BP15" s="40">
        <v>23</v>
      </c>
      <c r="BQ15" s="40">
        <v>28</v>
      </c>
      <c r="BR15" s="40">
        <v>23</v>
      </c>
      <c r="BS15" s="40">
        <v>27</v>
      </c>
      <c r="BT15" s="40">
        <v>20</v>
      </c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1"/>
      <c r="CG15" s="40"/>
      <c r="CH15" s="41"/>
      <c r="CI15" s="40"/>
      <c r="CJ15" s="41"/>
      <c r="CK15" s="40"/>
      <c r="CL15" s="41"/>
      <c r="CM15" s="40"/>
      <c r="CN15" s="41"/>
      <c r="CO15" s="40"/>
      <c r="CP15" s="41"/>
      <c r="CQ15" s="40"/>
      <c r="CR15" s="41"/>
      <c r="CS15" s="40"/>
      <c r="CT15" s="41"/>
      <c r="CU15" s="40"/>
      <c r="CV15" s="41"/>
      <c r="CW15" s="40"/>
      <c r="CX15" s="41"/>
      <c r="CY15" s="40"/>
      <c r="CZ15" s="41"/>
      <c r="DA15" s="40"/>
      <c r="DB15" s="41"/>
      <c r="DC15" s="40"/>
      <c r="DD15" s="41"/>
      <c r="DE15" s="40"/>
      <c r="DF15" s="41"/>
      <c r="DG15" s="40"/>
      <c r="DH15" s="41"/>
      <c r="DI15" s="40"/>
      <c r="DJ15" s="41"/>
      <c r="DK15" s="40"/>
      <c r="DL15" s="41"/>
      <c r="DM15" s="40"/>
      <c r="DN15" s="41"/>
      <c r="DO15" s="40"/>
      <c r="DP15" s="41"/>
      <c r="DQ15" s="40"/>
      <c r="DR15" s="41"/>
      <c r="DS15" s="40"/>
      <c r="DT15" s="41"/>
      <c r="DU15" s="40"/>
      <c r="DV15" s="41"/>
      <c r="DW15" s="40"/>
      <c r="DX15" s="41"/>
      <c r="DY15" s="40"/>
      <c r="DZ15" s="41"/>
      <c r="EA15" s="40"/>
      <c r="EB15" s="41"/>
      <c r="EC15" s="40"/>
      <c r="ED15" s="41"/>
      <c r="EE15" s="40"/>
      <c r="EF15" s="41"/>
      <c r="EG15" s="40"/>
      <c r="EH15" s="41"/>
      <c r="EI15" s="40"/>
      <c r="EJ15" s="41"/>
      <c r="EK15" s="41"/>
      <c r="EL15" s="41"/>
    </row>
    <row r="16" spans="1:142" ht="18" x14ac:dyDescent="0.35">
      <c r="A16" s="38" t="s">
        <v>21</v>
      </c>
      <c r="B16" s="498" t="s">
        <v>13</v>
      </c>
      <c r="C16" s="40">
        <v>155</v>
      </c>
      <c r="D16" s="40">
        <v>160</v>
      </c>
      <c r="E16" s="40">
        <v>160</v>
      </c>
      <c r="F16" s="40">
        <v>160</v>
      </c>
      <c r="G16" s="40">
        <v>160</v>
      </c>
      <c r="H16" s="40">
        <v>160</v>
      </c>
      <c r="I16" s="40">
        <v>161</v>
      </c>
      <c r="J16" s="40">
        <v>163</v>
      </c>
      <c r="K16" s="40">
        <v>163</v>
      </c>
      <c r="L16" s="40">
        <v>163</v>
      </c>
      <c r="M16" s="40">
        <v>164</v>
      </c>
      <c r="N16" s="40">
        <v>165</v>
      </c>
      <c r="O16" s="40">
        <v>165</v>
      </c>
      <c r="P16" s="40">
        <v>165</v>
      </c>
      <c r="Q16" s="40">
        <v>168</v>
      </c>
      <c r="R16" s="40">
        <v>169</v>
      </c>
      <c r="S16" s="40">
        <v>170</v>
      </c>
      <c r="T16" s="40">
        <v>170</v>
      </c>
      <c r="U16" s="40">
        <v>170</v>
      </c>
      <c r="V16" s="40">
        <v>170</v>
      </c>
      <c r="W16" s="40">
        <v>170</v>
      </c>
      <c r="X16" s="41">
        <v>170</v>
      </c>
      <c r="Y16" s="40">
        <v>170</v>
      </c>
      <c r="Z16" s="40">
        <v>171</v>
      </c>
      <c r="AA16" s="40">
        <v>172</v>
      </c>
      <c r="AB16" s="40">
        <v>173</v>
      </c>
      <c r="AC16" s="40">
        <v>174</v>
      </c>
      <c r="AD16" s="40">
        <v>174</v>
      </c>
      <c r="AE16" s="40">
        <v>174</v>
      </c>
      <c r="AF16" s="40">
        <v>175</v>
      </c>
      <c r="AG16" s="40">
        <v>176</v>
      </c>
      <c r="AH16" s="41">
        <v>176</v>
      </c>
      <c r="AI16" s="40">
        <v>176</v>
      </c>
      <c r="AJ16" s="40">
        <v>176</v>
      </c>
      <c r="AK16" s="493">
        <v>176</v>
      </c>
      <c r="AL16" s="493">
        <v>176</v>
      </c>
      <c r="AM16" s="40">
        <v>178</v>
      </c>
      <c r="AN16" s="40">
        <v>178</v>
      </c>
      <c r="AO16" s="40">
        <v>178</v>
      </c>
      <c r="AP16" s="40">
        <v>180</v>
      </c>
      <c r="AQ16" s="40">
        <v>180</v>
      </c>
      <c r="AR16" s="40">
        <v>180</v>
      </c>
      <c r="AS16" s="40">
        <v>180</v>
      </c>
      <c r="AT16" s="40">
        <v>182</v>
      </c>
      <c r="AU16" s="40">
        <v>182</v>
      </c>
      <c r="AV16" s="40">
        <v>182</v>
      </c>
      <c r="AW16" s="40">
        <v>182</v>
      </c>
      <c r="AX16" s="40">
        <v>182</v>
      </c>
      <c r="AY16" s="40">
        <v>183</v>
      </c>
      <c r="AZ16" s="40">
        <v>183</v>
      </c>
      <c r="BA16" s="40">
        <v>183</v>
      </c>
      <c r="BB16" s="40">
        <v>183</v>
      </c>
      <c r="BC16" s="40">
        <v>184</v>
      </c>
      <c r="BD16" s="40">
        <v>184</v>
      </c>
      <c r="BE16" s="40">
        <v>184</v>
      </c>
      <c r="BF16" s="40">
        <v>185</v>
      </c>
      <c r="BG16" s="40">
        <v>185</v>
      </c>
      <c r="BH16" s="40">
        <v>185</v>
      </c>
      <c r="BI16" s="40">
        <v>185</v>
      </c>
      <c r="BJ16" s="40">
        <v>185</v>
      </c>
      <c r="BK16" s="40">
        <v>185</v>
      </c>
      <c r="BL16" s="40">
        <v>185</v>
      </c>
      <c r="BM16" s="40">
        <v>187</v>
      </c>
      <c r="BN16" s="40">
        <v>187</v>
      </c>
      <c r="BO16" s="40">
        <v>188</v>
      </c>
      <c r="BP16" s="40">
        <v>189</v>
      </c>
      <c r="BQ16" s="40">
        <v>190</v>
      </c>
      <c r="BR16" s="40">
        <v>193</v>
      </c>
      <c r="BS16" s="40">
        <v>193</v>
      </c>
      <c r="BT16" s="40">
        <v>195</v>
      </c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1"/>
      <c r="CG16" s="40"/>
      <c r="CH16" s="41"/>
      <c r="CI16" s="40"/>
      <c r="CJ16" s="41"/>
      <c r="CK16" s="40"/>
      <c r="CL16" s="41"/>
      <c r="CM16" s="40"/>
      <c r="CN16" s="41"/>
      <c r="CO16" s="40"/>
      <c r="CP16" s="41"/>
      <c r="CQ16" s="40"/>
      <c r="CR16" s="41"/>
      <c r="CS16" s="40"/>
      <c r="CT16" s="41"/>
      <c r="CU16" s="40"/>
      <c r="CV16" s="41"/>
      <c r="CW16" s="40"/>
      <c r="CX16" s="41"/>
      <c r="CY16" s="40"/>
      <c r="CZ16" s="41"/>
      <c r="DA16" s="40"/>
      <c r="DB16" s="41"/>
      <c r="DC16" s="40"/>
      <c r="DD16" s="41"/>
      <c r="DE16" s="40"/>
      <c r="DF16" s="41"/>
      <c r="DG16" s="40"/>
      <c r="DH16" s="41"/>
      <c r="DI16" s="40"/>
      <c r="DJ16" s="41"/>
      <c r="DK16" s="40"/>
      <c r="DL16" s="41"/>
      <c r="DM16" s="40"/>
      <c r="DN16" s="41"/>
      <c r="DO16" s="40"/>
      <c r="DP16" s="41"/>
      <c r="DQ16" s="40"/>
      <c r="DR16" s="41"/>
      <c r="DS16" s="40"/>
      <c r="DT16" s="41"/>
      <c r="DU16" s="40"/>
      <c r="DV16" s="41"/>
      <c r="DW16" s="40"/>
      <c r="DX16" s="41"/>
      <c r="DY16" s="40"/>
      <c r="DZ16" s="41"/>
      <c r="EA16" s="40"/>
      <c r="EB16" s="41"/>
      <c r="EC16" s="40"/>
      <c r="ED16" s="41"/>
      <c r="EE16" s="40"/>
      <c r="EF16" s="41"/>
      <c r="EG16" s="40"/>
      <c r="EH16" s="41"/>
      <c r="EI16" s="40"/>
      <c r="EJ16" s="41"/>
      <c r="EK16" s="41"/>
      <c r="EL16" s="41"/>
    </row>
    <row r="17" spans="1:142" ht="18" x14ac:dyDescent="0.35">
      <c r="A17" s="38" t="s">
        <v>22</v>
      </c>
      <c r="B17" s="498" t="s">
        <v>14</v>
      </c>
      <c r="C17" s="40" t="s">
        <v>18</v>
      </c>
      <c r="D17" s="40" t="s">
        <v>16</v>
      </c>
      <c r="E17" s="40" t="s">
        <v>16</v>
      </c>
      <c r="F17" s="40" t="s">
        <v>16</v>
      </c>
      <c r="G17" s="40" t="s">
        <v>16</v>
      </c>
      <c r="H17" s="40" t="s">
        <v>16</v>
      </c>
      <c r="I17" s="40" t="s">
        <v>16</v>
      </c>
      <c r="J17" s="40" t="s">
        <v>16</v>
      </c>
      <c r="K17" s="40" t="s">
        <v>16</v>
      </c>
      <c r="L17" s="40" t="s">
        <v>16</v>
      </c>
      <c r="M17" s="40" t="s">
        <v>18</v>
      </c>
      <c r="N17" s="40" t="s">
        <v>16</v>
      </c>
      <c r="O17" s="40" t="s">
        <v>16</v>
      </c>
      <c r="P17" s="40" t="s">
        <v>16</v>
      </c>
      <c r="Q17" s="40" t="s">
        <v>16</v>
      </c>
      <c r="R17" s="40" t="s">
        <v>18</v>
      </c>
      <c r="S17" s="40" t="s">
        <v>16</v>
      </c>
      <c r="T17" s="40" t="s">
        <v>16</v>
      </c>
      <c r="U17" s="40" t="s">
        <v>16</v>
      </c>
      <c r="V17" s="40" t="s">
        <v>16</v>
      </c>
      <c r="W17" s="40" t="s">
        <v>16</v>
      </c>
      <c r="X17" s="41" t="s">
        <v>16</v>
      </c>
      <c r="Y17" s="40" t="s">
        <v>16</v>
      </c>
      <c r="Z17" s="40" t="s">
        <v>16</v>
      </c>
      <c r="AA17" s="40" t="s">
        <v>18</v>
      </c>
      <c r="AB17" s="40" t="s">
        <v>16</v>
      </c>
      <c r="AC17" s="40" t="s">
        <v>16</v>
      </c>
      <c r="AD17" s="40" t="s">
        <v>16</v>
      </c>
      <c r="AE17" s="40" t="s">
        <v>16</v>
      </c>
      <c r="AF17" s="40" t="s">
        <v>18</v>
      </c>
      <c r="AG17" s="40" t="s">
        <v>16</v>
      </c>
      <c r="AH17" s="41" t="s">
        <v>16</v>
      </c>
      <c r="AI17" s="40" t="s">
        <v>18</v>
      </c>
      <c r="AJ17" s="40" t="s">
        <v>18</v>
      </c>
      <c r="AK17" s="40" t="s">
        <v>18</v>
      </c>
      <c r="AL17" s="40" t="s">
        <v>18</v>
      </c>
      <c r="AM17" s="40" t="s">
        <v>16</v>
      </c>
      <c r="AN17" s="40" t="s">
        <v>16</v>
      </c>
      <c r="AO17" s="40" t="s">
        <v>16</v>
      </c>
      <c r="AP17" s="40" t="s">
        <v>16</v>
      </c>
      <c r="AQ17" s="40" t="s">
        <v>16</v>
      </c>
      <c r="AR17" s="40" t="s">
        <v>16</v>
      </c>
      <c r="AS17" s="40" t="s">
        <v>16</v>
      </c>
      <c r="AT17" s="40" t="s">
        <v>16</v>
      </c>
      <c r="AU17" s="40" t="s">
        <v>16</v>
      </c>
      <c r="AV17" s="40" t="s">
        <v>16</v>
      </c>
      <c r="AW17" s="40" t="s">
        <v>16</v>
      </c>
      <c r="AX17" s="40" t="s">
        <v>18</v>
      </c>
      <c r="AY17" s="40" t="s">
        <v>16</v>
      </c>
      <c r="AZ17" s="40" t="s">
        <v>16</v>
      </c>
      <c r="BA17" s="40" t="s">
        <v>16</v>
      </c>
      <c r="BB17" s="40" t="s">
        <v>18</v>
      </c>
      <c r="BC17" s="40" t="s">
        <v>16</v>
      </c>
      <c r="BD17" s="40" t="s">
        <v>16</v>
      </c>
      <c r="BE17" s="40" t="s">
        <v>18</v>
      </c>
      <c r="BF17" s="40" t="s">
        <v>16</v>
      </c>
      <c r="BG17" s="40" t="s">
        <v>16</v>
      </c>
      <c r="BH17" s="40" t="s">
        <v>16</v>
      </c>
      <c r="BI17" s="40" t="s">
        <v>16</v>
      </c>
      <c r="BJ17" s="40" t="s">
        <v>16</v>
      </c>
      <c r="BK17" s="40" t="s">
        <v>18</v>
      </c>
      <c r="BL17" s="40" t="s">
        <v>16</v>
      </c>
      <c r="BM17" s="40" t="s">
        <v>16</v>
      </c>
      <c r="BN17" s="40" t="s">
        <v>18</v>
      </c>
      <c r="BO17" s="40" t="s">
        <v>16</v>
      </c>
      <c r="BP17" s="40" t="s">
        <v>18</v>
      </c>
      <c r="BQ17" s="40" t="s">
        <v>18</v>
      </c>
      <c r="BR17" s="40" t="s">
        <v>16</v>
      </c>
      <c r="BS17" s="40" t="s">
        <v>18</v>
      </c>
      <c r="BT17" s="40" t="s">
        <v>16</v>
      </c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1"/>
      <c r="CG17" s="40"/>
      <c r="CH17" s="41"/>
      <c r="CI17" s="40"/>
      <c r="CJ17" s="41"/>
      <c r="CK17" s="40"/>
      <c r="CL17" s="41"/>
      <c r="CM17" s="40"/>
      <c r="CN17" s="41"/>
      <c r="CO17" s="40"/>
      <c r="CP17" s="41"/>
      <c r="CQ17" s="40"/>
      <c r="CR17" s="41"/>
      <c r="CS17" s="40"/>
      <c r="CT17" s="41"/>
      <c r="CU17" s="40"/>
      <c r="CV17" s="41"/>
      <c r="CW17" s="40"/>
      <c r="CX17" s="41"/>
      <c r="CY17" s="40"/>
      <c r="CZ17" s="41"/>
      <c r="DA17" s="40"/>
      <c r="DB17" s="41"/>
      <c r="DC17" s="40"/>
      <c r="DD17" s="41"/>
      <c r="DE17" s="40"/>
      <c r="DF17" s="41"/>
      <c r="DG17" s="40"/>
      <c r="DH17" s="41"/>
      <c r="DI17" s="40"/>
      <c r="DJ17" s="41"/>
      <c r="DK17" s="40"/>
      <c r="DL17" s="41"/>
      <c r="DM17" s="40"/>
      <c r="DN17" s="41"/>
      <c r="DO17" s="40"/>
      <c r="DP17" s="41"/>
      <c r="DQ17" s="40"/>
      <c r="DR17" s="41"/>
      <c r="DS17" s="40"/>
      <c r="DT17" s="41"/>
      <c r="DU17" s="40"/>
      <c r="DV17" s="41"/>
      <c r="DW17" s="40"/>
      <c r="DX17" s="41"/>
      <c r="DY17" s="40"/>
      <c r="DZ17" s="41"/>
      <c r="EA17" s="40"/>
      <c r="EB17" s="41"/>
      <c r="EC17" s="40"/>
      <c r="ED17" s="41"/>
      <c r="EE17" s="40"/>
      <c r="EF17" s="41"/>
      <c r="EG17" s="40"/>
      <c r="EH17" s="41"/>
      <c r="EI17" s="40"/>
      <c r="EJ17" s="41"/>
      <c r="EK17" s="41"/>
      <c r="EL17" s="41"/>
    </row>
    <row r="18" spans="1:142" ht="18" x14ac:dyDescent="0.35">
      <c r="A18" s="42" t="s">
        <v>12</v>
      </c>
      <c r="B18" s="499" t="s">
        <v>15</v>
      </c>
      <c r="C18" s="44" t="s">
        <v>19</v>
      </c>
      <c r="D18" s="44" t="s">
        <v>19</v>
      </c>
      <c r="E18" s="44" t="s">
        <v>19</v>
      </c>
      <c r="F18" s="44" t="s">
        <v>19</v>
      </c>
      <c r="G18" s="44" t="s">
        <v>19</v>
      </c>
      <c r="H18" s="44" t="s">
        <v>19</v>
      </c>
      <c r="I18" s="44" t="s">
        <v>19</v>
      </c>
      <c r="J18" s="44" t="s">
        <v>19</v>
      </c>
      <c r="K18" s="44" t="s">
        <v>19</v>
      </c>
      <c r="L18" s="44" t="s">
        <v>19</v>
      </c>
      <c r="M18" s="44" t="s">
        <v>17</v>
      </c>
      <c r="N18" s="44" t="s">
        <v>17</v>
      </c>
      <c r="O18" s="44" t="s">
        <v>19</v>
      </c>
      <c r="P18" s="44" t="s">
        <v>19</v>
      </c>
      <c r="Q18" s="44" t="s">
        <v>19</v>
      </c>
      <c r="R18" s="44" t="s">
        <v>19</v>
      </c>
      <c r="S18" s="44" t="s">
        <v>19</v>
      </c>
      <c r="T18" s="44" t="s">
        <v>17</v>
      </c>
      <c r="U18" s="44" t="s">
        <v>19</v>
      </c>
      <c r="V18" s="44" t="s">
        <v>17</v>
      </c>
      <c r="W18" s="44" t="s">
        <v>17</v>
      </c>
      <c r="X18" s="45" t="s">
        <v>17</v>
      </c>
      <c r="Y18" s="44" t="s">
        <v>17</v>
      </c>
      <c r="Z18" s="44" t="s">
        <v>17</v>
      </c>
      <c r="AA18" s="44" t="s">
        <v>19</v>
      </c>
      <c r="AB18" s="44" t="s">
        <v>19</v>
      </c>
      <c r="AC18" s="44" t="s">
        <v>19</v>
      </c>
      <c r="AD18" s="44" t="s">
        <v>19</v>
      </c>
      <c r="AE18" s="44" t="s">
        <v>17</v>
      </c>
      <c r="AF18" s="44" t="s">
        <v>17</v>
      </c>
      <c r="AG18" s="44" t="s">
        <v>17</v>
      </c>
      <c r="AH18" s="45" t="s">
        <v>17</v>
      </c>
      <c r="AI18" s="44" t="s">
        <v>17</v>
      </c>
      <c r="AJ18" s="44" t="s">
        <v>17</v>
      </c>
      <c r="AK18" s="44" t="s">
        <v>19</v>
      </c>
      <c r="AL18" s="44" t="s">
        <v>19</v>
      </c>
      <c r="AM18" s="44" t="s">
        <v>17</v>
      </c>
      <c r="AN18" s="44" t="s">
        <v>17</v>
      </c>
      <c r="AO18" s="44" t="s">
        <v>17</v>
      </c>
      <c r="AP18" s="44" t="s">
        <v>17</v>
      </c>
      <c r="AQ18" s="44" t="s">
        <v>17</v>
      </c>
      <c r="AR18" s="44" t="s">
        <v>17</v>
      </c>
      <c r="AS18" s="44" t="s">
        <v>17</v>
      </c>
      <c r="AT18" s="44" t="s">
        <v>19</v>
      </c>
      <c r="AU18" s="44" t="s">
        <v>17</v>
      </c>
      <c r="AV18" s="44" t="s">
        <v>17</v>
      </c>
      <c r="AW18" s="44" t="s">
        <v>17</v>
      </c>
      <c r="AX18" s="44" t="s">
        <v>17</v>
      </c>
      <c r="AY18" s="44" t="s">
        <v>17</v>
      </c>
      <c r="AZ18" s="44" t="s">
        <v>17</v>
      </c>
      <c r="BA18" s="44" t="s">
        <v>17</v>
      </c>
      <c r="BB18" s="44" t="s">
        <v>17</v>
      </c>
      <c r="BC18" s="44" t="s">
        <v>17</v>
      </c>
      <c r="BD18" s="44" t="s">
        <v>17</v>
      </c>
      <c r="BE18" s="44" t="s">
        <v>17</v>
      </c>
      <c r="BF18" s="44" t="s">
        <v>17</v>
      </c>
      <c r="BG18" s="44" t="s">
        <v>17</v>
      </c>
      <c r="BH18" s="44" t="s">
        <v>17</v>
      </c>
      <c r="BI18" s="44" t="s">
        <v>17</v>
      </c>
      <c r="BJ18" s="44" t="s">
        <v>17</v>
      </c>
      <c r="BK18" s="44" t="s">
        <v>17</v>
      </c>
      <c r="BL18" s="44" t="s">
        <v>17</v>
      </c>
      <c r="BM18" s="44" t="s">
        <v>17</v>
      </c>
      <c r="BN18" s="44" t="s">
        <v>17</v>
      </c>
      <c r="BO18" s="44" t="s">
        <v>17</v>
      </c>
      <c r="BP18" s="44" t="s">
        <v>17</v>
      </c>
      <c r="BQ18" s="44" t="s">
        <v>17</v>
      </c>
      <c r="BR18" s="44" t="s">
        <v>17</v>
      </c>
      <c r="BS18" s="44" t="s">
        <v>17</v>
      </c>
      <c r="BT18" s="44" t="s">
        <v>17</v>
      </c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5"/>
      <c r="CG18" s="44"/>
      <c r="CH18" s="45"/>
      <c r="CI18" s="44"/>
      <c r="CJ18" s="45"/>
      <c r="CK18" s="44"/>
      <c r="CL18" s="45"/>
      <c r="CM18" s="44"/>
      <c r="CN18" s="45"/>
      <c r="CO18" s="44"/>
      <c r="CP18" s="45"/>
      <c r="CQ18" s="44"/>
      <c r="CR18" s="45"/>
      <c r="CS18" s="44"/>
      <c r="CT18" s="45"/>
      <c r="CU18" s="44"/>
      <c r="CV18" s="45"/>
      <c r="CW18" s="44"/>
      <c r="CX18" s="45"/>
      <c r="CY18" s="44"/>
      <c r="CZ18" s="45"/>
      <c r="DA18" s="44"/>
      <c r="DB18" s="45"/>
      <c r="DC18" s="44"/>
      <c r="DD18" s="45"/>
      <c r="DE18" s="44"/>
      <c r="DF18" s="45"/>
      <c r="DG18" s="44"/>
      <c r="DH18" s="45"/>
      <c r="DI18" s="44"/>
      <c r="DJ18" s="45"/>
      <c r="DK18" s="44"/>
      <c r="DL18" s="45"/>
      <c r="DM18" s="44"/>
      <c r="DN18" s="45"/>
      <c r="DO18" s="44"/>
      <c r="DP18" s="45"/>
      <c r="DQ18" s="44"/>
      <c r="DR18" s="45"/>
      <c r="DS18" s="44"/>
      <c r="DT18" s="45"/>
      <c r="DU18" s="44"/>
      <c r="DV18" s="45"/>
      <c r="DW18" s="44"/>
      <c r="DX18" s="45"/>
      <c r="DY18" s="44"/>
      <c r="DZ18" s="45"/>
      <c r="EA18" s="44"/>
      <c r="EB18" s="45"/>
      <c r="EC18" s="44"/>
      <c r="ED18" s="45"/>
      <c r="EE18" s="44"/>
      <c r="EF18" s="45"/>
      <c r="EG18" s="44"/>
      <c r="EH18" s="45"/>
      <c r="EI18" s="44"/>
      <c r="EJ18" s="45"/>
      <c r="EK18" s="45"/>
      <c r="EL18" s="45"/>
    </row>
    <row r="19" spans="1:142" x14ac:dyDescent="0.25">
      <c r="A19" s="33"/>
      <c r="B19" s="23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</row>
    <row r="20" spans="1:142" x14ac:dyDescent="0.25">
      <c r="A20" s="33"/>
      <c r="B20" s="231"/>
      <c r="C20" s="748" t="s">
        <v>161</v>
      </c>
      <c r="D20" s="748"/>
      <c r="E20" s="748"/>
      <c r="F20" s="748"/>
      <c r="G20" s="748"/>
      <c r="H20" s="748"/>
      <c r="I20" s="748"/>
      <c r="J20" s="748"/>
      <c r="K20" s="748"/>
      <c r="L20" s="748"/>
      <c r="M20" s="748"/>
      <c r="N20" s="748"/>
      <c r="O20" s="748"/>
      <c r="P20" s="748"/>
      <c r="Q20" s="748"/>
      <c r="R20" s="748"/>
      <c r="S20" s="748"/>
      <c r="T20" s="748"/>
      <c r="U20" s="748"/>
      <c r="V20" s="748"/>
      <c r="W20" s="748"/>
      <c r="X20" s="748"/>
      <c r="Y20" s="748"/>
      <c r="Z20" s="748"/>
      <c r="AA20" s="748"/>
      <c r="AB20" s="748"/>
      <c r="AC20" s="748"/>
      <c r="AD20" s="748"/>
      <c r="AE20" s="748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</row>
    <row r="21" spans="1:142" x14ac:dyDescent="0.25">
      <c r="A21" s="33"/>
      <c r="B21" s="231"/>
      <c r="C21" s="36">
        <v>42</v>
      </c>
      <c r="D21" s="36">
        <v>43</v>
      </c>
      <c r="E21" s="36">
        <v>44</v>
      </c>
      <c r="F21" s="36">
        <v>45</v>
      </c>
      <c r="G21" s="36">
        <v>46</v>
      </c>
      <c r="H21" s="36">
        <v>47</v>
      </c>
      <c r="I21" s="36">
        <v>48</v>
      </c>
      <c r="J21" s="36">
        <v>49</v>
      </c>
      <c r="K21" s="36">
        <v>50</v>
      </c>
      <c r="L21" s="36">
        <v>51</v>
      </c>
      <c r="M21" s="36">
        <v>52</v>
      </c>
      <c r="N21" s="36">
        <v>53</v>
      </c>
      <c r="O21" s="36">
        <v>54</v>
      </c>
      <c r="P21" s="36">
        <v>55</v>
      </c>
      <c r="Q21" s="36">
        <v>56</v>
      </c>
      <c r="R21" s="36">
        <v>57</v>
      </c>
      <c r="S21" s="36">
        <v>58</v>
      </c>
      <c r="T21" s="36">
        <v>59</v>
      </c>
      <c r="U21" s="36">
        <v>60</v>
      </c>
      <c r="V21" s="36">
        <v>61</v>
      </c>
      <c r="W21" s="36">
        <v>62</v>
      </c>
      <c r="X21" s="36">
        <v>63</v>
      </c>
      <c r="Y21" s="36">
        <v>64</v>
      </c>
      <c r="Z21" s="36">
        <v>65</v>
      </c>
      <c r="AA21" s="36">
        <v>66</v>
      </c>
      <c r="AB21" s="36">
        <v>67</v>
      </c>
      <c r="AC21" s="36">
        <v>68</v>
      </c>
      <c r="AD21" s="36">
        <v>69</v>
      </c>
      <c r="AE21" s="36">
        <v>70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</row>
    <row r="22" spans="1:142" x14ac:dyDescent="0.25">
      <c r="A22" s="33"/>
      <c r="B22" s="231"/>
      <c r="C22" s="40">
        <v>22</v>
      </c>
      <c r="D22" s="40">
        <v>25</v>
      </c>
      <c r="E22" s="40">
        <v>19</v>
      </c>
      <c r="F22" s="40">
        <v>20</v>
      </c>
      <c r="G22" s="40">
        <v>24</v>
      </c>
      <c r="H22" s="40">
        <v>24</v>
      </c>
      <c r="I22" s="40">
        <v>26</v>
      </c>
      <c r="J22" s="40">
        <v>20</v>
      </c>
      <c r="K22" s="40">
        <v>20</v>
      </c>
      <c r="L22" s="40">
        <v>24</v>
      </c>
      <c r="M22" s="40">
        <v>25</v>
      </c>
      <c r="N22" s="40">
        <v>21</v>
      </c>
      <c r="O22" s="40">
        <v>22</v>
      </c>
      <c r="P22" s="40">
        <v>26</v>
      </c>
      <c r="Q22" s="40">
        <v>20</v>
      </c>
      <c r="R22" s="40">
        <v>21</v>
      </c>
      <c r="S22" s="40">
        <v>21</v>
      </c>
      <c r="T22" s="40">
        <v>22</v>
      </c>
      <c r="U22" s="40">
        <v>23</v>
      </c>
      <c r="V22" s="40">
        <v>26</v>
      </c>
      <c r="W22" s="40">
        <v>26</v>
      </c>
      <c r="X22" s="40">
        <v>22</v>
      </c>
      <c r="Y22" s="40">
        <v>25</v>
      </c>
      <c r="Z22" s="40">
        <v>22</v>
      </c>
      <c r="AA22" s="40">
        <v>23</v>
      </c>
      <c r="AB22" s="40">
        <v>28</v>
      </c>
      <c r="AC22" s="40">
        <v>23</v>
      </c>
      <c r="AD22" s="40">
        <v>27</v>
      </c>
      <c r="AE22" s="40">
        <v>20</v>
      </c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</row>
    <row r="23" spans="1:142" x14ac:dyDescent="0.25">
      <c r="A23" s="33"/>
      <c r="B23" s="231"/>
      <c r="C23" s="40">
        <v>180</v>
      </c>
      <c r="D23" s="40">
        <v>180</v>
      </c>
      <c r="E23" s="40">
        <v>182</v>
      </c>
      <c r="F23" s="40">
        <v>182</v>
      </c>
      <c r="G23" s="40">
        <v>182</v>
      </c>
      <c r="H23" s="40">
        <v>182</v>
      </c>
      <c r="I23" s="40">
        <v>182</v>
      </c>
      <c r="J23" s="40">
        <v>183</v>
      </c>
      <c r="K23" s="40">
        <v>183</v>
      </c>
      <c r="L23" s="40">
        <v>183</v>
      </c>
      <c r="M23" s="40">
        <v>183</v>
      </c>
      <c r="N23" s="40">
        <v>184</v>
      </c>
      <c r="O23" s="40">
        <v>184</v>
      </c>
      <c r="P23" s="40">
        <v>184</v>
      </c>
      <c r="Q23" s="40">
        <v>185</v>
      </c>
      <c r="R23" s="40">
        <v>185</v>
      </c>
      <c r="S23" s="40">
        <v>185</v>
      </c>
      <c r="T23" s="40">
        <v>185</v>
      </c>
      <c r="U23" s="40">
        <v>185</v>
      </c>
      <c r="V23" s="40">
        <v>185</v>
      </c>
      <c r="W23" s="40">
        <v>185</v>
      </c>
      <c r="X23" s="40">
        <v>187</v>
      </c>
      <c r="Y23" s="40">
        <v>187</v>
      </c>
      <c r="Z23" s="40">
        <v>188</v>
      </c>
      <c r="AA23" s="40">
        <v>189</v>
      </c>
      <c r="AB23" s="40">
        <v>190</v>
      </c>
      <c r="AC23" s="40">
        <v>193</v>
      </c>
      <c r="AD23" s="40">
        <v>193</v>
      </c>
      <c r="AE23" s="40">
        <v>195</v>
      </c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</row>
    <row r="24" spans="1:142" x14ac:dyDescent="0.25">
      <c r="A24" s="33"/>
      <c r="B24" s="231"/>
      <c r="C24" s="40" t="s">
        <v>16</v>
      </c>
      <c r="D24" s="40" t="s">
        <v>16</v>
      </c>
      <c r="E24" s="40" t="s">
        <v>16</v>
      </c>
      <c r="F24" s="40" t="s">
        <v>16</v>
      </c>
      <c r="G24" s="40" t="s">
        <v>16</v>
      </c>
      <c r="H24" s="40" t="s">
        <v>16</v>
      </c>
      <c r="I24" s="40" t="s">
        <v>18</v>
      </c>
      <c r="J24" s="40" t="s">
        <v>16</v>
      </c>
      <c r="K24" s="40" t="s">
        <v>16</v>
      </c>
      <c r="L24" s="40" t="s">
        <v>16</v>
      </c>
      <c r="M24" s="40" t="s">
        <v>18</v>
      </c>
      <c r="N24" s="40" t="s">
        <v>16</v>
      </c>
      <c r="O24" s="40" t="s">
        <v>16</v>
      </c>
      <c r="P24" s="40" t="s">
        <v>18</v>
      </c>
      <c r="Q24" s="40" t="s">
        <v>16</v>
      </c>
      <c r="R24" s="40" t="s">
        <v>16</v>
      </c>
      <c r="S24" s="40" t="s">
        <v>16</v>
      </c>
      <c r="T24" s="40" t="s">
        <v>16</v>
      </c>
      <c r="U24" s="40" t="s">
        <v>16</v>
      </c>
      <c r="V24" s="40" t="s">
        <v>18</v>
      </c>
      <c r="W24" s="40" t="s">
        <v>16</v>
      </c>
      <c r="X24" s="40" t="s">
        <v>16</v>
      </c>
      <c r="Y24" s="40" t="s">
        <v>18</v>
      </c>
      <c r="Z24" s="40" t="s">
        <v>16</v>
      </c>
      <c r="AA24" s="40" t="s">
        <v>18</v>
      </c>
      <c r="AB24" s="40" t="s">
        <v>18</v>
      </c>
      <c r="AC24" s="40" t="s">
        <v>16</v>
      </c>
      <c r="AD24" s="40" t="s">
        <v>18</v>
      </c>
      <c r="AE24" s="40" t="s">
        <v>16</v>
      </c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</row>
    <row r="25" spans="1:142" x14ac:dyDescent="0.25">
      <c r="C25" s="44" t="s">
        <v>17</v>
      </c>
      <c r="D25" s="44" t="s">
        <v>17</v>
      </c>
      <c r="E25" s="44" t="s">
        <v>19</v>
      </c>
      <c r="F25" s="44" t="s">
        <v>17</v>
      </c>
      <c r="G25" s="44" t="s">
        <v>17</v>
      </c>
      <c r="H25" s="44" t="s">
        <v>17</v>
      </c>
      <c r="I25" s="44" t="s">
        <v>17</v>
      </c>
      <c r="J25" s="44" t="s">
        <v>17</v>
      </c>
      <c r="K25" s="44" t="s">
        <v>17</v>
      </c>
      <c r="L25" s="44" t="s">
        <v>17</v>
      </c>
      <c r="M25" s="44" t="s">
        <v>17</v>
      </c>
      <c r="N25" s="44" t="s">
        <v>17</v>
      </c>
      <c r="O25" s="44" t="s">
        <v>17</v>
      </c>
      <c r="P25" s="44" t="s">
        <v>17</v>
      </c>
      <c r="Q25" s="44" t="s">
        <v>17</v>
      </c>
      <c r="R25" s="44" t="s">
        <v>17</v>
      </c>
      <c r="S25" s="44" t="s">
        <v>17</v>
      </c>
      <c r="T25" s="44" t="s">
        <v>17</v>
      </c>
      <c r="U25" s="44" t="s">
        <v>17</v>
      </c>
      <c r="V25" s="44" t="s">
        <v>17</v>
      </c>
      <c r="W25" s="44" t="s">
        <v>17</v>
      </c>
      <c r="X25" s="44" t="s">
        <v>17</v>
      </c>
      <c r="Y25" s="44" t="s">
        <v>17</v>
      </c>
      <c r="Z25" s="44" t="s">
        <v>17</v>
      </c>
      <c r="AA25" s="44" t="s">
        <v>17</v>
      </c>
      <c r="AB25" s="44" t="s">
        <v>17</v>
      </c>
      <c r="AC25" s="44" t="s">
        <v>17</v>
      </c>
      <c r="AD25" s="44" t="s">
        <v>17</v>
      </c>
      <c r="AE25" s="44" t="s">
        <v>17</v>
      </c>
    </row>
    <row r="27" spans="1:142" x14ac:dyDescent="0.25">
      <c r="C27" s="31" t="s">
        <v>157</v>
      </c>
      <c r="D27" s="31"/>
      <c r="E27" s="31"/>
      <c r="F27" s="31"/>
      <c r="G27" s="31"/>
      <c r="H27" s="31"/>
      <c r="I27" s="31"/>
    </row>
    <row r="29" spans="1:142" x14ac:dyDescent="0.25">
      <c r="C29" s="4" t="s">
        <v>159</v>
      </c>
      <c r="D29" s="4"/>
      <c r="E29" s="4"/>
      <c r="F29" s="4">
        <f>COUNT(C31:BT31)</f>
        <v>41</v>
      </c>
      <c r="G29" s="4" t="s">
        <v>30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</row>
    <row r="30" spans="1:142" ht="18" x14ac:dyDescent="0.35">
      <c r="A30" s="34" t="s">
        <v>25</v>
      </c>
      <c r="B30" s="497" t="s">
        <v>1</v>
      </c>
      <c r="C30" s="36">
        <v>1</v>
      </c>
      <c r="D30" s="36">
        <v>2</v>
      </c>
      <c r="E30" s="36">
        <v>3</v>
      </c>
      <c r="F30" s="36">
        <v>4</v>
      </c>
      <c r="G30" s="36">
        <v>5</v>
      </c>
      <c r="H30" s="36">
        <v>6</v>
      </c>
      <c r="I30" s="36">
        <v>7</v>
      </c>
      <c r="J30" s="36">
        <v>8</v>
      </c>
      <c r="K30" s="36">
        <v>9</v>
      </c>
      <c r="L30" s="36">
        <v>10</v>
      </c>
      <c r="M30" s="36">
        <v>11</v>
      </c>
      <c r="N30" s="36">
        <v>12</v>
      </c>
      <c r="O30" s="36">
        <v>13</v>
      </c>
      <c r="P30" s="36">
        <v>14</v>
      </c>
      <c r="Q30" s="36">
        <v>15</v>
      </c>
      <c r="R30" s="36">
        <v>16</v>
      </c>
      <c r="S30" s="36">
        <v>17</v>
      </c>
      <c r="T30" s="36">
        <v>18</v>
      </c>
      <c r="U30" s="36">
        <v>19</v>
      </c>
      <c r="V30" s="36">
        <v>20</v>
      </c>
      <c r="W30" s="492">
        <v>21</v>
      </c>
      <c r="X30" s="37">
        <v>22</v>
      </c>
      <c r="Y30" s="36">
        <v>23</v>
      </c>
      <c r="Z30" s="36">
        <v>24</v>
      </c>
      <c r="AA30" s="36">
        <v>25</v>
      </c>
      <c r="AB30" s="36">
        <v>26</v>
      </c>
      <c r="AC30" s="36">
        <v>27</v>
      </c>
      <c r="AD30" s="36">
        <v>28</v>
      </c>
      <c r="AE30" s="36">
        <v>29</v>
      </c>
      <c r="AF30" s="36">
        <v>30</v>
      </c>
      <c r="AG30" s="36">
        <v>31</v>
      </c>
      <c r="AH30" s="37">
        <v>32</v>
      </c>
      <c r="AI30" s="36">
        <v>33</v>
      </c>
      <c r="AJ30" s="36">
        <v>34</v>
      </c>
      <c r="AK30" s="36">
        <v>35</v>
      </c>
      <c r="AL30" s="36">
        <v>36</v>
      </c>
      <c r="AM30" s="36">
        <v>37</v>
      </c>
      <c r="AN30" s="36">
        <v>38</v>
      </c>
      <c r="AO30" s="36">
        <v>39</v>
      </c>
      <c r="AP30" s="36">
        <v>40</v>
      </c>
      <c r="AQ30" s="36">
        <v>41</v>
      </c>
      <c r="AR30" s="37">
        <v>42</v>
      </c>
      <c r="AS30" s="36">
        <v>43</v>
      </c>
      <c r="AT30" s="36">
        <v>44</v>
      </c>
      <c r="AU30" s="36">
        <v>45</v>
      </c>
      <c r="AV30" s="36">
        <v>46</v>
      </c>
      <c r="AW30" s="36">
        <v>47</v>
      </c>
      <c r="AX30" s="36">
        <v>48</v>
      </c>
      <c r="AY30" s="36">
        <v>49</v>
      </c>
      <c r="AZ30" s="36">
        <v>50</v>
      </c>
      <c r="BA30" s="36">
        <v>51</v>
      </c>
      <c r="BB30" s="37">
        <v>52</v>
      </c>
      <c r="BC30" s="36">
        <v>53</v>
      </c>
      <c r="BD30" s="36">
        <v>54</v>
      </c>
      <c r="BE30" s="36">
        <v>55</v>
      </c>
      <c r="BF30" s="36">
        <v>56</v>
      </c>
      <c r="BG30" s="36">
        <v>57</v>
      </c>
      <c r="BH30" s="36">
        <v>58</v>
      </c>
      <c r="BI30" s="36">
        <v>59</v>
      </c>
      <c r="BJ30" s="36">
        <v>60</v>
      </c>
      <c r="BK30" s="36">
        <v>61</v>
      </c>
      <c r="BL30" s="37">
        <v>62</v>
      </c>
      <c r="BM30" s="36">
        <v>63</v>
      </c>
      <c r="BN30" s="36">
        <v>64</v>
      </c>
      <c r="BO30" s="36">
        <v>65</v>
      </c>
      <c r="BP30" s="36">
        <v>66</v>
      </c>
      <c r="BQ30" s="36">
        <v>67</v>
      </c>
      <c r="BR30" s="36">
        <v>68</v>
      </c>
      <c r="BS30" s="36">
        <v>69</v>
      </c>
      <c r="BT30" s="37">
        <v>70</v>
      </c>
    </row>
    <row r="31" spans="1:142" ht="18" x14ac:dyDescent="0.35">
      <c r="A31" s="38" t="s">
        <v>9</v>
      </c>
      <c r="B31" s="498" t="s">
        <v>2</v>
      </c>
      <c r="C31" s="40">
        <v>19</v>
      </c>
      <c r="D31" s="40">
        <v>21</v>
      </c>
      <c r="E31" s="40">
        <v>24</v>
      </c>
      <c r="F31" s="40">
        <v>22</v>
      </c>
      <c r="G31" s="40">
        <v>20</v>
      </c>
      <c r="H31" s="40">
        <v>20</v>
      </c>
      <c r="I31" s="40">
        <v>21</v>
      </c>
      <c r="J31" s="40">
        <v>26</v>
      </c>
      <c r="K31" s="40">
        <v>21</v>
      </c>
      <c r="L31" s="40">
        <v>19</v>
      </c>
      <c r="M31" s="40">
        <v>28</v>
      </c>
      <c r="N31" s="40">
        <v>20</v>
      </c>
      <c r="O31" s="40">
        <v>22</v>
      </c>
      <c r="P31" s="40">
        <v>22</v>
      </c>
      <c r="Q31" s="40">
        <v>23</v>
      </c>
      <c r="R31" s="40">
        <v>24</v>
      </c>
      <c r="S31" s="40">
        <v>24</v>
      </c>
      <c r="T31" s="40">
        <v>25</v>
      </c>
      <c r="U31" s="40">
        <v>21</v>
      </c>
      <c r="V31" s="40">
        <v>20</v>
      </c>
      <c r="W31" s="40">
        <v>22</v>
      </c>
      <c r="X31" s="41">
        <v>21</v>
      </c>
      <c r="Y31" s="40">
        <v>21</v>
      </c>
      <c r="Z31" s="40">
        <v>20</v>
      </c>
      <c r="AA31" s="40">
        <v>22</v>
      </c>
      <c r="AB31" s="40">
        <v>22</v>
      </c>
      <c r="AC31" s="40">
        <v>20</v>
      </c>
      <c r="AD31" s="40">
        <v>24</v>
      </c>
      <c r="AE31" s="40">
        <v>26</v>
      </c>
      <c r="AF31" s="40">
        <v>24</v>
      </c>
      <c r="AG31" s="40">
        <v>25</v>
      </c>
      <c r="AH31" s="41">
        <v>21</v>
      </c>
      <c r="AI31" s="40">
        <v>21</v>
      </c>
      <c r="AJ31" s="40">
        <v>21</v>
      </c>
      <c r="AK31" s="40">
        <v>22</v>
      </c>
      <c r="AL31" s="40">
        <v>22</v>
      </c>
      <c r="AM31" s="40">
        <v>25</v>
      </c>
      <c r="AN31" s="40">
        <v>23</v>
      </c>
      <c r="AO31" s="40">
        <v>28</v>
      </c>
      <c r="AP31" s="40">
        <v>23</v>
      </c>
      <c r="AQ31" s="40">
        <v>27</v>
      </c>
      <c r="AR31" s="41"/>
      <c r="AS31" s="40"/>
      <c r="AT31" s="40"/>
      <c r="AU31" s="40"/>
      <c r="AV31" s="40"/>
      <c r="AW31" s="40"/>
      <c r="AX31" s="40"/>
      <c r="AY31" s="40"/>
      <c r="AZ31" s="40"/>
      <c r="BA31" s="40"/>
      <c r="BB31" s="41"/>
      <c r="BC31" s="40"/>
      <c r="BD31" s="40"/>
      <c r="BE31" s="40"/>
      <c r="BF31" s="40"/>
      <c r="BG31" s="40"/>
      <c r="BH31" s="40"/>
      <c r="BI31" s="40"/>
      <c r="BJ31" s="40"/>
      <c r="BK31" s="40"/>
      <c r="BL31" s="41"/>
      <c r="BM31" s="40"/>
      <c r="BN31" s="40"/>
      <c r="BO31" s="40"/>
      <c r="BP31" s="40"/>
      <c r="BQ31" s="40"/>
      <c r="BR31" s="40"/>
      <c r="BS31" s="40"/>
      <c r="BT31" s="41"/>
    </row>
    <row r="32" spans="1:142" ht="18" x14ac:dyDescent="0.35">
      <c r="A32" s="38" t="s">
        <v>21</v>
      </c>
      <c r="B32" s="498" t="s">
        <v>13</v>
      </c>
      <c r="C32" s="40">
        <v>160</v>
      </c>
      <c r="D32" s="40">
        <v>160</v>
      </c>
      <c r="E32" s="40">
        <v>160</v>
      </c>
      <c r="F32" s="40">
        <v>161</v>
      </c>
      <c r="G32" s="40">
        <v>163</v>
      </c>
      <c r="H32" s="40">
        <v>163</v>
      </c>
      <c r="I32" s="40">
        <v>163</v>
      </c>
      <c r="J32" s="40">
        <v>164</v>
      </c>
      <c r="K32" s="40">
        <v>165</v>
      </c>
      <c r="L32" s="40">
        <v>168</v>
      </c>
      <c r="M32" s="40">
        <v>169</v>
      </c>
      <c r="N32" s="40">
        <v>170</v>
      </c>
      <c r="O32" s="40">
        <v>170</v>
      </c>
      <c r="P32" s="40">
        <v>170</v>
      </c>
      <c r="Q32" s="40">
        <v>170</v>
      </c>
      <c r="R32" s="40">
        <v>170</v>
      </c>
      <c r="S32" s="40">
        <v>171</v>
      </c>
      <c r="T32" s="40">
        <v>172</v>
      </c>
      <c r="U32" s="40">
        <v>173</v>
      </c>
      <c r="V32" s="40">
        <v>174</v>
      </c>
      <c r="W32" s="493">
        <v>174</v>
      </c>
      <c r="X32" s="41">
        <v>176</v>
      </c>
      <c r="Y32" s="40">
        <v>178</v>
      </c>
      <c r="Z32" s="40">
        <v>180</v>
      </c>
      <c r="AA32" s="40">
        <v>180</v>
      </c>
      <c r="AB32" s="40">
        <v>180</v>
      </c>
      <c r="AC32" s="40">
        <v>182</v>
      </c>
      <c r="AD32" s="40">
        <v>182</v>
      </c>
      <c r="AE32" s="40">
        <v>182</v>
      </c>
      <c r="AF32" s="40">
        <v>183</v>
      </c>
      <c r="AG32" s="40">
        <v>183</v>
      </c>
      <c r="AH32" s="41">
        <v>184</v>
      </c>
      <c r="AI32" s="40">
        <v>185</v>
      </c>
      <c r="AJ32" s="40">
        <v>185</v>
      </c>
      <c r="AK32" s="40">
        <v>185</v>
      </c>
      <c r="AL32" s="40">
        <v>187</v>
      </c>
      <c r="AM32" s="40">
        <v>187</v>
      </c>
      <c r="AN32" s="40">
        <v>189</v>
      </c>
      <c r="AO32" s="40">
        <v>190</v>
      </c>
      <c r="AP32" s="40">
        <v>193</v>
      </c>
      <c r="AQ32" s="40">
        <v>193</v>
      </c>
      <c r="AR32" s="41"/>
      <c r="AS32" s="40"/>
      <c r="AT32" s="40"/>
      <c r="AU32" s="40"/>
      <c r="AV32" s="40"/>
      <c r="AW32" s="40"/>
      <c r="AX32" s="40"/>
      <c r="AY32" s="40"/>
      <c r="AZ32" s="40"/>
      <c r="BA32" s="40"/>
      <c r="BB32" s="41"/>
      <c r="BC32" s="40"/>
      <c r="BD32" s="40"/>
      <c r="BE32" s="40"/>
      <c r="BF32" s="40"/>
      <c r="BG32" s="40"/>
      <c r="BH32" s="40"/>
      <c r="BI32" s="40"/>
      <c r="BJ32" s="40"/>
      <c r="BK32" s="40"/>
      <c r="BL32" s="41"/>
      <c r="BM32" s="40"/>
      <c r="BN32" s="40"/>
      <c r="BO32" s="40"/>
      <c r="BP32" s="40"/>
      <c r="BQ32" s="40"/>
      <c r="BR32" s="40"/>
      <c r="BS32" s="40"/>
      <c r="BT32" s="41"/>
    </row>
    <row r="33" spans="1:72" ht="18" x14ac:dyDescent="0.35">
      <c r="A33" s="38" t="s">
        <v>22</v>
      </c>
      <c r="B33" s="498" t="s">
        <v>14</v>
      </c>
      <c r="C33" s="40" t="s">
        <v>16</v>
      </c>
      <c r="D33" s="40" t="s">
        <v>16</v>
      </c>
      <c r="E33" s="40" t="s">
        <v>16</v>
      </c>
      <c r="F33" s="40" t="s">
        <v>16</v>
      </c>
      <c r="G33" s="40" t="s">
        <v>16</v>
      </c>
      <c r="H33" s="40" t="s">
        <v>16</v>
      </c>
      <c r="I33" s="40" t="s">
        <v>16</v>
      </c>
      <c r="J33" s="40" t="s">
        <v>18</v>
      </c>
      <c r="K33" s="40" t="s">
        <v>16</v>
      </c>
      <c r="L33" s="40" t="s">
        <v>16</v>
      </c>
      <c r="M33" s="40" t="s">
        <v>18</v>
      </c>
      <c r="N33" s="40" t="s">
        <v>16</v>
      </c>
      <c r="O33" s="40" t="s">
        <v>16</v>
      </c>
      <c r="P33" s="40" t="s">
        <v>16</v>
      </c>
      <c r="Q33" s="40" t="s">
        <v>16</v>
      </c>
      <c r="R33" s="40" t="s">
        <v>16</v>
      </c>
      <c r="S33" s="40" t="s">
        <v>16</v>
      </c>
      <c r="T33" s="40" t="s">
        <v>18</v>
      </c>
      <c r="U33" s="40" t="s">
        <v>16</v>
      </c>
      <c r="V33" s="40" t="s">
        <v>16</v>
      </c>
      <c r="W33" s="40" t="s">
        <v>16</v>
      </c>
      <c r="X33" s="41" t="s">
        <v>16</v>
      </c>
      <c r="Y33" s="40" t="s">
        <v>16</v>
      </c>
      <c r="Z33" s="40" t="s">
        <v>16</v>
      </c>
      <c r="AA33" s="40" t="s">
        <v>16</v>
      </c>
      <c r="AB33" s="40" t="s">
        <v>16</v>
      </c>
      <c r="AC33" s="40" t="s">
        <v>16</v>
      </c>
      <c r="AD33" s="40" t="s">
        <v>16</v>
      </c>
      <c r="AE33" s="40" t="s">
        <v>18</v>
      </c>
      <c r="AF33" s="40" t="s">
        <v>16</v>
      </c>
      <c r="AG33" s="40" t="s">
        <v>18</v>
      </c>
      <c r="AH33" s="41" t="s">
        <v>16</v>
      </c>
      <c r="AI33" s="40" t="s">
        <v>16</v>
      </c>
      <c r="AJ33" s="40" t="s">
        <v>16</v>
      </c>
      <c r="AK33" s="40" t="s">
        <v>16</v>
      </c>
      <c r="AL33" s="40" t="s">
        <v>16</v>
      </c>
      <c r="AM33" s="40" t="s">
        <v>18</v>
      </c>
      <c r="AN33" s="40" t="s">
        <v>18</v>
      </c>
      <c r="AO33" s="40" t="s">
        <v>18</v>
      </c>
      <c r="AP33" s="40" t="s">
        <v>16</v>
      </c>
      <c r="AQ33" s="40" t="s">
        <v>18</v>
      </c>
      <c r="AR33" s="41"/>
      <c r="AS33" s="40"/>
      <c r="AT33" s="40"/>
      <c r="AU33" s="40"/>
      <c r="AV33" s="40"/>
      <c r="AW33" s="40"/>
      <c r="AX33" s="40"/>
      <c r="AY33" s="40"/>
      <c r="AZ33" s="40"/>
      <c r="BA33" s="40"/>
      <c r="BB33" s="41"/>
      <c r="BC33" s="40"/>
      <c r="BD33" s="40"/>
      <c r="BE33" s="40"/>
      <c r="BF33" s="40"/>
      <c r="BG33" s="40"/>
      <c r="BH33" s="40"/>
      <c r="BI33" s="40"/>
      <c r="BJ33" s="40"/>
      <c r="BK33" s="40"/>
      <c r="BL33" s="41"/>
      <c r="BM33" s="40"/>
      <c r="BN33" s="40"/>
      <c r="BO33" s="40"/>
      <c r="BP33" s="40"/>
      <c r="BQ33" s="40"/>
      <c r="BR33" s="40"/>
      <c r="BS33" s="40"/>
      <c r="BT33" s="41"/>
    </row>
    <row r="34" spans="1:72" ht="18" x14ac:dyDescent="0.35">
      <c r="A34" s="42" t="s">
        <v>12</v>
      </c>
      <c r="B34" s="499" t="s">
        <v>15</v>
      </c>
      <c r="C34" s="44" t="s">
        <v>19</v>
      </c>
      <c r="D34" s="44" t="s">
        <v>19</v>
      </c>
      <c r="E34" s="44" t="s">
        <v>19</v>
      </c>
      <c r="F34" s="44" t="s">
        <v>19</v>
      </c>
      <c r="G34" s="44" t="s">
        <v>19</v>
      </c>
      <c r="H34" s="44" t="s">
        <v>19</v>
      </c>
      <c r="I34" s="44" t="s">
        <v>19</v>
      </c>
      <c r="J34" s="44" t="s">
        <v>17</v>
      </c>
      <c r="K34" s="44" t="s">
        <v>17</v>
      </c>
      <c r="L34" s="44" t="s">
        <v>19</v>
      </c>
      <c r="M34" s="44" t="s">
        <v>19</v>
      </c>
      <c r="N34" s="44" t="s">
        <v>19</v>
      </c>
      <c r="O34" s="44" t="s">
        <v>17</v>
      </c>
      <c r="P34" s="44" t="s">
        <v>19</v>
      </c>
      <c r="Q34" s="44" t="s">
        <v>17</v>
      </c>
      <c r="R34" s="44" t="s">
        <v>17</v>
      </c>
      <c r="S34" s="44" t="s">
        <v>17</v>
      </c>
      <c r="T34" s="44" t="s">
        <v>19</v>
      </c>
      <c r="U34" s="44" t="s">
        <v>19</v>
      </c>
      <c r="V34" s="44" t="s">
        <v>19</v>
      </c>
      <c r="W34" s="44" t="s">
        <v>17</v>
      </c>
      <c r="X34" s="45" t="s">
        <v>17</v>
      </c>
      <c r="Y34" s="44" t="s">
        <v>17</v>
      </c>
      <c r="Z34" s="44" t="s">
        <v>17</v>
      </c>
      <c r="AA34" s="44" t="s">
        <v>17</v>
      </c>
      <c r="AB34" s="44" t="s">
        <v>17</v>
      </c>
      <c r="AC34" s="44" t="s">
        <v>17</v>
      </c>
      <c r="AD34" s="44" t="s">
        <v>17</v>
      </c>
      <c r="AE34" s="44" t="s">
        <v>17</v>
      </c>
      <c r="AF34" s="44" t="s">
        <v>17</v>
      </c>
      <c r="AG34" s="44" t="s">
        <v>17</v>
      </c>
      <c r="AH34" s="45" t="s">
        <v>17</v>
      </c>
      <c r="AI34" s="44" t="s">
        <v>17</v>
      </c>
      <c r="AJ34" s="44" t="s">
        <v>17</v>
      </c>
      <c r="AK34" s="44" t="s">
        <v>17</v>
      </c>
      <c r="AL34" s="44" t="s">
        <v>17</v>
      </c>
      <c r="AM34" s="44" t="s">
        <v>17</v>
      </c>
      <c r="AN34" s="44" t="s">
        <v>17</v>
      </c>
      <c r="AO34" s="44" t="s">
        <v>17</v>
      </c>
      <c r="AP34" s="44" t="s">
        <v>17</v>
      </c>
      <c r="AQ34" s="44" t="s">
        <v>17</v>
      </c>
      <c r="AR34" s="45"/>
      <c r="AS34" s="44"/>
      <c r="AT34" s="44"/>
      <c r="AU34" s="44"/>
      <c r="AV34" s="44"/>
      <c r="AW34" s="44"/>
      <c r="AX34" s="44"/>
      <c r="AY34" s="44"/>
      <c r="AZ34" s="44"/>
      <c r="BA34" s="44"/>
      <c r="BB34" s="45"/>
      <c r="BC34" s="44"/>
      <c r="BD34" s="44"/>
      <c r="BE34" s="44"/>
      <c r="BF34" s="44"/>
      <c r="BG34" s="44"/>
      <c r="BH34" s="44"/>
      <c r="BI34" s="44"/>
      <c r="BJ34" s="44"/>
      <c r="BK34" s="44"/>
      <c r="BL34" s="45"/>
      <c r="BM34" s="44"/>
      <c r="BN34" s="44"/>
      <c r="BO34" s="44"/>
      <c r="BP34" s="44"/>
      <c r="BQ34" s="44"/>
      <c r="BR34" s="44"/>
      <c r="BS34" s="44"/>
      <c r="BT34" s="45"/>
    </row>
    <row r="37" spans="1:72" x14ac:dyDescent="0.25">
      <c r="C37" s="5" t="s">
        <v>158</v>
      </c>
      <c r="D37" s="5"/>
      <c r="E37" s="5"/>
      <c r="F37" s="5">
        <f>COUNT(C39:AE39)</f>
        <v>29</v>
      </c>
      <c r="G37" s="5" t="s">
        <v>30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</row>
    <row r="38" spans="1:72" ht="18" x14ac:dyDescent="0.35">
      <c r="A38" s="34" t="s">
        <v>25</v>
      </c>
      <c r="B38" s="497" t="s">
        <v>1</v>
      </c>
      <c r="C38" s="36">
        <v>1</v>
      </c>
      <c r="D38" s="36">
        <v>2</v>
      </c>
      <c r="E38" s="36">
        <v>3</v>
      </c>
      <c r="F38" s="36">
        <v>4</v>
      </c>
      <c r="G38" s="36">
        <v>5</v>
      </c>
      <c r="H38" s="36">
        <v>6</v>
      </c>
      <c r="I38" s="36">
        <v>7</v>
      </c>
      <c r="J38" s="36">
        <v>8</v>
      </c>
      <c r="K38" s="36">
        <v>9</v>
      </c>
      <c r="L38" s="36">
        <v>10</v>
      </c>
      <c r="M38" s="36">
        <v>11</v>
      </c>
      <c r="N38" s="36">
        <v>12</v>
      </c>
      <c r="O38" s="36">
        <v>13</v>
      </c>
      <c r="P38" s="36">
        <v>14</v>
      </c>
      <c r="Q38" s="492">
        <v>15</v>
      </c>
      <c r="R38" s="36">
        <v>16</v>
      </c>
      <c r="S38" s="36">
        <v>17</v>
      </c>
      <c r="T38" s="36">
        <v>18</v>
      </c>
      <c r="U38" s="36">
        <v>19</v>
      </c>
      <c r="V38" s="36">
        <v>20</v>
      </c>
      <c r="W38" s="36">
        <v>21</v>
      </c>
      <c r="X38" s="36">
        <v>22</v>
      </c>
      <c r="Y38" s="36">
        <v>23</v>
      </c>
      <c r="Z38" s="36">
        <v>24</v>
      </c>
      <c r="AA38" s="36">
        <v>25</v>
      </c>
      <c r="AB38" s="36">
        <v>26</v>
      </c>
      <c r="AC38" s="36">
        <v>27</v>
      </c>
      <c r="AD38" s="36">
        <v>28</v>
      </c>
      <c r="AE38" s="36">
        <v>29</v>
      </c>
    </row>
    <row r="39" spans="1:72" ht="18" x14ac:dyDescent="0.35">
      <c r="A39" s="38" t="s">
        <v>9</v>
      </c>
      <c r="B39" s="498" t="s">
        <v>2</v>
      </c>
      <c r="C39" s="40">
        <v>23</v>
      </c>
      <c r="D39" s="40">
        <v>22</v>
      </c>
      <c r="E39" s="40">
        <v>23</v>
      </c>
      <c r="F39" s="40">
        <v>22</v>
      </c>
      <c r="G39" s="40">
        <v>22</v>
      </c>
      <c r="H39" s="40">
        <v>22</v>
      </c>
      <c r="I39" s="40">
        <v>25</v>
      </c>
      <c r="J39" s="40">
        <v>21</v>
      </c>
      <c r="K39" s="40">
        <v>26</v>
      </c>
      <c r="L39" s="40">
        <v>21</v>
      </c>
      <c r="M39" s="40">
        <v>23</v>
      </c>
      <c r="N39" s="40">
        <v>23</v>
      </c>
      <c r="O39" s="40">
        <v>25</v>
      </c>
      <c r="P39" s="40">
        <v>25</v>
      </c>
      <c r="Q39" s="40">
        <v>23</v>
      </c>
      <c r="R39" s="40">
        <v>25</v>
      </c>
      <c r="S39" s="40">
        <v>25</v>
      </c>
      <c r="T39" s="40">
        <v>19</v>
      </c>
      <c r="U39" s="40">
        <v>24</v>
      </c>
      <c r="V39" s="40">
        <v>20</v>
      </c>
      <c r="W39" s="40">
        <v>20</v>
      </c>
      <c r="X39" s="40">
        <v>22</v>
      </c>
      <c r="Y39" s="40">
        <v>26</v>
      </c>
      <c r="Z39" s="40">
        <v>20</v>
      </c>
      <c r="AA39" s="40">
        <v>23</v>
      </c>
      <c r="AB39" s="40">
        <v>26</v>
      </c>
      <c r="AC39" s="40">
        <v>26</v>
      </c>
      <c r="AD39" s="40">
        <v>22</v>
      </c>
      <c r="AE39" s="40">
        <v>20</v>
      </c>
    </row>
    <row r="40" spans="1:72" ht="18" x14ac:dyDescent="0.35">
      <c r="A40" s="38" t="s">
        <v>21</v>
      </c>
      <c r="B40" s="498" t="s">
        <v>13</v>
      </c>
      <c r="C40" s="40">
        <v>155</v>
      </c>
      <c r="D40" s="40">
        <v>160</v>
      </c>
      <c r="E40" s="40">
        <v>160</v>
      </c>
      <c r="F40" s="40">
        <v>165</v>
      </c>
      <c r="G40" s="40">
        <v>165</v>
      </c>
      <c r="H40" s="40">
        <v>170</v>
      </c>
      <c r="I40" s="40">
        <v>170</v>
      </c>
      <c r="J40" s="40">
        <v>174</v>
      </c>
      <c r="K40" s="40">
        <v>175</v>
      </c>
      <c r="L40" s="40">
        <v>176</v>
      </c>
      <c r="M40" s="40">
        <v>176</v>
      </c>
      <c r="N40" s="40">
        <v>176</v>
      </c>
      <c r="O40" s="40">
        <v>176</v>
      </c>
      <c r="P40" s="40">
        <v>176</v>
      </c>
      <c r="Q40" s="493">
        <v>178</v>
      </c>
      <c r="R40" s="40">
        <v>178</v>
      </c>
      <c r="S40" s="40">
        <v>180</v>
      </c>
      <c r="T40" s="40">
        <v>182</v>
      </c>
      <c r="U40" s="40">
        <v>182</v>
      </c>
      <c r="V40" s="40">
        <v>183</v>
      </c>
      <c r="W40" s="40">
        <v>183</v>
      </c>
      <c r="X40" s="40">
        <v>184</v>
      </c>
      <c r="Y40" s="40">
        <v>184</v>
      </c>
      <c r="Z40" s="40">
        <v>185</v>
      </c>
      <c r="AA40" s="40">
        <v>185</v>
      </c>
      <c r="AB40" s="40">
        <v>185</v>
      </c>
      <c r="AC40" s="40">
        <v>185</v>
      </c>
      <c r="AD40" s="40">
        <v>188</v>
      </c>
      <c r="AE40" s="40">
        <v>195</v>
      </c>
    </row>
    <row r="41" spans="1:72" ht="18" x14ac:dyDescent="0.35">
      <c r="A41" s="38" t="s">
        <v>22</v>
      </c>
      <c r="B41" s="498" t="s">
        <v>14</v>
      </c>
      <c r="C41" s="40" t="s">
        <v>18</v>
      </c>
      <c r="D41" s="40" t="s">
        <v>16</v>
      </c>
      <c r="E41" s="40" t="s">
        <v>16</v>
      </c>
      <c r="F41" s="40" t="s">
        <v>16</v>
      </c>
      <c r="G41" s="40" t="s">
        <v>16</v>
      </c>
      <c r="H41" s="40" t="s">
        <v>16</v>
      </c>
      <c r="I41" s="40" t="s">
        <v>16</v>
      </c>
      <c r="J41" s="40" t="s">
        <v>16</v>
      </c>
      <c r="K41" s="40" t="s">
        <v>18</v>
      </c>
      <c r="L41" s="40" t="s">
        <v>16</v>
      </c>
      <c r="M41" s="40" t="s">
        <v>18</v>
      </c>
      <c r="N41" s="40" t="s">
        <v>18</v>
      </c>
      <c r="O41" s="40" t="s">
        <v>18</v>
      </c>
      <c r="P41" s="40" t="s">
        <v>18</v>
      </c>
      <c r="Q41" s="40" t="s">
        <v>16</v>
      </c>
      <c r="R41" s="40" t="s">
        <v>16</v>
      </c>
      <c r="S41" s="40" t="s">
        <v>16</v>
      </c>
      <c r="T41" s="40" t="s">
        <v>16</v>
      </c>
      <c r="U41" s="40" t="s">
        <v>16</v>
      </c>
      <c r="V41" s="40" t="s">
        <v>16</v>
      </c>
      <c r="W41" s="40" t="s">
        <v>16</v>
      </c>
      <c r="X41" s="40" t="s">
        <v>16</v>
      </c>
      <c r="Y41" s="40" t="s">
        <v>18</v>
      </c>
      <c r="Z41" s="40" t="s">
        <v>16</v>
      </c>
      <c r="AA41" s="40" t="s">
        <v>16</v>
      </c>
      <c r="AB41" s="40" t="s">
        <v>18</v>
      </c>
      <c r="AC41" s="40" t="s">
        <v>16</v>
      </c>
      <c r="AD41" s="40" t="s">
        <v>16</v>
      </c>
      <c r="AE41" s="40" t="s">
        <v>16</v>
      </c>
    </row>
    <row r="42" spans="1:72" ht="18" x14ac:dyDescent="0.35">
      <c r="A42" s="42" t="s">
        <v>12</v>
      </c>
      <c r="B42" s="499" t="s">
        <v>15</v>
      </c>
      <c r="C42" s="44" t="s">
        <v>19</v>
      </c>
      <c r="D42" s="44" t="s">
        <v>19</v>
      </c>
      <c r="E42" s="44" t="s">
        <v>19</v>
      </c>
      <c r="F42" s="44" t="s">
        <v>19</v>
      </c>
      <c r="G42" s="44" t="s">
        <v>19</v>
      </c>
      <c r="H42" s="44" t="s">
        <v>17</v>
      </c>
      <c r="I42" s="44" t="s">
        <v>17</v>
      </c>
      <c r="J42" s="44" t="s">
        <v>19</v>
      </c>
      <c r="K42" s="44" t="s">
        <v>17</v>
      </c>
      <c r="L42" s="44" t="s">
        <v>17</v>
      </c>
      <c r="M42" s="44" t="s">
        <v>17</v>
      </c>
      <c r="N42" s="44" t="s">
        <v>17</v>
      </c>
      <c r="O42" s="44" t="s">
        <v>19</v>
      </c>
      <c r="P42" s="44" t="s">
        <v>19</v>
      </c>
      <c r="Q42" s="44" t="s">
        <v>17</v>
      </c>
      <c r="R42" s="44" t="s">
        <v>17</v>
      </c>
      <c r="S42" s="44" t="s">
        <v>17</v>
      </c>
      <c r="T42" s="44" t="s">
        <v>19</v>
      </c>
      <c r="U42" s="44" t="s">
        <v>17</v>
      </c>
      <c r="V42" s="44" t="s">
        <v>17</v>
      </c>
      <c r="W42" s="44" t="s">
        <v>17</v>
      </c>
      <c r="X42" s="44" t="s">
        <v>17</v>
      </c>
      <c r="Y42" s="44" t="s">
        <v>17</v>
      </c>
      <c r="Z42" s="44" t="s">
        <v>17</v>
      </c>
      <c r="AA42" s="44" t="s">
        <v>17</v>
      </c>
      <c r="AB42" s="44" t="s">
        <v>17</v>
      </c>
      <c r="AC42" s="44" t="s">
        <v>17</v>
      </c>
      <c r="AD42" s="44" t="s">
        <v>17</v>
      </c>
      <c r="AE42" s="44" t="s">
        <v>17</v>
      </c>
    </row>
    <row r="48" spans="1:72" x14ac:dyDescent="0.25">
      <c r="G48" s="40">
        <v>23</v>
      </c>
      <c r="H48" s="40">
        <v>155</v>
      </c>
      <c r="I48" s="40" t="s">
        <v>18</v>
      </c>
      <c r="J48" s="44" t="s">
        <v>19</v>
      </c>
      <c r="O48" s="40">
        <v>19</v>
      </c>
      <c r="P48" s="40">
        <v>160</v>
      </c>
      <c r="Q48" s="40" t="s">
        <v>16</v>
      </c>
      <c r="R48" s="44" t="s">
        <v>19</v>
      </c>
      <c r="U48" s="40">
        <v>23</v>
      </c>
      <c r="V48" s="40">
        <v>155</v>
      </c>
      <c r="W48" s="40" t="s">
        <v>18</v>
      </c>
      <c r="X48" s="44" t="s">
        <v>19</v>
      </c>
    </row>
    <row r="49" spans="7:24" x14ac:dyDescent="0.25">
      <c r="G49" s="40">
        <v>19</v>
      </c>
      <c r="H49" s="40">
        <v>160</v>
      </c>
      <c r="I49" s="40" t="s">
        <v>16</v>
      </c>
      <c r="J49" s="44" t="s">
        <v>19</v>
      </c>
      <c r="O49" s="40">
        <v>21</v>
      </c>
      <c r="P49" s="40">
        <v>160</v>
      </c>
      <c r="Q49" s="40" t="s">
        <v>16</v>
      </c>
      <c r="R49" s="44" t="s">
        <v>19</v>
      </c>
      <c r="U49" s="40">
        <v>22</v>
      </c>
      <c r="V49" s="40">
        <v>160</v>
      </c>
      <c r="W49" s="40" t="s">
        <v>16</v>
      </c>
      <c r="X49" s="44" t="s">
        <v>19</v>
      </c>
    </row>
    <row r="50" spans="7:24" x14ac:dyDescent="0.25">
      <c r="G50" s="40">
        <v>21</v>
      </c>
      <c r="H50" s="40">
        <v>160</v>
      </c>
      <c r="I50" s="40" t="s">
        <v>16</v>
      </c>
      <c r="J50" s="44" t="s">
        <v>19</v>
      </c>
      <c r="O50" s="40">
        <v>24</v>
      </c>
      <c r="P50" s="40">
        <v>160</v>
      </c>
      <c r="Q50" s="40" t="s">
        <v>16</v>
      </c>
      <c r="R50" s="44" t="s">
        <v>19</v>
      </c>
      <c r="U50" s="40">
        <v>23</v>
      </c>
      <c r="V50" s="40">
        <v>160</v>
      </c>
      <c r="W50" s="40" t="s">
        <v>16</v>
      </c>
      <c r="X50" s="44" t="s">
        <v>19</v>
      </c>
    </row>
    <row r="51" spans="7:24" x14ac:dyDescent="0.25">
      <c r="G51" s="40">
        <v>22</v>
      </c>
      <c r="H51" s="40">
        <v>160</v>
      </c>
      <c r="I51" s="40" t="s">
        <v>16</v>
      </c>
      <c r="J51" s="44" t="s">
        <v>19</v>
      </c>
      <c r="O51" s="40">
        <v>22</v>
      </c>
      <c r="P51" s="40">
        <v>161</v>
      </c>
      <c r="Q51" s="40" t="s">
        <v>16</v>
      </c>
      <c r="R51" s="44" t="s">
        <v>19</v>
      </c>
      <c r="U51" s="40">
        <v>22</v>
      </c>
      <c r="V51" s="40">
        <v>165</v>
      </c>
      <c r="W51" s="40" t="s">
        <v>16</v>
      </c>
      <c r="X51" s="44" t="s">
        <v>19</v>
      </c>
    </row>
    <row r="52" spans="7:24" x14ac:dyDescent="0.25">
      <c r="G52" s="40">
        <v>23</v>
      </c>
      <c r="H52" s="40">
        <v>160</v>
      </c>
      <c r="I52" s="40" t="s">
        <v>16</v>
      </c>
      <c r="J52" s="44" t="s">
        <v>19</v>
      </c>
      <c r="O52" s="40">
        <v>20</v>
      </c>
      <c r="P52" s="40">
        <v>163</v>
      </c>
      <c r="Q52" s="40" t="s">
        <v>16</v>
      </c>
      <c r="R52" s="44" t="s">
        <v>19</v>
      </c>
      <c r="U52" s="40">
        <v>22</v>
      </c>
      <c r="V52" s="40">
        <v>165</v>
      </c>
      <c r="W52" s="40" t="s">
        <v>16</v>
      </c>
      <c r="X52" s="44" t="s">
        <v>19</v>
      </c>
    </row>
    <row r="53" spans="7:24" x14ac:dyDescent="0.25">
      <c r="G53" s="40">
        <v>24</v>
      </c>
      <c r="H53" s="40">
        <v>160</v>
      </c>
      <c r="I53" s="40" t="s">
        <v>16</v>
      </c>
      <c r="J53" s="44" t="s">
        <v>19</v>
      </c>
      <c r="O53" s="40">
        <v>20</v>
      </c>
      <c r="P53" s="40">
        <v>163</v>
      </c>
      <c r="Q53" s="40" t="s">
        <v>16</v>
      </c>
      <c r="R53" s="44" t="s">
        <v>19</v>
      </c>
      <c r="U53" s="40">
        <v>22</v>
      </c>
      <c r="V53" s="40">
        <v>170</v>
      </c>
      <c r="W53" s="40" t="s">
        <v>16</v>
      </c>
      <c r="X53" s="44" t="s">
        <v>17</v>
      </c>
    </row>
    <row r="54" spans="7:24" x14ac:dyDescent="0.25">
      <c r="G54" s="40">
        <v>22</v>
      </c>
      <c r="H54" s="40">
        <v>161</v>
      </c>
      <c r="I54" s="40" t="s">
        <v>16</v>
      </c>
      <c r="J54" s="44" t="s">
        <v>19</v>
      </c>
      <c r="O54" s="40">
        <v>21</v>
      </c>
      <c r="P54" s="40">
        <v>163</v>
      </c>
      <c r="Q54" s="40" t="s">
        <v>16</v>
      </c>
      <c r="R54" s="44" t="s">
        <v>19</v>
      </c>
      <c r="U54" s="40">
        <v>25</v>
      </c>
      <c r="V54" s="40">
        <v>170</v>
      </c>
      <c r="W54" s="40" t="s">
        <v>16</v>
      </c>
      <c r="X54" s="44" t="s">
        <v>17</v>
      </c>
    </row>
    <row r="55" spans="7:24" x14ac:dyDescent="0.25">
      <c r="G55" s="40">
        <v>20</v>
      </c>
      <c r="H55" s="40">
        <v>163</v>
      </c>
      <c r="I55" s="40" t="s">
        <v>16</v>
      </c>
      <c r="J55" s="44" t="s">
        <v>19</v>
      </c>
      <c r="O55" s="40">
        <v>26</v>
      </c>
      <c r="P55" s="40">
        <v>164</v>
      </c>
      <c r="Q55" s="40" t="s">
        <v>18</v>
      </c>
      <c r="R55" s="44" t="s">
        <v>17</v>
      </c>
      <c r="U55" s="40">
        <v>21</v>
      </c>
      <c r="V55" s="40">
        <v>174</v>
      </c>
      <c r="W55" s="40" t="s">
        <v>16</v>
      </c>
      <c r="X55" s="44" t="s">
        <v>19</v>
      </c>
    </row>
    <row r="56" spans="7:24" x14ac:dyDescent="0.25">
      <c r="G56" s="40">
        <v>20</v>
      </c>
      <c r="H56" s="40">
        <v>163</v>
      </c>
      <c r="I56" s="40" t="s">
        <v>16</v>
      </c>
      <c r="J56" s="44" t="s">
        <v>19</v>
      </c>
      <c r="O56" s="40">
        <v>21</v>
      </c>
      <c r="P56" s="40">
        <v>165</v>
      </c>
      <c r="Q56" s="40" t="s">
        <v>16</v>
      </c>
      <c r="R56" s="44" t="s">
        <v>17</v>
      </c>
      <c r="U56" s="40">
        <v>26</v>
      </c>
      <c r="V56" s="40">
        <v>175</v>
      </c>
      <c r="W56" s="40" t="s">
        <v>18</v>
      </c>
      <c r="X56" s="44" t="s">
        <v>17</v>
      </c>
    </row>
    <row r="57" spans="7:24" x14ac:dyDescent="0.25">
      <c r="G57" s="40">
        <v>21</v>
      </c>
      <c r="H57" s="40">
        <v>163</v>
      </c>
      <c r="I57" s="40" t="s">
        <v>16</v>
      </c>
      <c r="J57" s="44" t="s">
        <v>19</v>
      </c>
      <c r="O57" s="40">
        <v>19</v>
      </c>
      <c r="P57" s="40">
        <v>168</v>
      </c>
      <c r="Q57" s="40" t="s">
        <v>16</v>
      </c>
      <c r="R57" s="44" t="s">
        <v>19</v>
      </c>
      <c r="U57" s="40">
        <v>21</v>
      </c>
      <c r="V57" s="40">
        <v>176</v>
      </c>
      <c r="W57" s="40" t="s">
        <v>16</v>
      </c>
      <c r="X57" s="44" t="s">
        <v>17</v>
      </c>
    </row>
    <row r="58" spans="7:24" x14ac:dyDescent="0.25">
      <c r="G58" s="40">
        <v>26</v>
      </c>
      <c r="H58" s="40">
        <v>164</v>
      </c>
      <c r="I58" s="40" t="s">
        <v>18</v>
      </c>
      <c r="J58" s="44" t="s">
        <v>17</v>
      </c>
      <c r="O58" s="40">
        <v>28</v>
      </c>
      <c r="P58" s="40">
        <v>169</v>
      </c>
      <c r="Q58" s="40" t="s">
        <v>18</v>
      </c>
      <c r="R58" s="44" t="s">
        <v>19</v>
      </c>
      <c r="U58" s="40">
        <v>23</v>
      </c>
      <c r="V58" s="40">
        <v>176</v>
      </c>
      <c r="W58" s="40" t="s">
        <v>18</v>
      </c>
      <c r="X58" s="44" t="s">
        <v>17</v>
      </c>
    </row>
    <row r="59" spans="7:24" x14ac:dyDescent="0.25">
      <c r="G59" s="40">
        <v>21</v>
      </c>
      <c r="H59" s="40">
        <v>165</v>
      </c>
      <c r="I59" s="40" t="s">
        <v>16</v>
      </c>
      <c r="J59" s="44" t="s">
        <v>17</v>
      </c>
      <c r="O59" s="40">
        <v>20</v>
      </c>
      <c r="P59" s="40">
        <v>170</v>
      </c>
      <c r="Q59" s="40" t="s">
        <v>16</v>
      </c>
      <c r="R59" s="44" t="s">
        <v>19</v>
      </c>
      <c r="U59" s="40">
        <v>23</v>
      </c>
      <c r="V59" s="40">
        <v>176</v>
      </c>
      <c r="W59" s="40" t="s">
        <v>18</v>
      </c>
      <c r="X59" s="44" t="s">
        <v>17</v>
      </c>
    </row>
    <row r="60" spans="7:24" x14ac:dyDescent="0.25">
      <c r="G60" s="40">
        <v>22</v>
      </c>
      <c r="H60" s="40">
        <v>165</v>
      </c>
      <c r="I60" s="40" t="s">
        <v>16</v>
      </c>
      <c r="J60" s="44" t="s">
        <v>19</v>
      </c>
      <c r="O60" s="40">
        <v>22</v>
      </c>
      <c r="P60" s="40">
        <v>170</v>
      </c>
      <c r="Q60" s="40" t="s">
        <v>16</v>
      </c>
      <c r="R60" s="44" t="s">
        <v>17</v>
      </c>
      <c r="U60" s="40">
        <v>25</v>
      </c>
      <c r="V60" s="40">
        <v>176</v>
      </c>
      <c r="W60" s="40" t="s">
        <v>18</v>
      </c>
      <c r="X60" s="44" t="s">
        <v>19</v>
      </c>
    </row>
    <row r="61" spans="7:24" x14ac:dyDescent="0.25">
      <c r="G61" s="40">
        <v>22</v>
      </c>
      <c r="H61" s="40">
        <v>165</v>
      </c>
      <c r="I61" s="40" t="s">
        <v>16</v>
      </c>
      <c r="J61" s="44" t="s">
        <v>19</v>
      </c>
      <c r="O61" s="40">
        <v>22</v>
      </c>
      <c r="P61" s="40">
        <v>170</v>
      </c>
      <c r="Q61" s="40" t="s">
        <v>16</v>
      </c>
      <c r="R61" s="44" t="s">
        <v>19</v>
      </c>
      <c r="U61" s="40">
        <v>25</v>
      </c>
      <c r="V61" s="40">
        <v>176</v>
      </c>
      <c r="W61" s="40" t="s">
        <v>18</v>
      </c>
      <c r="X61" s="44" t="s">
        <v>19</v>
      </c>
    </row>
    <row r="62" spans="7:24" x14ac:dyDescent="0.25">
      <c r="G62" s="40">
        <v>19</v>
      </c>
      <c r="H62" s="40">
        <v>168</v>
      </c>
      <c r="I62" s="40" t="s">
        <v>16</v>
      </c>
      <c r="J62" s="44" t="s">
        <v>19</v>
      </c>
      <c r="O62" s="40">
        <v>23</v>
      </c>
      <c r="P62" s="40">
        <v>170</v>
      </c>
      <c r="Q62" s="40" t="s">
        <v>16</v>
      </c>
      <c r="R62" s="44" t="s">
        <v>17</v>
      </c>
      <c r="U62" s="40">
        <v>23</v>
      </c>
      <c r="V62" s="40">
        <v>178</v>
      </c>
      <c r="W62" s="40" t="s">
        <v>16</v>
      </c>
      <c r="X62" s="44" t="s">
        <v>17</v>
      </c>
    </row>
    <row r="63" spans="7:24" x14ac:dyDescent="0.25">
      <c r="G63" s="40">
        <v>28</v>
      </c>
      <c r="H63" s="40">
        <v>169</v>
      </c>
      <c r="I63" s="40" t="s">
        <v>18</v>
      </c>
      <c r="J63" s="44" t="s">
        <v>19</v>
      </c>
      <c r="O63" s="40">
        <v>24</v>
      </c>
      <c r="P63" s="40">
        <v>170</v>
      </c>
      <c r="Q63" s="40" t="s">
        <v>16</v>
      </c>
      <c r="R63" s="44" t="s">
        <v>17</v>
      </c>
      <c r="U63" s="40">
        <v>25</v>
      </c>
      <c r="V63" s="40">
        <v>178</v>
      </c>
      <c r="W63" s="40" t="s">
        <v>16</v>
      </c>
      <c r="X63" s="44" t="s">
        <v>17</v>
      </c>
    </row>
    <row r="64" spans="7:24" x14ac:dyDescent="0.25">
      <c r="G64" s="40">
        <v>20</v>
      </c>
      <c r="H64" s="40">
        <v>170</v>
      </c>
      <c r="I64" s="40" t="s">
        <v>16</v>
      </c>
      <c r="J64" s="44" t="s">
        <v>19</v>
      </c>
      <c r="O64" s="40">
        <v>24</v>
      </c>
      <c r="P64" s="40">
        <v>171</v>
      </c>
      <c r="Q64" s="40" t="s">
        <v>16</v>
      </c>
      <c r="R64" s="44" t="s">
        <v>17</v>
      </c>
      <c r="U64" s="40">
        <v>25</v>
      </c>
      <c r="V64" s="40">
        <v>180</v>
      </c>
      <c r="W64" s="40" t="s">
        <v>16</v>
      </c>
      <c r="X64" s="44" t="s">
        <v>17</v>
      </c>
    </row>
    <row r="65" spans="7:24" x14ac:dyDescent="0.25">
      <c r="G65" s="40">
        <v>22</v>
      </c>
      <c r="H65" s="40">
        <v>170</v>
      </c>
      <c r="I65" s="40" t="s">
        <v>16</v>
      </c>
      <c r="J65" s="44" t="s">
        <v>17</v>
      </c>
      <c r="O65" s="40">
        <v>25</v>
      </c>
      <c r="P65" s="40">
        <v>172</v>
      </c>
      <c r="Q65" s="40" t="s">
        <v>18</v>
      </c>
      <c r="R65" s="44" t="s">
        <v>19</v>
      </c>
      <c r="U65" s="40">
        <v>19</v>
      </c>
      <c r="V65" s="40">
        <v>182</v>
      </c>
      <c r="W65" s="40" t="s">
        <v>16</v>
      </c>
      <c r="X65" s="44" t="s">
        <v>19</v>
      </c>
    </row>
    <row r="66" spans="7:24" x14ac:dyDescent="0.25">
      <c r="G66" s="40">
        <v>22</v>
      </c>
      <c r="H66" s="40">
        <v>170</v>
      </c>
      <c r="I66" s="40" t="s">
        <v>16</v>
      </c>
      <c r="J66" s="44" t="s">
        <v>19</v>
      </c>
      <c r="O66" s="40">
        <v>21</v>
      </c>
      <c r="P66" s="40">
        <v>173</v>
      </c>
      <c r="Q66" s="40" t="s">
        <v>16</v>
      </c>
      <c r="R66" s="44" t="s">
        <v>19</v>
      </c>
      <c r="U66" s="40">
        <v>24</v>
      </c>
      <c r="V66" s="40">
        <v>182</v>
      </c>
      <c r="W66" s="40" t="s">
        <v>16</v>
      </c>
      <c r="X66" s="44" t="s">
        <v>17</v>
      </c>
    </row>
    <row r="67" spans="7:24" x14ac:dyDescent="0.25">
      <c r="G67" s="40">
        <v>22</v>
      </c>
      <c r="H67" s="40">
        <v>170</v>
      </c>
      <c r="I67" s="40" t="s">
        <v>16</v>
      </c>
      <c r="J67" s="44" t="s">
        <v>17</v>
      </c>
      <c r="O67" s="40">
        <v>20</v>
      </c>
      <c r="P67" s="40">
        <v>174</v>
      </c>
      <c r="Q67" s="40" t="s">
        <v>16</v>
      </c>
      <c r="R67" s="44" t="s">
        <v>19</v>
      </c>
      <c r="U67" s="40">
        <v>20</v>
      </c>
      <c r="V67" s="40">
        <v>183</v>
      </c>
      <c r="W67" s="40" t="s">
        <v>16</v>
      </c>
      <c r="X67" s="44" t="s">
        <v>17</v>
      </c>
    </row>
    <row r="68" spans="7:24" x14ac:dyDescent="0.25">
      <c r="G68" s="40">
        <v>23</v>
      </c>
      <c r="H68" s="40">
        <v>170</v>
      </c>
      <c r="I68" s="40" t="s">
        <v>16</v>
      </c>
      <c r="J68" s="44" t="s">
        <v>17</v>
      </c>
      <c r="O68" s="40">
        <v>22</v>
      </c>
      <c r="P68" s="40">
        <v>174</v>
      </c>
      <c r="Q68" s="40" t="s">
        <v>16</v>
      </c>
      <c r="R68" s="44" t="s">
        <v>17</v>
      </c>
      <c r="U68" s="40">
        <v>20</v>
      </c>
      <c r="V68" s="40">
        <v>183</v>
      </c>
      <c r="W68" s="40" t="s">
        <v>16</v>
      </c>
      <c r="X68" s="44" t="s">
        <v>17</v>
      </c>
    </row>
    <row r="69" spans="7:24" x14ac:dyDescent="0.25">
      <c r="G69" s="41">
        <v>24</v>
      </c>
      <c r="H69" s="41">
        <v>170</v>
      </c>
      <c r="I69" s="41" t="s">
        <v>16</v>
      </c>
      <c r="J69" s="45" t="s">
        <v>17</v>
      </c>
      <c r="O69" s="41">
        <v>21</v>
      </c>
      <c r="P69" s="41">
        <v>176</v>
      </c>
      <c r="Q69" s="41" t="s">
        <v>16</v>
      </c>
      <c r="R69" s="45" t="s">
        <v>17</v>
      </c>
      <c r="U69" s="40">
        <v>22</v>
      </c>
      <c r="V69" s="40">
        <v>184</v>
      </c>
      <c r="W69" s="40" t="s">
        <v>16</v>
      </c>
      <c r="X69" s="44" t="s">
        <v>17</v>
      </c>
    </row>
    <row r="70" spans="7:24" x14ac:dyDescent="0.25">
      <c r="G70" s="40">
        <v>25</v>
      </c>
      <c r="H70" s="40">
        <v>170</v>
      </c>
      <c r="I70" s="40" t="s">
        <v>16</v>
      </c>
      <c r="J70" s="44" t="s">
        <v>17</v>
      </c>
      <c r="O70" s="40">
        <v>21</v>
      </c>
      <c r="P70" s="40">
        <v>178</v>
      </c>
      <c r="Q70" s="40" t="s">
        <v>16</v>
      </c>
      <c r="R70" s="44" t="s">
        <v>17</v>
      </c>
      <c r="U70" s="40">
        <v>26</v>
      </c>
      <c r="V70" s="40">
        <v>184</v>
      </c>
      <c r="W70" s="40" t="s">
        <v>18</v>
      </c>
      <c r="X70" s="44" t="s">
        <v>17</v>
      </c>
    </row>
    <row r="71" spans="7:24" x14ac:dyDescent="0.25">
      <c r="G71" s="40">
        <v>24</v>
      </c>
      <c r="H71" s="40">
        <v>171</v>
      </c>
      <c r="I71" s="40" t="s">
        <v>16</v>
      </c>
      <c r="J71" s="44" t="s">
        <v>17</v>
      </c>
      <c r="O71" s="40">
        <v>20</v>
      </c>
      <c r="P71" s="40">
        <v>180</v>
      </c>
      <c r="Q71" s="40" t="s">
        <v>16</v>
      </c>
      <c r="R71" s="44" t="s">
        <v>17</v>
      </c>
      <c r="U71" s="40">
        <v>20</v>
      </c>
      <c r="V71" s="40">
        <v>185</v>
      </c>
      <c r="W71" s="40" t="s">
        <v>16</v>
      </c>
      <c r="X71" s="44" t="s">
        <v>17</v>
      </c>
    </row>
    <row r="72" spans="7:24" x14ac:dyDescent="0.25">
      <c r="G72" s="40">
        <v>25</v>
      </c>
      <c r="H72" s="40">
        <v>172</v>
      </c>
      <c r="I72" s="40" t="s">
        <v>18</v>
      </c>
      <c r="J72" s="44" t="s">
        <v>19</v>
      </c>
      <c r="O72" s="40">
        <v>22</v>
      </c>
      <c r="P72" s="40">
        <v>180</v>
      </c>
      <c r="Q72" s="40" t="s">
        <v>16</v>
      </c>
      <c r="R72" s="44" t="s">
        <v>17</v>
      </c>
      <c r="U72" s="40">
        <v>23</v>
      </c>
      <c r="V72" s="40">
        <v>185</v>
      </c>
      <c r="W72" s="40" t="s">
        <v>16</v>
      </c>
      <c r="X72" s="44" t="s">
        <v>17</v>
      </c>
    </row>
    <row r="73" spans="7:24" x14ac:dyDescent="0.25">
      <c r="G73" s="40">
        <v>21</v>
      </c>
      <c r="H73" s="40">
        <v>173</v>
      </c>
      <c r="I73" s="40" t="s">
        <v>16</v>
      </c>
      <c r="J73" s="44" t="s">
        <v>19</v>
      </c>
      <c r="O73" s="40">
        <v>22</v>
      </c>
      <c r="P73" s="40">
        <v>180</v>
      </c>
      <c r="Q73" s="40" t="s">
        <v>16</v>
      </c>
      <c r="R73" s="44" t="s">
        <v>17</v>
      </c>
      <c r="U73" s="40">
        <v>26</v>
      </c>
      <c r="V73" s="40">
        <v>185</v>
      </c>
      <c r="W73" s="40" t="s">
        <v>18</v>
      </c>
      <c r="X73" s="44" t="s">
        <v>17</v>
      </c>
    </row>
    <row r="74" spans="7:24" x14ac:dyDescent="0.25">
      <c r="G74" s="40">
        <v>20</v>
      </c>
      <c r="H74" s="40">
        <v>174</v>
      </c>
      <c r="I74" s="40" t="s">
        <v>16</v>
      </c>
      <c r="J74" s="44" t="s">
        <v>19</v>
      </c>
      <c r="O74" s="40">
        <v>20</v>
      </c>
      <c r="P74" s="40">
        <v>182</v>
      </c>
      <c r="Q74" s="40" t="s">
        <v>16</v>
      </c>
      <c r="R74" s="44" t="s">
        <v>17</v>
      </c>
      <c r="U74" s="40">
        <v>26</v>
      </c>
      <c r="V74" s="40">
        <v>185</v>
      </c>
      <c r="W74" s="40" t="s">
        <v>16</v>
      </c>
      <c r="X74" s="44" t="s">
        <v>17</v>
      </c>
    </row>
    <row r="75" spans="7:24" x14ac:dyDescent="0.25">
      <c r="G75" s="40">
        <v>21</v>
      </c>
      <c r="H75" s="40">
        <v>174</v>
      </c>
      <c r="I75" s="40" t="s">
        <v>16</v>
      </c>
      <c r="J75" s="44" t="s">
        <v>19</v>
      </c>
      <c r="O75" s="40">
        <v>24</v>
      </c>
      <c r="P75" s="40">
        <v>182</v>
      </c>
      <c r="Q75" s="40" t="s">
        <v>16</v>
      </c>
      <c r="R75" s="44" t="s">
        <v>17</v>
      </c>
      <c r="U75" s="40">
        <v>22</v>
      </c>
      <c r="V75" s="40">
        <v>188</v>
      </c>
      <c r="W75" s="40" t="s">
        <v>16</v>
      </c>
      <c r="X75" s="44" t="s">
        <v>17</v>
      </c>
    </row>
    <row r="76" spans="7:24" x14ac:dyDescent="0.25">
      <c r="G76" s="40">
        <v>22</v>
      </c>
      <c r="H76" s="40">
        <v>174</v>
      </c>
      <c r="I76" s="40" t="s">
        <v>16</v>
      </c>
      <c r="J76" s="44" t="s">
        <v>17</v>
      </c>
      <c r="O76" s="40">
        <v>26</v>
      </c>
      <c r="P76" s="40">
        <v>182</v>
      </c>
      <c r="Q76" s="40" t="s">
        <v>18</v>
      </c>
      <c r="R76" s="44" t="s">
        <v>17</v>
      </c>
      <c r="U76" s="40">
        <v>20</v>
      </c>
      <c r="V76" s="40">
        <v>195</v>
      </c>
      <c r="W76" s="40" t="s">
        <v>16</v>
      </c>
      <c r="X76" s="44" t="s">
        <v>17</v>
      </c>
    </row>
    <row r="77" spans="7:24" x14ac:dyDescent="0.25">
      <c r="G77" s="40">
        <v>26</v>
      </c>
      <c r="H77" s="40">
        <v>175</v>
      </c>
      <c r="I77" s="40" t="s">
        <v>18</v>
      </c>
      <c r="J77" s="44" t="s">
        <v>17</v>
      </c>
      <c r="O77" s="40">
        <v>24</v>
      </c>
      <c r="P77" s="40">
        <v>183</v>
      </c>
      <c r="Q77" s="40" t="s">
        <v>16</v>
      </c>
      <c r="R77" s="44" t="s">
        <v>17</v>
      </c>
    </row>
    <row r="78" spans="7:24" x14ac:dyDescent="0.25">
      <c r="G78" s="40">
        <v>21</v>
      </c>
      <c r="H78" s="40">
        <v>176</v>
      </c>
      <c r="I78" s="40" t="s">
        <v>16</v>
      </c>
      <c r="J78" s="44" t="s">
        <v>17</v>
      </c>
      <c r="O78" s="40">
        <v>25</v>
      </c>
      <c r="P78" s="40">
        <v>183</v>
      </c>
      <c r="Q78" s="40" t="s">
        <v>18</v>
      </c>
      <c r="R78" s="44" t="s">
        <v>17</v>
      </c>
    </row>
    <row r="79" spans="7:24" x14ac:dyDescent="0.25">
      <c r="G79" s="41">
        <v>21</v>
      </c>
      <c r="H79" s="41">
        <v>176</v>
      </c>
      <c r="I79" s="41" t="s">
        <v>16</v>
      </c>
      <c r="J79" s="45" t="s">
        <v>17</v>
      </c>
      <c r="O79" s="41">
        <v>21</v>
      </c>
      <c r="P79" s="41">
        <v>184</v>
      </c>
      <c r="Q79" s="41" t="s">
        <v>16</v>
      </c>
      <c r="R79" s="45" t="s">
        <v>17</v>
      </c>
    </row>
    <row r="80" spans="7:24" x14ac:dyDescent="0.25">
      <c r="G80" s="40">
        <v>23</v>
      </c>
      <c r="H80" s="40">
        <v>176</v>
      </c>
      <c r="I80" s="40" t="s">
        <v>18</v>
      </c>
      <c r="J80" s="44" t="s">
        <v>17</v>
      </c>
      <c r="O80" s="40">
        <v>21</v>
      </c>
      <c r="P80" s="40">
        <v>185</v>
      </c>
      <c r="Q80" s="40" t="s">
        <v>16</v>
      </c>
      <c r="R80" s="44" t="s">
        <v>17</v>
      </c>
    </row>
    <row r="81" spans="7:18" x14ac:dyDescent="0.25">
      <c r="G81" s="40">
        <v>23</v>
      </c>
      <c r="H81" s="40">
        <v>176</v>
      </c>
      <c r="I81" s="40" t="s">
        <v>18</v>
      </c>
      <c r="J81" s="44" t="s">
        <v>17</v>
      </c>
      <c r="O81" s="40">
        <v>21</v>
      </c>
      <c r="P81" s="40">
        <v>185</v>
      </c>
      <c r="Q81" s="40" t="s">
        <v>16</v>
      </c>
      <c r="R81" s="44" t="s">
        <v>17</v>
      </c>
    </row>
    <row r="82" spans="7:18" x14ac:dyDescent="0.25">
      <c r="G82" s="40">
        <v>25</v>
      </c>
      <c r="H82" s="40">
        <v>176</v>
      </c>
      <c r="I82" s="40" t="s">
        <v>18</v>
      </c>
      <c r="J82" s="44" t="s">
        <v>19</v>
      </c>
      <c r="O82" s="40">
        <v>22</v>
      </c>
      <c r="P82" s="40">
        <v>185</v>
      </c>
      <c r="Q82" s="40" t="s">
        <v>16</v>
      </c>
      <c r="R82" s="44" t="s">
        <v>17</v>
      </c>
    </row>
    <row r="83" spans="7:18" x14ac:dyDescent="0.25">
      <c r="G83" s="40">
        <v>25</v>
      </c>
      <c r="H83" s="40">
        <v>176</v>
      </c>
      <c r="I83" s="40" t="s">
        <v>18</v>
      </c>
      <c r="J83" s="44" t="s">
        <v>19</v>
      </c>
      <c r="O83" s="40">
        <v>22</v>
      </c>
      <c r="P83" s="40">
        <v>187</v>
      </c>
      <c r="Q83" s="40" t="s">
        <v>16</v>
      </c>
      <c r="R83" s="44" t="s">
        <v>17</v>
      </c>
    </row>
    <row r="84" spans="7:18" x14ac:dyDescent="0.25">
      <c r="G84" s="40">
        <v>21</v>
      </c>
      <c r="H84" s="40">
        <v>178</v>
      </c>
      <c r="I84" s="40" t="s">
        <v>16</v>
      </c>
      <c r="J84" s="44" t="s">
        <v>17</v>
      </c>
      <c r="O84" s="40">
        <v>25</v>
      </c>
      <c r="P84" s="40">
        <v>187</v>
      </c>
      <c r="Q84" s="40" t="s">
        <v>18</v>
      </c>
      <c r="R84" s="44" t="s">
        <v>17</v>
      </c>
    </row>
    <row r="85" spans="7:18" x14ac:dyDescent="0.25">
      <c r="G85" s="40">
        <v>23</v>
      </c>
      <c r="H85" s="40">
        <v>178</v>
      </c>
      <c r="I85" s="40" t="s">
        <v>16</v>
      </c>
      <c r="J85" s="44" t="s">
        <v>17</v>
      </c>
      <c r="O85" s="40">
        <v>23</v>
      </c>
      <c r="P85" s="40">
        <v>189</v>
      </c>
      <c r="Q85" s="40" t="s">
        <v>18</v>
      </c>
      <c r="R85" s="44" t="s">
        <v>17</v>
      </c>
    </row>
    <row r="86" spans="7:18" x14ac:dyDescent="0.25">
      <c r="G86" s="40">
        <v>25</v>
      </c>
      <c r="H86" s="40">
        <v>178</v>
      </c>
      <c r="I86" s="40" t="s">
        <v>16</v>
      </c>
      <c r="J86" s="44" t="s">
        <v>17</v>
      </c>
      <c r="O86" s="40">
        <v>28</v>
      </c>
      <c r="P86" s="40">
        <v>190</v>
      </c>
      <c r="Q86" s="40" t="s">
        <v>18</v>
      </c>
      <c r="R86" s="44" t="s">
        <v>17</v>
      </c>
    </row>
    <row r="87" spans="7:18" x14ac:dyDescent="0.25">
      <c r="G87" s="40">
        <v>20</v>
      </c>
      <c r="H87" s="40">
        <v>180</v>
      </c>
      <c r="I87" s="40" t="s">
        <v>16</v>
      </c>
      <c r="J87" s="44" t="s">
        <v>17</v>
      </c>
      <c r="O87" s="40">
        <v>23</v>
      </c>
      <c r="P87" s="40">
        <v>193</v>
      </c>
      <c r="Q87" s="40" t="s">
        <v>16</v>
      </c>
      <c r="R87" s="44" t="s">
        <v>17</v>
      </c>
    </row>
    <row r="88" spans="7:18" x14ac:dyDescent="0.25">
      <c r="G88" s="40">
        <v>22</v>
      </c>
      <c r="H88" s="40">
        <v>180</v>
      </c>
      <c r="I88" s="40" t="s">
        <v>16</v>
      </c>
      <c r="J88" s="44" t="s">
        <v>17</v>
      </c>
      <c r="O88" s="40">
        <v>27</v>
      </c>
      <c r="P88" s="40">
        <v>193</v>
      </c>
      <c r="Q88" s="40" t="s">
        <v>18</v>
      </c>
      <c r="R88" s="44" t="s">
        <v>17</v>
      </c>
    </row>
    <row r="89" spans="7:18" x14ac:dyDescent="0.25">
      <c r="G89" s="40">
        <v>22</v>
      </c>
      <c r="H89" s="40">
        <v>180</v>
      </c>
      <c r="I89" s="40" t="s">
        <v>16</v>
      </c>
      <c r="J89" s="44" t="s">
        <v>17</v>
      </c>
    </row>
    <row r="90" spans="7:18" x14ac:dyDescent="0.25">
      <c r="G90" s="40">
        <v>25</v>
      </c>
      <c r="H90" s="40">
        <v>180</v>
      </c>
      <c r="I90" s="40" t="s">
        <v>16</v>
      </c>
      <c r="J90" s="44" t="s">
        <v>17</v>
      </c>
    </row>
    <row r="91" spans="7:18" x14ac:dyDescent="0.25">
      <c r="G91" s="40">
        <v>19</v>
      </c>
      <c r="H91" s="40">
        <v>182</v>
      </c>
      <c r="I91" s="40" t="s">
        <v>16</v>
      </c>
      <c r="J91" s="44" t="s">
        <v>19</v>
      </c>
    </row>
    <row r="92" spans="7:18" x14ac:dyDescent="0.25">
      <c r="G92" s="40">
        <v>20</v>
      </c>
      <c r="H92" s="40">
        <v>182</v>
      </c>
      <c r="I92" s="40" t="s">
        <v>16</v>
      </c>
      <c r="J92" s="44" t="s">
        <v>17</v>
      </c>
    </row>
    <row r="93" spans="7:18" x14ac:dyDescent="0.25">
      <c r="G93" s="40">
        <v>24</v>
      </c>
      <c r="H93" s="40">
        <v>182</v>
      </c>
      <c r="I93" s="40" t="s">
        <v>16</v>
      </c>
      <c r="J93" s="44" t="s">
        <v>17</v>
      </c>
    </row>
    <row r="94" spans="7:18" x14ac:dyDescent="0.25">
      <c r="G94" s="40">
        <v>24</v>
      </c>
      <c r="H94" s="40">
        <v>182</v>
      </c>
      <c r="I94" s="40" t="s">
        <v>16</v>
      </c>
      <c r="J94" s="44" t="s">
        <v>17</v>
      </c>
    </row>
    <row r="95" spans="7:18" x14ac:dyDescent="0.25">
      <c r="G95" s="40">
        <v>26</v>
      </c>
      <c r="H95" s="40">
        <v>182</v>
      </c>
      <c r="I95" s="40" t="s">
        <v>18</v>
      </c>
      <c r="J95" s="44" t="s">
        <v>17</v>
      </c>
    </row>
    <row r="96" spans="7:18" x14ac:dyDescent="0.25">
      <c r="G96" s="40">
        <v>20</v>
      </c>
      <c r="H96" s="40">
        <v>183</v>
      </c>
      <c r="I96" s="40" t="s">
        <v>16</v>
      </c>
      <c r="J96" s="44" t="s">
        <v>17</v>
      </c>
    </row>
    <row r="97" spans="7:10" x14ac:dyDescent="0.25">
      <c r="G97" s="40">
        <v>20</v>
      </c>
      <c r="H97" s="40">
        <v>183</v>
      </c>
      <c r="I97" s="40" t="s">
        <v>16</v>
      </c>
      <c r="J97" s="44" t="s">
        <v>17</v>
      </c>
    </row>
    <row r="98" spans="7:10" x14ac:dyDescent="0.25">
      <c r="G98" s="40">
        <v>24</v>
      </c>
      <c r="H98" s="40">
        <v>183</v>
      </c>
      <c r="I98" s="40" t="s">
        <v>16</v>
      </c>
      <c r="J98" s="44" t="s">
        <v>17</v>
      </c>
    </row>
    <row r="99" spans="7:10" x14ac:dyDescent="0.25">
      <c r="G99" s="40">
        <v>25</v>
      </c>
      <c r="H99" s="40">
        <v>183</v>
      </c>
      <c r="I99" s="40" t="s">
        <v>18</v>
      </c>
      <c r="J99" s="44" t="s">
        <v>17</v>
      </c>
    </row>
    <row r="100" spans="7:10" x14ac:dyDescent="0.25">
      <c r="G100" s="40">
        <v>21</v>
      </c>
      <c r="H100" s="40">
        <v>184</v>
      </c>
      <c r="I100" s="40" t="s">
        <v>16</v>
      </c>
      <c r="J100" s="44" t="s">
        <v>17</v>
      </c>
    </row>
    <row r="101" spans="7:10" x14ac:dyDescent="0.25">
      <c r="G101" s="40">
        <v>22</v>
      </c>
      <c r="H101" s="40">
        <v>184</v>
      </c>
      <c r="I101" s="40" t="s">
        <v>16</v>
      </c>
      <c r="J101" s="44" t="s">
        <v>17</v>
      </c>
    </row>
    <row r="102" spans="7:10" x14ac:dyDescent="0.25">
      <c r="G102" s="40">
        <v>26</v>
      </c>
      <c r="H102" s="40">
        <v>184</v>
      </c>
      <c r="I102" s="40" t="s">
        <v>18</v>
      </c>
      <c r="J102" s="44" t="s">
        <v>17</v>
      </c>
    </row>
    <row r="103" spans="7:10" x14ac:dyDescent="0.25">
      <c r="G103" s="40">
        <v>20</v>
      </c>
      <c r="H103" s="40">
        <v>185</v>
      </c>
      <c r="I103" s="40" t="s">
        <v>16</v>
      </c>
      <c r="J103" s="44" t="s">
        <v>17</v>
      </c>
    </row>
    <row r="104" spans="7:10" x14ac:dyDescent="0.25">
      <c r="G104" s="40">
        <v>21</v>
      </c>
      <c r="H104" s="40">
        <v>185</v>
      </c>
      <c r="I104" s="40" t="s">
        <v>16</v>
      </c>
      <c r="J104" s="44" t="s">
        <v>17</v>
      </c>
    </row>
    <row r="105" spans="7:10" x14ac:dyDescent="0.25">
      <c r="G105" s="40">
        <v>21</v>
      </c>
      <c r="H105" s="40">
        <v>185</v>
      </c>
      <c r="I105" s="40" t="s">
        <v>16</v>
      </c>
      <c r="J105" s="44" t="s">
        <v>17</v>
      </c>
    </row>
    <row r="106" spans="7:10" x14ac:dyDescent="0.25">
      <c r="G106" s="40">
        <v>22</v>
      </c>
      <c r="H106" s="40">
        <v>185</v>
      </c>
      <c r="I106" s="40" t="s">
        <v>16</v>
      </c>
      <c r="J106" s="44" t="s">
        <v>17</v>
      </c>
    </row>
    <row r="107" spans="7:10" x14ac:dyDescent="0.25">
      <c r="G107" s="40">
        <v>23</v>
      </c>
      <c r="H107" s="40">
        <v>185</v>
      </c>
      <c r="I107" s="40" t="s">
        <v>16</v>
      </c>
      <c r="J107" s="44" t="s">
        <v>17</v>
      </c>
    </row>
    <row r="108" spans="7:10" x14ac:dyDescent="0.25">
      <c r="G108" s="40">
        <v>26</v>
      </c>
      <c r="H108" s="40">
        <v>185</v>
      </c>
      <c r="I108" s="40" t="s">
        <v>18</v>
      </c>
      <c r="J108" s="44" t="s">
        <v>17</v>
      </c>
    </row>
    <row r="109" spans="7:10" x14ac:dyDescent="0.25">
      <c r="G109" s="40">
        <v>26</v>
      </c>
      <c r="H109" s="40">
        <v>185</v>
      </c>
      <c r="I109" s="40" t="s">
        <v>16</v>
      </c>
      <c r="J109" s="44" t="s">
        <v>17</v>
      </c>
    </row>
    <row r="110" spans="7:10" x14ac:dyDescent="0.25">
      <c r="G110" s="40">
        <v>22</v>
      </c>
      <c r="H110" s="40">
        <v>187</v>
      </c>
      <c r="I110" s="40" t="s">
        <v>16</v>
      </c>
      <c r="J110" s="44" t="s">
        <v>17</v>
      </c>
    </row>
    <row r="111" spans="7:10" x14ac:dyDescent="0.25">
      <c r="G111" s="40">
        <v>25</v>
      </c>
      <c r="H111" s="40">
        <v>187</v>
      </c>
      <c r="I111" s="40" t="s">
        <v>18</v>
      </c>
      <c r="J111" s="44" t="s">
        <v>17</v>
      </c>
    </row>
    <row r="112" spans="7:10" x14ac:dyDescent="0.25">
      <c r="G112" s="40">
        <v>22</v>
      </c>
      <c r="H112" s="40">
        <v>188</v>
      </c>
      <c r="I112" s="40" t="s">
        <v>16</v>
      </c>
      <c r="J112" s="44" t="s">
        <v>17</v>
      </c>
    </row>
    <row r="113" spans="7:10" x14ac:dyDescent="0.25">
      <c r="G113" s="40">
        <v>23</v>
      </c>
      <c r="H113" s="40">
        <v>189</v>
      </c>
      <c r="I113" s="40" t="s">
        <v>18</v>
      </c>
      <c r="J113" s="44" t="s">
        <v>17</v>
      </c>
    </row>
    <row r="114" spans="7:10" x14ac:dyDescent="0.25">
      <c r="G114" s="40">
        <v>28</v>
      </c>
      <c r="H114" s="40">
        <v>190</v>
      </c>
      <c r="I114" s="40" t="s">
        <v>18</v>
      </c>
      <c r="J114" s="44" t="s">
        <v>17</v>
      </c>
    </row>
    <row r="115" spans="7:10" x14ac:dyDescent="0.25">
      <c r="G115" s="40">
        <v>23</v>
      </c>
      <c r="H115" s="40">
        <v>193</v>
      </c>
      <c r="I115" s="40" t="s">
        <v>16</v>
      </c>
      <c r="J115" s="44" t="s">
        <v>17</v>
      </c>
    </row>
    <row r="116" spans="7:10" x14ac:dyDescent="0.25">
      <c r="G116" s="40">
        <v>27</v>
      </c>
      <c r="H116" s="40">
        <v>193</v>
      </c>
      <c r="I116" s="40" t="s">
        <v>18</v>
      </c>
      <c r="J116" s="44" t="s">
        <v>17</v>
      </c>
    </row>
    <row r="117" spans="7:10" x14ac:dyDescent="0.25">
      <c r="G117" s="40">
        <v>20</v>
      </c>
      <c r="H117" s="40">
        <v>195</v>
      </c>
      <c r="I117" s="40" t="s">
        <v>16</v>
      </c>
      <c r="J117" s="44" t="s">
        <v>17</v>
      </c>
    </row>
  </sheetData>
  <sortState ref="U48:X76">
    <sortCondition ref="V48:V76"/>
  </sortState>
  <mergeCells count="3">
    <mergeCell ref="C13:AQ13"/>
    <mergeCell ref="AR13:BT13"/>
    <mergeCell ref="C20:AE20"/>
  </mergeCells>
  <pageMargins left="0" right="0" top="0" bottom="0" header="0" footer="0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L117"/>
  <sheetViews>
    <sheetView topLeftCell="A8" zoomScale="90" zoomScaleNormal="90" workbookViewId="0">
      <selection activeCell="A12" sqref="A12:AQ42"/>
    </sheetView>
  </sheetViews>
  <sheetFormatPr baseColWidth="10" defaultColWidth="11.42578125" defaultRowHeight="15" x14ac:dyDescent="0.25"/>
  <cols>
    <col min="1" max="1" width="11.42578125" style="8"/>
    <col min="2" max="2" width="6.140625" style="152" customWidth="1"/>
    <col min="3" max="142" width="4.7109375" style="8" customWidth="1"/>
    <col min="143" max="16384" width="11.42578125" style="8"/>
  </cols>
  <sheetData>
    <row r="1" spans="1:142" ht="15.75" thickBot="1" x14ac:dyDescent="0.3"/>
    <row r="2" spans="1:142" ht="15.75" thickTop="1" x14ac:dyDescent="0.25">
      <c r="B2" s="494"/>
      <c r="C2" s="67" t="s">
        <v>10</v>
      </c>
      <c r="D2" s="68"/>
      <c r="E2" s="68"/>
      <c r="F2" s="68"/>
      <c r="G2" s="69"/>
      <c r="H2" s="69"/>
      <c r="I2" s="69"/>
      <c r="J2" s="69"/>
      <c r="K2" s="69"/>
      <c r="L2" s="69"/>
      <c r="M2" s="69"/>
      <c r="N2" s="69"/>
      <c r="O2" s="70"/>
    </row>
    <row r="3" spans="1:142" x14ac:dyDescent="0.25">
      <c r="B3" s="495"/>
      <c r="C3" s="72" t="s">
        <v>5</v>
      </c>
      <c r="D3" s="72"/>
      <c r="E3" s="72"/>
      <c r="F3" s="72"/>
      <c r="G3" s="72"/>
      <c r="H3" s="72" t="s">
        <v>156</v>
      </c>
      <c r="I3" s="72"/>
      <c r="J3" s="72"/>
      <c r="K3" s="72"/>
      <c r="L3" s="72"/>
      <c r="M3" s="72"/>
      <c r="N3" s="72"/>
      <c r="O3" s="73"/>
    </row>
    <row r="4" spans="1:142" x14ac:dyDescent="0.25">
      <c r="B4" s="495"/>
      <c r="C4" s="72" t="s">
        <v>6</v>
      </c>
      <c r="D4" s="72"/>
      <c r="E4" s="72"/>
      <c r="F4" s="72"/>
      <c r="G4" s="72"/>
      <c r="H4" s="72" t="s">
        <v>24</v>
      </c>
      <c r="I4" s="72"/>
      <c r="J4" s="72"/>
      <c r="K4" s="72"/>
      <c r="L4" s="72"/>
      <c r="M4" s="72"/>
      <c r="N4" s="72"/>
      <c r="O4" s="73"/>
    </row>
    <row r="5" spans="1:142" ht="15.75" thickBot="1" x14ac:dyDescent="0.3">
      <c r="B5" s="496"/>
      <c r="C5" s="75" t="s">
        <v>7</v>
      </c>
      <c r="D5" s="75"/>
      <c r="E5" s="75"/>
      <c r="F5" s="75"/>
      <c r="G5" s="75"/>
      <c r="H5" s="75" t="s">
        <v>20</v>
      </c>
      <c r="I5" s="75"/>
      <c r="J5" s="75"/>
      <c r="K5" s="75"/>
      <c r="L5" s="75"/>
      <c r="M5" s="75"/>
      <c r="N5" s="75"/>
      <c r="O5" s="76"/>
    </row>
    <row r="6" spans="1:142" ht="15.75" thickTop="1" x14ac:dyDescent="0.25"/>
    <row r="7" spans="1:142" x14ac:dyDescent="0.25">
      <c r="C7" s="31" t="s">
        <v>8</v>
      </c>
      <c r="D7" s="32"/>
      <c r="H7" s="31" t="s">
        <v>61</v>
      </c>
      <c r="N7" s="8" t="s">
        <v>35</v>
      </c>
      <c r="O7" s="8">
        <f>MIN(C15:CF15)</f>
        <v>19</v>
      </c>
      <c r="Q7" s="8" t="s">
        <v>36</v>
      </c>
      <c r="R7" s="8">
        <f>MAX(C15:CF15)</f>
        <v>28</v>
      </c>
    </row>
    <row r="8" spans="1:142" x14ac:dyDescent="0.25">
      <c r="C8" s="31"/>
      <c r="D8" s="32"/>
      <c r="H8" s="31" t="s">
        <v>62</v>
      </c>
      <c r="N8" s="8" t="s">
        <v>35</v>
      </c>
      <c r="O8" s="8">
        <f>MIN(C16:CF16)</f>
        <v>155</v>
      </c>
      <c r="Q8" s="8" t="s">
        <v>36</v>
      </c>
      <c r="R8" s="8">
        <f>MAX(C16:CF16)</f>
        <v>195</v>
      </c>
    </row>
    <row r="9" spans="1:142" x14ac:dyDescent="0.25">
      <c r="C9" s="31"/>
      <c r="D9" s="32"/>
      <c r="H9" s="31" t="s">
        <v>63</v>
      </c>
    </row>
    <row r="10" spans="1:142" x14ac:dyDescent="0.25">
      <c r="C10" s="31"/>
      <c r="D10" s="32"/>
      <c r="H10" s="31" t="s">
        <v>60</v>
      </c>
    </row>
    <row r="12" spans="1:142" x14ac:dyDescent="0.25">
      <c r="C12" s="1" t="s">
        <v>0</v>
      </c>
      <c r="D12" s="2"/>
      <c r="E12" s="2"/>
      <c r="F12" s="1">
        <f>COUNT(C15:CF15)</f>
        <v>70</v>
      </c>
      <c r="G12" s="1" t="s">
        <v>30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142" x14ac:dyDescent="0.25">
      <c r="B13" s="231"/>
      <c r="C13" s="747" t="s">
        <v>160</v>
      </c>
      <c r="D13" s="747"/>
      <c r="E13" s="747"/>
      <c r="F13" s="747"/>
      <c r="G13" s="747"/>
      <c r="H13" s="747"/>
      <c r="I13" s="747"/>
      <c r="J13" s="747"/>
      <c r="K13" s="747"/>
      <c r="L13" s="747"/>
      <c r="M13" s="747"/>
      <c r="N13" s="747"/>
      <c r="O13" s="747"/>
      <c r="P13" s="747"/>
      <c r="Q13" s="747"/>
      <c r="R13" s="747"/>
      <c r="S13" s="747"/>
      <c r="T13" s="747"/>
      <c r="U13" s="747"/>
      <c r="V13" s="747"/>
      <c r="W13" s="747"/>
      <c r="X13" s="747"/>
      <c r="Y13" s="747"/>
      <c r="Z13" s="747"/>
      <c r="AA13" s="747"/>
      <c r="AB13" s="747"/>
      <c r="AC13" s="747"/>
      <c r="AD13" s="747"/>
      <c r="AE13" s="747"/>
      <c r="AF13" s="747"/>
      <c r="AG13" s="747"/>
      <c r="AH13" s="747"/>
      <c r="AI13" s="747"/>
      <c r="AJ13" s="747"/>
      <c r="AK13" s="747"/>
      <c r="AL13" s="747"/>
      <c r="AM13" s="747"/>
      <c r="AN13" s="747"/>
      <c r="AO13" s="747"/>
      <c r="AP13" s="747"/>
      <c r="AQ13" s="747"/>
      <c r="AR13" s="748" t="s">
        <v>161</v>
      </c>
      <c r="AS13" s="748"/>
      <c r="AT13" s="748"/>
      <c r="AU13" s="748"/>
      <c r="AV13" s="748"/>
      <c r="AW13" s="748"/>
      <c r="AX13" s="748"/>
      <c r="AY13" s="748"/>
      <c r="AZ13" s="748"/>
      <c r="BA13" s="748"/>
      <c r="BB13" s="748"/>
      <c r="BC13" s="748"/>
      <c r="BD13" s="748"/>
      <c r="BE13" s="748"/>
      <c r="BF13" s="748"/>
      <c r="BG13" s="748"/>
      <c r="BH13" s="748"/>
      <c r="BI13" s="748"/>
      <c r="BJ13" s="748"/>
      <c r="BK13" s="748"/>
      <c r="BL13" s="748"/>
      <c r="BM13" s="748"/>
      <c r="BN13" s="748"/>
      <c r="BO13" s="748"/>
      <c r="BP13" s="748"/>
      <c r="BQ13" s="748"/>
      <c r="BR13" s="748"/>
      <c r="BS13" s="748"/>
      <c r="BT13" s="748"/>
      <c r="BU13" s="435"/>
      <c r="BV13" s="435"/>
      <c r="BW13" s="435"/>
      <c r="BX13" s="435"/>
      <c r="BY13" s="435"/>
      <c r="BZ13" s="435"/>
      <c r="CA13" s="435"/>
      <c r="CB13" s="435"/>
      <c r="CC13" s="435"/>
      <c r="CD13" s="435"/>
      <c r="CE13" s="435"/>
      <c r="CF13" s="435"/>
    </row>
    <row r="14" spans="1:142" ht="18" x14ac:dyDescent="0.35">
      <c r="A14" s="34" t="s">
        <v>25</v>
      </c>
      <c r="B14" s="497" t="s">
        <v>1</v>
      </c>
      <c r="C14" s="36">
        <v>1</v>
      </c>
      <c r="D14" s="36">
        <v>2</v>
      </c>
      <c r="E14" s="36">
        <v>3</v>
      </c>
      <c r="F14" s="36">
        <v>4</v>
      </c>
      <c r="G14" s="36">
        <v>5</v>
      </c>
      <c r="H14" s="36">
        <v>6</v>
      </c>
      <c r="I14" s="36">
        <v>7</v>
      </c>
      <c r="J14" s="36">
        <v>8</v>
      </c>
      <c r="K14" s="36">
        <v>9</v>
      </c>
      <c r="L14" s="36">
        <v>10</v>
      </c>
      <c r="M14" s="36">
        <v>11</v>
      </c>
      <c r="N14" s="36">
        <v>12</v>
      </c>
      <c r="O14" s="36">
        <v>13</v>
      </c>
      <c r="P14" s="36">
        <v>14</v>
      </c>
      <c r="Q14" s="36">
        <v>15</v>
      </c>
      <c r="R14" s="36">
        <v>16</v>
      </c>
      <c r="S14" s="36">
        <v>17</v>
      </c>
      <c r="T14" s="36">
        <v>18</v>
      </c>
      <c r="U14" s="36">
        <v>19</v>
      </c>
      <c r="V14" s="36">
        <v>20</v>
      </c>
      <c r="W14" s="36">
        <v>21</v>
      </c>
      <c r="X14" s="36">
        <v>22</v>
      </c>
      <c r="Y14" s="35">
        <v>23</v>
      </c>
      <c r="Z14" s="36">
        <v>24</v>
      </c>
      <c r="AA14" s="36">
        <v>25</v>
      </c>
      <c r="AB14" s="36">
        <v>26</v>
      </c>
      <c r="AC14" s="36">
        <v>27</v>
      </c>
      <c r="AD14" s="36">
        <v>28</v>
      </c>
      <c r="AE14" s="36">
        <v>29</v>
      </c>
      <c r="AF14" s="36">
        <v>30</v>
      </c>
      <c r="AG14" s="36">
        <v>31</v>
      </c>
      <c r="AH14" s="36">
        <v>32</v>
      </c>
      <c r="AI14" s="36">
        <v>33</v>
      </c>
      <c r="AJ14" s="36">
        <v>34</v>
      </c>
      <c r="AK14" s="492">
        <v>35</v>
      </c>
      <c r="AL14" s="492">
        <v>36</v>
      </c>
      <c r="AM14" s="36">
        <v>37</v>
      </c>
      <c r="AN14" s="36">
        <v>38</v>
      </c>
      <c r="AO14" s="36">
        <v>39</v>
      </c>
      <c r="AP14" s="36">
        <v>40</v>
      </c>
      <c r="AQ14" s="36">
        <v>41</v>
      </c>
      <c r="AR14" s="36">
        <v>42</v>
      </c>
      <c r="AS14" s="36">
        <v>43</v>
      </c>
      <c r="AT14" s="36">
        <v>44</v>
      </c>
      <c r="AU14" s="36">
        <v>45</v>
      </c>
      <c r="AV14" s="36">
        <v>46</v>
      </c>
      <c r="AW14" s="36">
        <v>47</v>
      </c>
      <c r="AX14" s="36">
        <v>48</v>
      </c>
      <c r="AY14" s="36">
        <v>49</v>
      </c>
      <c r="AZ14" s="36">
        <v>50</v>
      </c>
      <c r="BA14" s="36">
        <v>51</v>
      </c>
      <c r="BB14" s="36">
        <v>52</v>
      </c>
      <c r="BC14" s="36">
        <v>53</v>
      </c>
      <c r="BD14" s="36">
        <v>54</v>
      </c>
      <c r="BE14" s="36">
        <v>55</v>
      </c>
      <c r="BF14" s="36">
        <v>56</v>
      </c>
      <c r="BG14" s="36">
        <v>57</v>
      </c>
      <c r="BH14" s="36">
        <v>58</v>
      </c>
      <c r="BI14" s="36">
        <v>59</v>
      </c>
      <c r="BJ14" s="36">
        <v>60</v>
      </c>
      <c r="BK14" s="36">
        <v>61</v>
      </c>
      <c r="BL14" s="36">
        <v>62</v>
      </c>
      <c r="BM14" s="36">
        <v>63</v>
      </c>
      <c r="BN14" s="36">
        <v>64</v>
      </c>
      <c r="BO14" s="36">
        <v>65</v>
      </c>
      <c r="BP14" s="36">
        <v>66</v>
      </c>
      <c r="BQ14" s="36">
        <v>67</v>
      </c>
      <c r="BR14" s="36">
        <v>68</v>
      </c>
      <c r="BS14" s="36">
        <v>69</v>
      </c>
      <c r="BT14" s="36">
        <v>70</v>
      </c>
      <c r="BU14" s="36">
        <v>71</v>
      </c>
      <c r="BV14" s="36">
        <v>72</v>
      </c>
      <c r="BW14" s="36">
        <v>73</v>
      </c>
      <c r="BX14" s="36">
        <v>74</v>
      </c>
      <c r="BY14" s="36">
        <v>75</v>
      </c>
      <c r="BZ14" s="36">
        <v>76</v>
      </c>
      <c r="CA14" s="36">
        <v>77</v>
      </c>
      <c r="CB14" s="36">
        <v>78</v>
      </c>
      <c r="CC14" s="36">
        <v>79</v>
      </c>
      <c r="CD14" s="36">
        <v>80</v>
      </c>
      <c r="CE14" s="36">
        <v>81</v>
      </c>
      <c r="CF14" s="37">
        <v>82</v>
      </c>
      <c r="CG14" s="36">
        <v>83</v>
      </c>
      <c r="CH14" s="37">
        <v>84</v>
      </c>
      <c r="CI14" s="36">
        <v>85</v>
      </c>
      <c r="CJ14" s="37">
        <v>86</v>
      </c>
      <c r="CK14" s="36">
        <v>87</v>
      </c>
      <c r="CL14" s="37">
        <v>88</v>
      </c>
      <c r="CM14" s="36">
        <v>89</v>
      </c>
      <c r="CN14" s="37">
        <v>90</v>
      </c>
      <c r="CO14" s="36">
        <v>91</v>
      </c>
      <c r="CP14" s="37">
        <v>92</v>
      </c>
      <c r="CQ14" s="36">
        <v>93</v>
      </c>
      <c r="CR14" s="37">
        <v>94</v>
      </c>
      <c r="CS14" s="36">
        <v>95</v>
      </c>
      <c r="CT14" s="37">
        <v>96</v>
      </c>
      <c r="CU14" s="36">
        <v>97</v>
      </c>
      <c r="CV14" s="37">
        <v>98</v>
      </c>
      <c r="CW14" s="36">
        <v>99</v>
      </c>
      <c r="CX14" s="37">
        <v>100</v>
      </c>
      <c r="CY14" s="36">
        <v>101</v>
      </c>
      <c r="CZ14" s="37">
        <v>102</v>
      </c>
      <c r="DA14" s="36">
        <v>103</v>
      </c>
      <c r="DB14" s="37">
        <v>104</v>
      </c>
      <c r="DC14" s="36">
        <v>105</v>
      </c>
      <c r="DD14" s="37">
        <v>106</v>
      </c>
      <c r="DE14" s="36">
        <v>107</v>
      </c>
      <c r="DF14" s="37">
        <v>108</v>
      </c>
      <c r="DG14" s="36">
        <v>109</v>
      </c>
      <c r="DH14" s="37">
        <v>110</v>
      </c>
      <c r="DI14" s="36">
        <v>111</v>
      </c>
      <c r="DJ14" s="37">
        <v>112</v>
      </c>
      <c r="DK14" s="36">
        <v>113</v>
      </c>
      <c r="DL14" s="37">
        <v>114</v>
      </c>
      <c r="DM14" s="36">
        <v>115</v>
      </c>
      <c r="DN14" s="37">
        <v>116</v>
      </c>
      <c r="DO14" s="36">
        <v>117</v>
      </c>
      <c r="DP14" s="37">
        <v>118</v>
      </c>
      <c r="DQ14" s="36">
        <v>119</v>
      </c>
      <c r="DR14" s="37">
        <v>120</v>
      </c>
      <c r="DS14" s="36">
        <v>121</v>
      </c>
      <c r="DT14" s="37">
        <v>122</v>
      </c>
      <c r="DU14" s="36">
        <v>123</v>
      </c>
      <c r="DV14" s="37">
        <v>124</v>
      </c>
      <c r="DW14" s="36">
        <v>125</v>
      </c>
      <c r="DX14" s="37">
        <v>126</v>
      </c>
      <c r="DY14" s="36">
        <v>127</v>
      </c>
      <c r="DZ14" s="37">
        <v>128</v>
      </c>
      <c r="EA14" s="36">
        <v>129</v>
      </c>
      <c r="EB14" s="37">
        <v>130</v>
      </c>
      <c r="EC14" s="36">
        <v>131</v>
      </c>
      <c r="ED14" s="37">
        <v>132</v>
      </c>
      <c r="EE14" s="36">
        <v>133</v>
      </c>
      <c r="EF14" s="37">
        <v>134</v>
      </c>
      <c r="EG14" s="36">
        <v>135</v>
      </c>
      <c r="EH14" s="37">
        <v>136</v>
      </c>
      <c r="EI14" s="36">
        <v>137</v>
      </c>
      <c r="EJ14" s="37">
        <v>138</v>
      </c>
      <c r="EK14" s="36">
        <v>139</v>
      </c>
      <c r="EL14" s="37">
        <v>140</v>
      </c>
    </row>
    <row r="15" spans="1:142" ht="18" x14ac:dyDescent="0.35">
      <c r="A15" s="38" t="s">
        <v>9</v>
      </c>
      <c r="B15" s="498" t="s">
        <v>2</v>
      </c>
      <c r="C15" s="40">
        <v>19</v>
      </c>
      <c r="D15" s="40">
        <v>19</v>
      </c>
      <c r="E15" s="40">
        <v>19</v>
      </c>
      <c r="F15" s="40">
        <v>20</v>
      </c>
      <c r="G15" s="40">
        <v>20</v>
      </c>
      <c r="H15" s="40">
        <v>20</v>
      </c>
      <c r="I15" s="40">
        <v>20</v>
      </c>
      <c r="J15" s="40">
        <v>20</v>
      </c>
      <c r="K15" s="40">
        <v>20</v>
      </c>
      <c r="L15" s="40">
        <v>20</v>
      </c>
      <c r="M15" s="40">
        <v>20</v>
      </c>
      <c r="N15" s="40">
        <v>20</v>
      </c>
      <c r="O15" s="40">
        <v>20</v>
      </c>
      <c r="P15" s="40">
        <v>21</v>
      </c>
      <c r="Q15" s="40">
        <v>21</v>
      </c>
      <c r="R15" s="40">
        <v>21</v>
      </c>
      <c r="S15" s="40">
        <v>21</v>
      </c>
      <c r="T15" s="40">
        <v>21</v>
      </c>
      <c r="U15" s="40">
        <v>21</v>
      </c>
      <c r="V15" s="40">
        <v>21</v>
      </c>
      <c r="W15" s="40">
        <v>21</v>
      </c>
      <c r="X15" s="41">
        <v>21</v>
      </c>
      <c r="Y15" s="40">
        <v>21</v>
      </c>
      <c r="Z15" s="40">
        <v>21</v>
      </c>
      <c r="AA15" s="40">
        <v>22</v>
      </c>
      <c r="AB15" s="40">
        <v>22</v>
      </c>
      <c r="AC15" s="40">
        <v>22</v>
      </c>
      <c r="AD15" s="40">
        <v>22</v>
      </c>
      <c r="AE15" s="40">
        <v>22</v>
      </c>
      <c r="AF15" s="40">
        <v>22</v>
      </c>
      <c r="AG15" s="40">
        <v>22</v>
      </c>
      <c r="AH15" s="41">
        <v>22</v>
      </c>
      <c r="AI15" s="40">
        <v>22</v>
      </c>
      <c r="AJ15" s="40">
        <v>22</v>
      </c>
      <c r="AK15" s="493">
        <v>22</v>
      </c>
      <c r="AL15" s="493">
        <v>22</v>
      </c>
      <c r="AM15" s="40">
        <v>22</v>
      </c>
      <c r="AN15" s="40">
        <v>22</v>
      </c>
      <c r="AO15" s="40">
        <v>23</v>
      </c>
      <c r="AP15" s="40">
        <v>23</v>
      </c>
      <c r="AQ15" s="40">
        <v>23</v>
      </c>
      <c r="AR15" s="40">
        <v>23</v>
      </c>
      <c r="AS15" s="40">
        <v>23</v>
      </c>
      <c r="AT15" s="40">
        <v>23</v>
      </c>
      <c r="AU15" s="40">
        <v>23</v>
      </c>
      <c r="AV15" s="40">
        <v>23</v>
      </c>
      <c r="AW15" s="40">
        <v>23</v>
      </c>
      <c r="AX15" s="40">
        <v>24</v>
      </c>
      <c r="AY15" s="40">
        <v>24</v>
      </c>
      <c r="AZ15" s="40">
        <v>24</v>
      </c>
      <c r="BA15" s="40">
        <v>24</v>
      </c>
      <c r="BB15" s="40">
        <v>24</v>
      </c>
      <c r="BC15" s="40">
        <v>24</v>
      </c>
      <c r="BD15" s="40">
        <v>25</v>
      </c>
      <c r="BE15" s="40">
        <v>25</v>
      </c>
      <c r="BF15" s="40">
        <v>25</v>
      </c>
      <c r="BG15" s="40">
        <v>25</v>
      </c>
      <c r="BH15" s="40">
        <v>25</v>
      </c>
      <c r="BI15" s="40">
        <v>25</v>
      </c>
      <c r="BJ15" s="40">
        <v>25</v>
      </c>
      <c r="BK15" s="40">
        <v>25</v>
      </c>
      <c r="BL15" s="40">
        <v>26</v>
      </c>
      <c r="BM15" s="40">
        <v>26</v>
      </c>
      <c r="BN15" s="40">
        <v>26</v>
      </c>
      <c r="BO15" s="40">
        <v>26</v>
      </c>
      <c r="BP15" s="40">
        <v>26</v>
      </c>
      <c r="BQ15" s="40">
        <v>26</v>
      </c>
      <c r="BR15" s="40">
        <v>27</v>
      </c>
      <c r="BS15" s="40">
        <v>28</v>
      </c>
      <c r="BT15" s="40">
        <v>28</v>
      </c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1"/>
      <c r="CG15" s="40"/>
      <c r="CH15" s="41"/>
      <c r="CI15" s="40"/>
      <c r="CJ15" s="41"/>
      <c r="CK15" s="40"/>
      <c r="CL15" s="41"/>
      <c r="CM15" s="40"/>
      <c r="CN15" s="41"/>
      <c r="CO15" s="40"/>
      <c r="CP15" s="41"/>
      <c r="CQ15" s="40"/>
      <c r="CR15" s="41"/>
      <c r="CS15" s="40"/>
      <c r="CT15" s="41"/>
      <c r="CU15" s="40"/>
      <c r="CV15" s="41"/>
      <c r="CW15" s="40"/>
      <c r="CX15" s="41"/>
      <c r="CY15" s="40"/>
      <c r="CZ15" s="41"/>
      <c r="DA15" s="40"/>
      <c r="DB15" s="41"/>
      <c r="DC15" s="40"/>
      <c r="DD15" s="41"/>
      <c r="DE15" s="40"/>
      <c r="DF15" s="41"/>
      <c r="DG15" s="40"/>
      <c r="DH15" s="41"/>
      <c r="DI15" s="40"/>
      <c r="DJ15" s="41"/>
      <c r="DK15" s="40"/>
      <c r="DL15" s="41"/>
      <c r="DM15" s="40"/>
      <c r="DN15" s="41"/>
      <c r="DO15" s="40"/>
      <c r="DP15" s="41"/>
      <c r="DQ15" s="40"/>
      <c r="DR15" s="41"/>
      <c r="DS15" s="40"/>
      <c r="DT15" s="41"/>
      <c r="DU15" s="40"/>
      <c r="DV15" s="41"/>
      <c r="DW15" s="40"/>
      <c r="DX15" s="41"/>
      <c r="DY15" s="40"/>
      <c r="DZ15" s="41"/>
      <c r="EA15" s="40"/>
      <c r="EB15" s="41"/>
      <c r="EC15" s="40"/>
      <c r="ED15" s="41"/>
      <c r="EE15" s="40"/>
      <c r="EF15" s="41"/>
      <c r="EG15" s="40"/>
      <c r="EH15" s="41"/>
      <c r="EI15" s="40"/>
      <c r="EJ15" s="41"/>
      <c r="EK15" s="41"/>
      <c r="EL15" s="41"/>
    </row>
    <row r="16" spans="1:142" ht="18" x14ac:dyDescent="0.35">
      <c r="A16" s="38" t="s">
        <v>21</v>
      </c>
      <c r="B16" s="498" t="s">
        <v>13</v>
      </c>
      <c r="C16" s="40">
        <v>168</v>
      </c>
      <c r="D16" s="40">
        <v>160</v>
      </c>
      <c r="E16" s="40">
        <v>182</v>
      </c>
      <c r="F16" s="40">
        <v>163</v>
      </c>
      <c r="G16" s="40">
        <v>163</v>
      </c>
      <c r="H16" s="40">
        <v>182</v>
      </c>
      <c r="I16" s="40">
        <v>180</v>
      </c>
      <c r="J16" s="40">
        <v>170</v>
      </c>
      <c r="K16" s="40">
        <v>174</v>
      </c>
      <c r="L16" s="40">
        <v>185</v>
      </c>
      <c r="M16" s="40">
        <v>183</v>
      </c>
      <c r="N16" s="40">
        <v>195</v>
      </c>
      <c r="O16" s="40">
        <v>183</v>
      </c>
      <c r="P16" s="40">
        <v>178</v>
      </c>
      <c r="Q16" s="40">
        <v>163</v>
      </c>
      <c r="R16" s="40">
        <v>160</v>
      </c>
      <c r="S16" s="40">
        <v>184</v>
      </c>
      <c r="T16" s="40">
        <v>185</v>
      </c>
      <c r="U16" s="40">
        <v>185</v>
      </c>
      <c r="V16" s="40">
        <v>165</v>
      </c>
      <c r="W16" s="40">
        <v>176</v>
      </c>
      <c r="X16" s="41">
        <v>173</v>
      </c>
      <c r="Y16" s="40">
        <v>176</v>
      </c>
      <c r="Z16" s="40">
        <v>174</v>
      </c>
      <c r="AA16" s="40">
        <v>187</v>
      </c>
      <c r="AB16" s="40">
        <v>161</v>
      </c>
      <c r="AC16" s="40">
        <v>174</v>
      </c>
      <c r="AD16" s="40">
        <v>185</v>
      </c>
      <c r="AE16" s="40">
        <v>170</v>
      </c>
      <c r="AF16" s="40">
        <v>180</v>
      </c>
      <c r="AG16" s="40">
        <v>170</v>
      </c>
      <c r="AH16" s="41">
        <v>180</v>
      </c>
      <c r="AI16" s="40">
        <v>188</v>
      </c>
      <c r="AJ16" s="40">
        <v>160</v>
      </c>
      <c r="AK16" s="40">
        <v>165</v>
      </c>
      <c r="AL16" s="40">
        <v>170</v>
      </c>
      <c r="AM16" s="40">
        <v>184</v>
      </c>
      <c r="AN16" s="40">
        <v>165</v>
      </c>
      <c r="AO16" s="40">
        <v>170</v>
      </c>
      <c r="AP16" s="40">
        <v>193</v>
      </c>
      <c r="AQ16" s="40">
        <v>189</v>
      </c>
      <c r="AR16" s="40">
        <v>176</v>
      </c>
      <c r="AS16" s="40">
        <v>185</v>
      </c>
      <c r="AT16" s="40">
        <v>155</v>
      </c>
      <c r="AU16" s="40">
        <v>178</v>
      </c>
      <c r="AV16" s="40">
        <v>176</v>
      </c>
      <c r="AW16" s="40">
        <v>160</v>
      </c>
      <c r="AX16" s="40">
        <v>170</v>
      </c>
      <c r="AY16" s="40">
        <v>171</v>
      </c>
      <c r="AZ16" s="40">
        <v>160</v>
      </c>
      <c r="BA16" s="40">
        <v>182</v>
      </c>
      <c r="BB16" s="40">
        <v>183</v>
      </c>
      <c r="BC16" s="40">
        <v>182</v>
      </c>
      <c r="BD16" s="40">
        <v>187</v>
      </c>
      <c r="BE16" s="40">
        <v>183</v>
      </c>
      <c r="BF16" s="40">
        <v>172</v>
      </c>
      <c r="BG16" s="40">
        <v>176</v>
      </c>
      <c r="BH16" s="40">
        <v>180</v>
      </c>
      <c r="BI16" s="40">
        <v>178</v>
      </c>
      <c r="BJ16" s="40">
        <v>176</v>
      </c>
      <c r="BK16" s="40">
        <v>170</v>
      </c>
      <c r="BL16" s="40">
        <v>164</v>
      </c>
      <c r="BM16" s="40">
        <v>182</v>
      </c>
      <c r="BN16" s="40">
        <v>184</v>
      </c>
      <c r="BO16" s="40">
        <v>175</v>
      </c>
      <c r="BP16" s="40">
        <v>185</v>
      </c>
      <c r="BQ16" s="40">
        <v>185</v>
      </c>
      <c r="BR16" s="40">
        <v>193</v>
      </c>
      <c r="BS16" s="40">
        <v>169</v>
      </c>
      <c r="BT16" s="40">
        <v>190</v>
      </c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1"/>
      <c r="CG16" s="40"/>
      <c r="CH16" s="41"/>
      <c r="CI16" s="40"/>
      <c r="CJ16" s="41"/>
      <c r="CK16" s="40"/>
      <c r="CL16" s="41"/>
      <c r="CM16" s="40"/>
      <c r="CN16" s="41"/>
      <c r="CO16" s="40"/>
      <c r="CP16" s="41"/>
      <c r="CQ16" s="40"/>
      <c r="CR16" s="41"/>
      <c r="CS16" s="40"/>
      <c r="CT16" s="41"/>
      <c r="CU16" s="40"/>
      <c r="CV16" s="41"/>
      <c r="CW16" s="40"/>
      <c r="CX16" s="41"/>
      <c r="CY16" s="40"/>
      <c r="CZ16" s="41"/>
      <c r="DA16" s="40"/>
      <c r="DB16" s="41"/>
      <c r="DC16" s="40"/>
      <c r="DD16" s="41"/>
      <c r="DE16" s="40"/>
      <c r="DF16" s="41"/>
      <c r="DG16" s="40"/>
      <c r="DH16" s="41"/>
      <c r="DI16" s="40"/>
      <c r="DJ16" s="41"/>
      <c r="DK16" s="40"/>
      <c r="DL16" s="41"/>
      <c r="DM16" s="40"/>
      <c r="DN16" s="41"/>
      <c r="DO16" s="40"/>
      <c r="DP16" s="41"/>
      <c r="DQ16" s="40"/>
      <c r="DR16" s="41"/>
      <c r="DS16" s="40"/>
      <c r="DT16" s="41"/>
      <c r="DU16" s="40"/>
      <c r="DV16" s="41"/>
      <c r="DW16" s="40"/>
      <c r="DX16" s="41"/>
      <c r="DY16" s="40"/>
      <c r="DZ16" s="41"/>
      <c r="EA16" s="40"/>
      <c r="EB16" s="41"/>
      <c r="EC16" s="40"/>
      <c r="ED16" s="41"/>
      <c r="EE16" s="40"/>
      <c r="EF16" s="41"/>
      <c r="EG16" s="40"/>
      <c r="EH16" s="41"/>
      <c r="EI16" s="40"/>
      <c r="EJ16" s="41"/>
      <c r="EK16" s="41"/>
      <c r="EL16" s="41"/>
    </row>
    <row r="17" spans="1:142" ht="18" x14ac:dyDescent="0.35">
      <c r="A17" s="38" t="s">
        <v>22</v>
      </c>
      <c r="B17" s="498" t="s">
        <v>14</v>
      </c>
      <c r="C17" s="40" t="s">
        <v>16</v>
      </c>
      <c r="D17" s="40" t="s">
        <v>16</v>
      </c>
      <c r="E17" s="40" t="s">
        <v>16</v>
      </c>
      <c r="F17" s="40" t="s">
        <v>16</v>
      </c>
      <c r="G17" s="40" t="s">
        <v>16</v>
      </c>
      <c r="H17" s="40" t="s">
        <v>16</v>
      </c>
      <c r="I17" s="40" t="s">
        <v>16</v>
      </c>
      <c r="J17" s="40" t="s">
        <v>16</v>
      </c>
      <c r="K17" s="40" t="s">
        <v>16</v>
      </c>
      <c r="L17" s="40" t="s">
        <v>16</v>
      </c>
      <c r="M17" s="40" t="s">
        <v>16</v>
      </c>
      <c r="N17" s="40" t="s">
        <v>16</v>
      </c>
      <c r="O17" s="40" t="s">
        <v>16</v>
      </c>
      <c r="P17" s="40" t="s">
        <v>16</v>
      </c>
      <c r="Q17" s="40" t="s">
        <v>16</v>
      </c>
      <c r="R17" s="40" t="s">
        <v>16</v>
      </c>
      <c r="S17" s="40" t="s">
        <v>16</v>
      </c>
      <c r="T17" s="40" t="s">
        <v>16</v>
      </c>
      <c r="U17" s="40" t="s">
        <v>16</v>
      </c>
      <c r="V17" s="40" t="s">
        <v>16</v>
      </c>
      <c r="W17" s="40" t="s">
        <v>16</v>
      </c>
      <c r="X17" s="41" t="s">
        <v>16</v>
      </c>
      <c r="Y17" s="40" t="s">
        <v>16</v>
      </c>
      <c r="Z17" s="40" t="s">
        <v>16</v>
      </c>
      <c r="AA17" s="40" t="s">
        <v>16</v>
      </c>
      <c r="AB17" s="40" t="s">
        <v>16</v>
      </c>
      <c r="AC17" s="40" t="s">
        <v>16</v>
      </c>
      <c r="AD17" s="40" t="s">
        <v>16</v>
      </c>
      <c r="AE17" s="40" t="s">
        <v>16</v>
      </c>
      <c r="AF17" s="40" t="s">
        <v>16</v>
      </c>
      <c r="AG17" s="40" t="s">
        <v>16</v>
      </c>
      <c r="AH17" s="41" t="s">
        <v>16</v>
      </c>
      <c r="AI17" s="40" t="s">
        <v>16</v>
      </c>
      <c r="AJ17" s="40" t="s">
        <v>16</v>
      </c>
      <c r="AK17" s="40" t="s">
        <v>16</v>
      </c>
      <c r="AL17" s="40" t="s">
        <v>16</v>
      </c>
      <c r="AM17" s="40" t="s">
        <v>16</v>
      </c>
      <c r="AN17" s="40" t="s">
        <v>16</v>
      </c>
      <c r="AO17" s="40" t="s">
        <v>16</v>
      </c>
      <c r="AP17" s="40" t="s">
        <v>16</v>
      </c>
      <c r="AQ17" s="40" t="s">
        <v>18</v>
      </c>
      <c r="AR17" s="40" t="s">
        <v>18</v>
      </c>
      <c r="AS17" s="40" t="s">
        <v>16</v>
      </c>
      <c r="AT17" s="40" t="s">
        <v>18</v>
      </c>
      <c r="AU17" s="40" t="s">
        <v>16</v>
      </c>
      <c r="AV17" s="40" t="s">
        <v>18</v>
      </c>
      <c r="AW17" s="40" t="s">
        <v>16</v>
      </c>
      <c r="AX17" s="40" t="s">
        <v>16</v>
      </c>
      <c r="AY17" s="40" t="s">
        <v>16</v>
      </c>
      <c r="AZ17" s="40" t="s">
        <v>16</v>
      </c>
      <c r="BA17" s="40" t="s">
        <v>16</v>
      </c>
      <c r="BB17" s="40" t="s">
        <v>16</v>
      </c>
      <c r="BC17" s="40" t="s">
        <v>16</v>
      </c>
      <c r="BD17" s="40" t="s">
        <v>18</v>
      </c>
      <c r="BE17" s="40" t="s">
        <v>18</v>
      </c>
      <c r="BF17" s="40" t="s">
        <v>18</v>
      </c>
      <c r="BG17" s="40" t="s">
        <v>18</v>
      </c>
      <c r="BH17" s="40" t="s">
        <v>16</v>
      </c>
      <c r="BI17" s="40" t="s">
        <v>16</v>
      </c>
      <c r="BJ17" s="40" t="s">
        <v>18</v>
      </c>
      <c r="BK17" s="40" t="s">
        <v>16</v>
      </c>
      <c r="BL17" s="40" t="s">
        <v>18</v>
      </c>
      <c r="BM17" s="40" t="s">
        <v>18</v>
      </c>
      <c r="BN17" s="40" t="s">
        <v>18</v>
      </c>
      <c r="BO17" s="40" t="s">
        <v>18</v>
      </c>
      <c r="BP17" s="40" t="s">
        <v>18</v>
      </c>
      <c r="BQ17" s="40" t="s">
        <v>16</v>
      </c>
      <c r="BR17" s="40" t="s">
        <v>18</v>
      </c>
      <c r="BS17" s="40" t="s">
        <v>18</v>
      </c>
      <c r="BT17" s="40" t="s">
        <v>18</v>
      </c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1"/>
      <c r="CG17" s="40"/>
      <c r="CH17" s="41"/>
      <c r="CI17" s="40"/>
      <c r="CJ17" s="41"/>
      <c r="CK17" s="40"/>
      <c r="CL17" s="41"/>
      <c r="CM17" s="40"/>
      <c r="CN17" s="41"/>
      <c r="CO17" s="40"/>
      <c r="CP17" s="41"/>
      <c r="CQ17" s="40"/>
      <c r="CR17" s="41"/>
      <c r="CS17" s="40"/>
      <c r="CT17" s="41"/>
      <c r="CU17" s="40"/>
      <c r="CV17" s="41"/>
      <c r="CW17" s="40"/>
      <c r="CX17" s="41"/>
      <c r="CY17" s="40"/>
      <c r="CZ17" s="41"/>
      <c r="DA17" s="40"/>
      <c r="DB17" s="41"/>
      <c r="DC17" s="40"/>
      <c r="DD17" s="41"/>
      <c r="DE17" s="40"/>
      <c r="DF17" s="41"/>
      <c r="DG17" s="40"/>
      <c r="DH17" s="41"/>
      <c r="DI17" s="40"/>
      <c r="DJ17" s="41"/>
      <c r="DK17" s="40"/>
      <c r="DL17" s="41"/>
      <c r="DM17" s="40"/>
      <c r="DN17" s="41"/>
      <c r="DO17" s="40"/>
      <c r="DP17" s="41"/>
      <c r="DQ17" s="40"/>
      <c r="DR17" s="41"/>
      <c r="DS17" s="40"/>
      <c r="DT17" s="41"/>
      <c r="DU17" s="40"/>
      <c r="DV17" s="41"/>
      <c r="DW17" s="40"/>
      <c r="DX17" s="41"/>
      <c r="DY17" s="40"/>
      <c r="DZ17" s="41"/>
      <c r="EA17" s="40"/>
      <c r="EB17" s="41"/>
      <c r="EC17" s="40"/>
      <c r="ED17" s="41"/>
      <c r="EE17" s="40"/>
      <c r="EF17" s="41"/>
      <c r="EG17" s="40"/>
      <c r="EH17" s="41"/>
      <c r="EI17" s="40"/>
      <c r="EJ17" s="41"/>
      <c r="EK17" s="41"/>
      <c r="EL17" s="41"/>
    </row>
    <row r="18" spans="1:142" ht="18" x14ac:dyDescent="0.35">
      <c r="A18" s="42" t="s">
        <v>12</v>
      </c>
      <c r="B18" s="499" t="s">
        <v>15</v>
      </c>
      <c r="C18" s="44" t="s">
        <v>19</v>
      </c>
      <c r="D18" s="44" t="s">
        <v>19</v>
      </c>
      <c r="E18" s="44" t="s">
        <v>19</v>
      </c>
      <c r="F18" s="44" t="s">
        <v>19</v>
      </c>
      <c r="G18" s="44" t="s">
        <v>19</v>
      </c>
      <c r="H18" s="44" t="s">
        <v>17</v>
      </c>
      <c r="I18" s="44" t="s">
        <v>17</v>
      </c>
      <c r="J18" s="44" t="s">
        <v>19</v>
      </c>
      <c r="K18" s="44" t="s">
        <v>19</v>
      </c>
      <c r="L18" s="44" t="s">
        <v>17</v>
      </c>
      <c r="M18" s="44" t="s">
        <v>17</v>
      </c>
      <c r="N18" s="44" t="s">
        <v>17</v>
      </c>
      <c r="O18" s="44" t="s">
        <v>17</v>
      </c>
      <c r="P18" s="44" t="s">
        <v>17</v>
      </c>
      <c r="Q18" s="44" t="s">
        <v>19</v>
      </c>
      <c r="R18" s="44" t="s">
        <v>19</v>
      </c>
      <c r="S18" s="44" t="s">
        <v>17</v>
      </c>
      <c r="T18" s="44" t="s">
        <v>17</v>
      </c>
      <c r="U18" s="44" t="s">
        <v>17</v>
      </c>
      <c r="V18" s="44" t="s">
        <v>17</v>
      </c>
      <c r="W18" s="44" t="s">
        <v>17</v>
      </c>
      <c r="X18" s="45" t="s">
        <v>19</v>
      </c>
      <c r="Y18" s="44" t="s">
        <v>17</v>
      </c>
      <c r="Z18" s="44" t="s">
        <v>19</v>
      </c>
      <c r="AA18" s="44" t="s">
        <v>17</v>
      </c>
      <c r="AB18" s="44" t="s">
        <v>19</v>
      </c>
      <c r="AC18" s="44" t="s">
        <v>17</v>
      </c>
      <c r="AD18" s="44" t="s">
        <v>17</v>
      </c>
      <c r="AE18" s="44" t="s">
        <v>17</v>
      </c>
      <c r="AF18" s="44" t="s">
        <v>17</v>
      </c>
      <c r="AG18" s="44" t="s">
        <v>19</v>
      </c>
      <c r="AH18" s="45" t="s">
        <v>17</v>
      </c>
      <c r="AI18" s="44" t="s">
        <v>17</v>
      </c>
      <c r="AJ18" s="44" t="s">
        <v>19</v>
      </c>
      <c r="AK18" s="44" t="s">
        <v>19</v>
      </c>
      <c r="AL18" s="44" t="s">
        <v>17</v>
      </c>
      <c r="AM18" s="44" t="s">
        <v>17</v>
      </c>
      <c r="AN18" s="44" t="s">
        <v>19</v>
      </c>
      <c r="AO18" s="44" t="s">
        <v>17</v>
      </c>
      <c r="AP18" s="44" t="s">
        <v>17</v>
      </c>
      <c r="AQ18" s="44" t="s">
        <v>17</v>
      </c>
      <c r="AR18" s="44" t="s">
        <v>17</v>
      </c>
      <c r="AS18" s="44" t="s">
        <v>17</v>
      </c>
      <c r="AT18" s="44" t="s">
        <v>19</v>
      </c>
      <c r="AU18" s="44" t="s">
        <v>17</v>
      </c>
      <c r="AV18" s="44" t="s">
        <v>17</v>
      </c>
      <c r="AW18" s="44" t="s">
        <v>19</v>
      </c>
      <c r="AX18" s="44" t="s">
        <v>17</v>
      </c>
      <c r="AY18" s="44" t="s">
        <v>17</v>
      </c>
      <c r="AZ18" s="44" t="s">
        <v>19</v>
      </c>
      <c r="BA18" s="44" t="s">
        <v>17</v>
      </c>
      <c r="BB18" s="44" t="s">
        <v>17</v>
      </c>
      <c r="BC18" s="44" t="s">
        <v>17</v>
      </c>
      <c r="BD18" s="44" t="s">
        <v>17</v>
      </c>
      <c r="BE18" s="44" t="s">
        <v>17</v>
      </c>
      <c r="BF18" s="44" t="s">
        <v>19</v>
      </c>
      <c r="BG18" s="44" t="s">
        <v>19</v>
      </c>
      <c r="BH18" s="44" t="s">
        <v>17</v>
      </c>
      <c r="BI18" s="44" t="s">
        <v>17</v>
      </c>
      <c r="BJ18" s="44" t="s">
        <v>19</v>
      </c>
      <c r="BK18" s="44" t="s">
        <v>17</v>
      </c>
      <c r="BL18" s="44" t="s">
        <v>17</v>
      </c>
      <c r="BM18" s="44" t="s">
        <v>17</v>
      </c>
      <c r="BN18" s="44" t="s">
        <v>17</v>
      </c>
      <c r="BO18" s="44" t="s">
        <v>17</v>
      </c>
      <c r="BP18" s="44" t="s">
        <v>17</v>
      </c>
      <c r="BQ18" s="44" t="s">
        <v>17</v>
      </c>
      <c r="BR18" s="44" t="s">
        <v>17</v>
      </c>
      <c r="BS18" s="44" t="s">
        <v>19</v>
      </c>
      <c r="BT18" s="44" t="s">
        <v>17</v>
      </c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5"/>
      <c r="CG18" s="44"/>
      <c r="CH18" s="45"/>
      <c r="CI18" s="44"/>
      <c r="CJ18" s="45"/>
      <c r="CK18" s="44"/>
      <c r="CL18" s="45"/>
      <c r="CM18" s="44"/>
      <c r="CN18" s="45"/>
      <c r="CO18" s="44"/>
      <c r="CP18" s="45"/>
      <c r="CQ18" s="44"/>
      <c r="CR18" s="45"/>
      <c r="CS18" s="44"/>
      <c r="CT18" s="45"/>
      <c r="CU18" s="44"/>
      <c r="CV18" s="45"/>
      <c r="CW18" s="44"/>
      <c r="CX18" s="45"/>
      <c r="CY18" s="44"/>
      <c r="CZ18" s="45"/>
      <c r="DA18" s="44"/>
      <c r="DB18" s="45"/>
      <c r="DC18" s="44"/>
      <c r="DD18" s="45"/>
      <c r="DE18" s="44"/>
      <c r="DF18" s="45"/>
      <c r="DG18" s="44"/>
      <c r="DH18" s="45"/>
      <c r="DI18" s="44"/>
      <c r="DJ18" s="45"/>
      <c r="DK18" s="44"/>
      <c r="DL18" s="45"/>
      <c r="DM18" s="44"/>
      <c r="DN18" s="45"/>
      <c r="DO18" s="44"/>
      <c r="DP18" s="45"/>
      <c r="DQ18" s="44"/>
      <c r="DR18" s="45"/>
      <c r="DS18" s="44"/>
      <c r="DT18" s="45"/>
      <c r="DU18" s="44"/>
      <c r="DV18" s="45"/>
      <c r="DW18" s="44"/>
      <c r="DX18" s="45"/>
      <c r="DY18" s="44"/>
      <c r="DZ18" s="45"/>
      <c r="EA18" s="44"/>
      <c r="EB18" s="45"/>
      <c r="EC18" s="44"/>
      <c r="ED18" s="45"/>
      <c r="EE18" s="44"/>
      <c r="EF18" s="45"/>
      <c r="EG18" s="44"/>
      <c r="EH18" s="45"/>
      <c r="EI18" s="44"/>
      <c r="EJ18" s="45"/>
      <c r="EK18" s="45"/>
      <c r="EL18" s="45"/>
    </row>
    <row r="19" spans="1:142" x14ac:dyDescent="0.25">
      <c r="A19" s="33"/>
      <c r="B19" s="23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</row>
    <row r="20" spans="1:142" x14ac:dyDescent="0.25">
      <c r="A20" s="33"/>
      <c r="B20" s="231"/>
      <c r="C20" s="748" t="s">
        <v>161</v>
      </c>
      <c r="D20" s="748"/>
      <c r="E20" s="748"/>
      <c r="F20" s="748"/>
      <c r="G20" s="748"/>
      <c r="H20" s="748"/>
      <c r="I20" s="748"/>
      <c r="J20" s="748"/>
      <c r="K20" s="748"/>
      <c r="L20" s="748"/>
      <c r="M20" s="748"/>
      <c r="N20" s="748"/>
      <c r="O20" s="748"/>
      <c r="P20" s="748"/>
      <c r="Q20" s="748"/>
      <c r="R20" s="748"/>
      <c r="S20" s="748"/>
      <c r="T20" s="748"/>
      <c r="U20" s="748"/>
      <c r="V20" s="748"/>
      <c r="W20" s="748"/>
      <c r="X20" s="748"/>
      <c r="Y20" s="748"/>
      <c r="Z20" s="748"/>
      <c r="AA20" s="748"/>
      <c r="AB20" s="748"/>
      <c r="AC20" s="748"/>
      <c r="AD20" s="748"/>
      <c r="AE20" s="748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</row>
    <row r="21" spans="1:142" x14ac:dyDescent="0.25">
      <c r="A21" s="33"/>
      <c r="B21" s="231"/>
      <c r="C21" s="36">
        <v>42</v>
      </c>
      <c r="D21" s="36">
        <v>43</v>
      </c>
      <c r="E21" s="36">
        <v>44</v>
      </c>
      <c r="F21" s="36">
        <v>45</v>
      </c>
      <c r="G21" s="36">
        <v>46</v>
      </c>
      <c r="H21" s="36">
        <v>47</v>
      </c>
      <c r="I21" s="36">
        <v>48</v>
      </c>
      <c r="J21" s="36">
        <v>49</v>
      </c>
      <c r="K21" s="36">
        <v>50</v>
      </c>
      <c r="L21" s="36">
        <v>51</v>
      </c>
      <c r="M21" s="36">
        <v>52</v>
      </c>
      <c r="N21" s="36">
        <v>53</v>
      </c>
      <c r="O21" s="36">
        <v>54</v>
      </c>
      <c r="P21" s="36">
        <v>55</v>
      </c>
      <c r="Q21" s="36">
        <v>56</v>
      </c>
      <c r="R21" s="36">
        <v>57</v>
      </c>
      <c r="S21" s="36">
        <v>58</v>
      </c>
      <c r="T21" s="36">
        <v>59</v>
      </c>
      <c r="U21" s="36">
        <v>60</v>
      </c>
      <c r="V21" s="36">
        <v>61</v>
      </c>
      <c r="W21" s="36">
        <v>62</v>
      </c>
      <c r="X21" s="36">
        <v>63</v>
      </c>
      <c r="Y21" s="36">
        <v>64</v>
      </c>
      <c r="Z21" s="36">
        <v>65</v>
      </c>
      <c r="AA21" s="36">
        <v>66</v>
      </c>
      <c r="AB21" s="36">
        <v>67</v>
      </c>
      <c r="AC21" s="36">
        <v>68</v>
      </c>
      <c r="AD21" s="36">
        <v>69</v>
      </c>
      <c r="AE21" s="36">
        <v>70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</row>
    <row r="22" spans="1:142" x14ac:dyDescent="0.25">
      <c r="A22" s="33"/>
      <c r="B22" s="231"/>
      <c r="C22" s="40">
        <v>23</v>
      </c>
      <c r="D22" s="40">
        <v>23</v>
      </c>
      <c r="E22" s="40">
        <v>23</v>
      </c>
      <c r="F22" s="40">
        <v>23</v>
      </c>
      <c r="G22" s="40">
        <v>23</v>
      </c>
      <c r="H22" s="40">
        <v>23</v>
      </c>
      <c r="I22" s="40">
        <v>24</v>
      </c>
      <c r="J22" s="40">
        <v>24</v>
      </c>
      <c r="K22" s="40">
        <v>24</v>
      </c>
      <c r="L22" s="40">
        <v>24</v>
      </c>
      <c r="M22" s="40">
        <v>24</v>
      </c>
      <c r="N22" s="40">
        <v>24</v>
      </c>
      <c r="O22" s="40">
        <v>25</v>
      </c>
      <c r="P22" s="40">
        <v>25</v>
      </c>
      <c r="Q22" s="40">
        <v>25</v>
      </c>
      <c r="R22" s="40">
        <v>25</v>
      </c>
      <c r="S22" s="40">
        <v>25</v>
      </c>
      <c r="T22" s="40">
        <v>25</v>
      </c>
      <c r="U22" s="40">
        <v>25</v>
      </c>
      <c r="V22" s="40">
        <v>25</v>
      </c>
      <c r="W22" s="40">
        <v>26</v>
      </c>
      <c r="X22" s="40">
        <v>26</v>
      </c>
      <c r="Y22" s="40">
        <v>26</v>
      </c>
      <c r="Z22" s="40">
        <v>26</v>
      </c>
      <c r="AA22" s="40">
        <v>26</v>
      </c>
      <c r="AB22" s="40">
        <v>26</v>
      </c>
      <c r="AC22" s="40">
        <v>27</v>
      </c>
      <c r="AD22" s="40">
        <v>28</v>
      </c>
      <c r="AE22" s="40">
        <v>28</v>
      </c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</row>
    <row r="23" spans="1:142" x14ac:dyDescent="0.25">
      <c r="A23" s="33"/>
      <c r="B23" s="231"/>
      <c r="C23" s="40">
        <v>176</v>
      </c>
      <c r="D23" s="40">
        <v>185</v>
      </c>
      <c r="E23" s="40">
        <v>155</v>
      </c>
      <c r="F23" s="40">
        <v>178</v>
      </c>
      <c r="G23" s="40">
        <v>176</v>
      </c>
      <c r="H23" s="40">
        <v>160</v>
      </c>
      <c r="I23" s="40">
        <v>170</v>
      </c>
      <c r="J23" s="40">
        <v>171</v>
      </c>
      <c r="K23" s="40">
        <v>160</v>
      </c>
      <c r="L23" s="40">
        <v>182</v>
      </c>
      <c r="M23" s="40">
        <v>183</v>
      </c>
      <c r="N23" s="40">
        <v>182</v>
      </c>
      <c r="O23" s="40">
        <v>187</v>
      </c>
      <c r="P23" s="40">
        <v>183</v>
      </c>
      <c r="Q23" s="40">
        <v>172</v>
      </c>
      <c r="R23" s="40">
        <v>176</v>
      </c>
      <c r="S23" s="40">
        <v>180</v>
      </c>
      <c r="T23" s="40">
        <v>178</v>
      </c>
      <c r="U23" s="40">
        <v>176</v>
      </c>
      <c r="V23" s="40">
        <v>170</v>
      </c>
      <c r="W23" s="40">
        <v>164</v>
      </c>
      <c r="X23" s="40">
        <v>182</v>
      </c>
      <c r="Y23" s="40">
        <v>184</v>
      </c>
      <c r="Z23" s="40">
        <v>175</v>
      </c>
      <c r="AA23" s="40">
        <v>185</v>
      </c>
      <c r="AB23" s="40">
        <v>185</v>
      </c>
      <c r="AC23" s="40">
        <v>193</v>
      </c>
      <c r="AD23" s="40">
        <v>169</v>
      </c>
      <c r="AE23" s="40">
        <v>190</v>
      </c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</row>
    <row r="24" spans="1:142" x14ac:dyDescent="0.25">
      <c r="A24" s="33"/>
      <c r="B24" s="231"/>
      <c r="C24" s="40" t="s">
        <v>18</v>
      </c>
      <c r="D24" s="40" t="s">
        <v>16</v>
      </c>
      <c r="E24" s="40" t="s">
        <v>18</v>
      </c>
      <c r="F24" s="40" t="s">
        <v>16</v>
      </c>
      <c r="G24" s="40" t="s">
        <v>18</v>
      </c>
      <c r="H24" s="40" t="s">
        <v>16</v>
      </c>
      <c r="I24" s="40" t="s">
        <v>16</v>
      </c>
      <c r="J24" s="40" t="s">
        <v>16</v>
      </c>
      <c r="K24" s="40" t="s">
        <v>16</v>
      </c>
      <c r="L24" s="40" t="s">
        <v>16</v>
      </c>
      <c r="M24" s="40" t="s">
        <v>16</v>
      </c>
      <c r="N24" s="40" t="s">
        <v>16</v>
      </c>
      <c r="O24" s="40" t="s">
        <v>18</v>
      </c>
      <c r="P24" s="40" t="s">
        <v>18</v>
      </c>
      <c r="Q24" s="40" t="s">
        <v>18</v>
      </c>
      <c r="R24" s="40" t="s">
        <v>18</v>
      </c>
      <c r="S24" s="40" t="s">
        <v>16</v>
      </c>
      <c r="T24" s="40" t="s">
        <v>16</v>
      </c>
      <c r="U24" s="40" t="s">
        <v>18</v>
      </c>
      <c r="V24" s="40" t="s">
        <v>16</v>
      </c>
      <c r="W24" s="40" t="s">
        <v>18</v>
      </c>
      <c r="X24" s="40" t="s">
        <v>18</v>
      </c>
      <c r="Y24" s="40" t="s">
        <v>18</v>
      </c>
      <c r="Z24" s="40" t="s">
        <v>18</v>
      </c>
      <c r="AA24" s="40" t="s">
        <v>18</v>
      </c>
      <c r="AB24" s="40" t="s">
        <v>16</v>
      </c>
      <c r="AC24" s="40" t="s">
        <v>18</v>
      </c>
      <c r="AD24" s="40" t="s">
        <v>18</v>
      </c>
      <c r="AE24" s="40" t="s">
        <v>18</v>
      </c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</row>
    <row r="25" spans="1:142" x14ac:dyDescent="0.25">
      <c r="C25" s="44" t="s">
        <v>17</v>
      </c>
      <c r="D25" s="44" t="s">
        <v>17</v>
      </c>
      <c r="E25" s="44" t="s">
        <v>19</v>
      </c>
      <c r="F25" s="44" t="s">
        <v>17</v>
      </c>
      <c r="G25" s="44" t="s">
        <v>17</v>
      </c>
      <c r="H25" s="44" t="s">
        <v>19</v>
      </c>
      <c r="I25" s="44" t="s">
        <v>17</v>
      </c>
      <c r="J25" s="44" t="s">
        <v>17</v>
      </c>
      <c r="K25" s="44" t="s">
        <v>19</v>
      </c>
      <c r="L25" s="44" t="s">
        <v>17</v>
      </c>
      <c r="M25" s="44" t="s">
        <v>17</v>
      </c>
      <c r="N25" s="44" t="s">
        <v>17</v>
      </c>
      <c r="O25" s="44" t="s">
        <v>17</v>
      </c>
      <c r="P25" s="44" t="s">
        <v>17</v>
      </c>
      <c r="Q25" s="44" t="s">
        <v>19</v>
      </c>
      <c r="R25" s="44" t="s">
        <v>19</v>
      </c>
      <c r="S25" s="44" t="s">
        <v>17</v>
      </c>
      <c r="T25" s="44" t="s">
        <v>17</v>
      </c>
      <c r="U25" s="44" t="s">
        <v>19</v>
      </c>
      <c r="V25" s="44" t="s">
        <v>17</v>
      </c>
      <c r="W25" s="44" t="s">
        <v>17</v>
      </c>
      <c r="X25" s="44" t="s">
        <v>17</v>
      </c>
      <c r="Y25" s="44" t="s">
        <v>17</v>
      </c>
      <c r="Z25" s="44" t="s">
        <v>17</v>
      </c>
      <c r="AA25" s="44" t="s">
        <v>17</v>
      </c>
      <c r="AB25" s="44" t="s">
        <v>17</v>
      </c>
      <c r="AC25" s="44" t="s">
        <v>17</v>
      </c>
      <c r="AD25" s="44" t="s">
        <v>19</v>
      </c>
      <c r="AE25" s="44" t="s">
        <v>17</v>
      </c>
    </row>
    <row r="27" spans="1:142" x14ac:dyDescent="0.25">
      <c r="C27" s="31" t="s">
        <v>157</v>
      </c>
      <c r="D27" s="31"/>
      <c r="E27" s="31"/>
      <c r="F27" s="31"/>
      <c r="G27" s="31"/>
      <c r="H27" s="31"/>
      <c r="I27" s="31"/>
    </row>
    <row r="29" spans="1:142" x14ac:dyDescent="0.25">
      <c r="C29" s="4" t="s">
        <v>159</v>
      </c>
      <c r="D29" s="4"/>
      <c r="E29" s="4"/>
      <c r="F29" s="4">
        <f>COUNT(C31:BT31)</f>
        <v>41</v>
      </c>
      <c r="G29" s="4" t="s">
        <v>30</v>
      </c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</row>
    <row r="30" spans="1:142" ht="18" x14ac:dyDescent="0.35">
      <c r="A30" s="34" t="s">
        <v>25</v>
      </c>
      <c r="B30" s="497" t="s">
        <v>1</v>
      </c>
      <c r="C30" s="36">
        <v>1</v>
      </c>
      <c r="D30" s="36">
        <v>2</v>
      </c>
      <c r="E30" s="36">
        <v>3</v>
      </c>
      <c r="F30" s="36">
        <v>4</v>
      </c>
      <c r="G30" s="36">
        <v>5</v>
      </c>
      <c r="H30" s="36">
        <v>6</v>
      </c>
      <c r="I30" s="36">
        <v>7</v>
      </c>
      <c r="J30" s="36">
        <v>8</v>
      </c>
      <c r="K30" s="36">
        <v>9</v>
      </c>
      <c r="L30" s="36">
        <v>10</v>
      </c>
      <c r="M30" s="36">
        <v>11</v>
      </c>
      <c r="N30" s="36">
        <v>12</v>
      </c>
      <c r="O30" s="36">
        <v>13</v>
      </c>
      <c r="P30" s="36">
        <v>14</v>
      </c>
      <c r="Q30" s="36">
        <v>15</v>
      </c>
      <c r="R30" s="36">
        <v>16</v>
      </c>
      <c r="S30" s="36">
        <v>17</v>
      </c>
      <c r="T30" s="36">
        <v>18</v>
      </c>
      <c r="U30" s="36">
        <v>19</v>
      </c>
      <c r="V30" s="36">
        <v>20</v>
      </c>
      <c r="W30" s="492">
        <v>21</v>
      </c>
      <c r="X30" s="37">
        <v>22</v>
      </c>
      <c r="Y30" s="36">
        <v>23</v>
      </c>
      <c r="Z30" s="36">
        <v>24</v>
      </c>
      <c r="AA30" s="36">
        <v>25</v>
      </c>
      <c r="AB30" s="36">
        <v>26</v>
      </c>
      <c r="AC30" s="36">
        <v>27</v>
      </c>
      <c r="AD30" s="36">
        <v>28</v>
      </c>
      <c r="AE30" s="36">
        <v>29</v>
      </c>
      <c r="AF30" s="36">
        <v>30</v>
      </c>
      <c r="AG30" s="36">
        <v>31</v>
      </c>
      <c r="AH30" s="37">
        <v>32</v>
      </c>
      <c r="AI30" s="36">
        <v>33</v>
      </c>
      <c r="AJ30" s="36">
        <v>34</v>
      </c>
      <c r="AK30" s="36">
        <v>35</v>
      </c>
      <c r="AL30" s="36">
        <v>36</v>
      </c>
      <c r="AM30" s="36">
        <v>37</v>
      </c>
      <c r="AN30" s="36">
        <v>38</v>
      </c>
      <c r="AO30" s="36">
        <v>39</v>
      </c>
      <c r="AP30" s="36">
        <v>40</v>
      </c>
      <c r="AQ30" s="36">
        <v>41</v>
      </c>
      <c r="AR30" s="37">
        <v>42</v>
      </c>
      <c r="AS30" s="36">
        <v>43</v>
      </c>
      <c r="AT30" s="36">
        <v>44</v>
      </c>
      <c r="AU30" s="36">
        <v>45</v>
      </c>
      <c r="AV30" s="36">
        <v>46</v>
      </c>
      <c r="AW30" s="36">
        <v>47</v>
      </c>
      <c r="AX30" s="36">
        <v>48</v>
      </c>
      <c r="AY30" s="36">
        <v>49</v>
      </c>
      <c r="AZ30" s="36">
        <v>50</v>
      </c>
      <c r="BA30" s="36">
        <v>51</v>
      </c>
      <c r="BB30" s="37">
        <v>52</v>
      </c>
      <c r="BC30" s="36">
        <v>53</v>
      </c>
      <c r="BD30" s="36">
        <v>54</v>
      </c>
      <c r="BE30" s="36">
        <v>55</v>
      </c>
      <c r="BF30" s="36">
        <v>56</v>
      </c>
      <c r="BG30" s="36">
        <v>57</v>
      </c>
      <c r="BH30" s="36">
        <v>58</v>
      </c>
      <c r="BI30" s="36">
        <v>59</v>
      </c>
      <c r="BJ30" s="36">
        <v>60</v>
      </c>
      <c r="BK30" s="36">
        <v>61</v>
      </c>
      <c r="BL30" s="37">
        <v>62</v>
      </c>
      <c r="BM30" s="36">
        <v>63</v>
      </c>
      <c r="BN30" s="36">
        <v>64</v>
      </c>
      <c r="BO30" s="36">
        <v>65</v>
      </c>
      <c r="BP30" s="36">
        <v>66</v>
      </c>
      <c r="BQ30" s="36">
        <v>67</v>
      </c>
      <c r="BR30" s="36">
        <v>68</v>
      </c>
      <c r="BS30" s="36">
        <v>69</v>
      </c>
      <c r="BT30" s="37">
        <v>70</v>
      </c>
    </row>
    <row r="31" spans="1:142" ht="18" x14ac:dyDescent="0.35">
      <c r="A31" s="38" t="s">
        <v>9</v>
      </c>
      <c r="B31" s="498" t="s">
        <v>2</v>
      </c>
      <c r="C31" s="40">
        <v>19</v>
      </c>
      <c r="D31" s="40">
        <v>19</v>
      </c>
      <c r="E31" s="40">
        <v>20</v>
      </c>
      <c r="F31" s="40">
        <v>20</v>
      </c>
      <c r="G31" s="40">
        <v>20</v>
      </c>
      <c r="H31" s="40">
        <v>20</v>
      </c>
      <c r="I31" s="40">
        <v>20</v>
      </c>
      <c r="J31" s="40">
        <v>20</v>
      </c>
      <c r="K31" s="40">
        <v>21</v>
      </c>
      <c r="L31" s="40">
        <v>21</v>
      </c>
      <c r="M31" s="40">
        <v>21</v>
      </c>
      <c r="N31" s="40">
        <v>21</v>
      </c>
      <c r="O31" s="40">
        <v>21</v>
      </c>
      <c r="P31" s="40">
        <v>21</v>
      </c>
      <c r="Q31" s="40">
        <v>21</v>
      </c>
      <c r="R31" s="40">
        <v>21</v>
      </c>
      <c r="S31" s="40">
        <v>21</v>
      </c>
      <c r="T31" s="40">
        <v>22</v>
      </c>
      <c r="U31" s="40">
        <v>22</v>
      </c>
      <c r="V31" s="40">
        <v>22</v>
      </c>
      <c r="W31" s="493">
        <v>22</v>
      </c>
      <c r="X31" s="41">
        <v>22</v>
      </c>
      <c r="Y31" s="40">
        <v>22</v>
      </c>
      <c r="Z31" s="40">
        <v>22</v>
      </c>
      <c r="AA31" s="40">
        <v>22</v>
      </c>
      <c r="AB31" s="40">
        <v>23</v>
      </c>
      <c r="AC31" s="40">
        <v>23</v>
      </c>
      <c r="AD31" s="40">
        <v>23</v>
      </c>
      <c r="AE31" s="40">
        <v>24</v>
      </c>
      <c r="AF31" s="40">
        <v>24</v>
      </c>
      <c r="AG31" s="40">
        <v>24</v>
      </c>
      <c r="AH31" s="41">
        <v>24</v>
      </c>
      <c r="AI31" s="40">
        <v>24</v>
      </c>
      <c r="AJ31" s="40">
        <v>25</v>
      </c>
      <c r="AK31" s="40">
        <v>25</v>
      </c>
      <c r="AL31" s="40">
        <v>25</v>
      </c>
      <c r="AM31" s="40">
        <v>26</v>
      </c>
      <c r="AN31" s="40">
        <v>26</v>
      </c>
      <c r="AO31" s="40">
        <v>27</v>
      </c>
      <c r="AP31" s="40">
        <v>28</v>
      </c>
      <c r="AQ31" s="40">
        <v>28</v>
      </c>
      <c r="AR31" s="41"/>
      <c r="AS31" s="40"/>
      <c r="AT31" s="40"/>
      <c r="AU31" s="40"/>
      <c r="AV31" s="40"/>
      <c r="AW31" s="40"/>
      <c r="AX31" s="40"/>
      <c r="AY31" s="40"/>
      <c r="AZ31" s="40"/>
      <c r="BA31" s="40"/>
      <c r="BB31" s="41"/>
      <c r="BC31" s="40"/>
      <c r="BD31" s="40"/>
      <c r="BE31" s="40"/>
      <c r="BF31" s="40"/>
      <c r="BG31" s="40"/>
      <c r="BH31" s="40"/>
      <c r="BI31" s="40"/>
      <c r="BJ31" s="40"/>
      <c r="BK31" s="40"/>
      <c r="BL31" s="41"/>
      <c r="BM31" s="40"/>
      <c r="BN31" s="40"/>
      <c r="BO31" s="40"/>
      <c r="BP31" s="40"/>
      <c r="BQ31" s="40"/>
      <c r="BR31" s="40"/>
      <c r="BS31" s="40"/>
      <c r="BT31" s="41"/>
    </row>
    <row r="32" spans="1:142" ht="18" x14ac:dyDescent="0.35">
      <c r="A32" s="38" t="s">
        <v>21</v>
      </c>
      <c r="B32" s="498" t="s">
        <v>13</v>
      </c>
      <c r="C32" s="40">
        <v>168</v>
      </c>
      <c r="D32" s="40">
        <v>160</v>
      </c>
      <c r="E32" s="40">
        <v>163</v>
      </c>
      <c r="F32" s="40">
        <v>163</v>
      </c>
      <c r="G32" s="40">
        <v>182</v>
      </c>
      <c r="H32" s="40">
        <v>180</v>
      </c>
      <c r="I32" s="40">
        <v>170</v>
      </c>
      <c r="J32" s="40">
        <v>174</v>
      </c>
      <c r="K32" s="40">
        <v>178</v>
      </c>
      <c r="L32" s="40">
        <v>163</v>
      </c>
      <c r="M32" s="40">
        <v>160</v>
      </c>
      <c r="N32" s="40">
        <v>184</v>
      </c>
      <c r="O32" s="40">
        <v>185</v>
      </c>
      <c r="P32" s="40">
        <v>185</v>
      </c>
      <c r="Q32" s="40">
        <v>165</v>
      </c>
      <c r="R32" s="40">
        <v>176</v>
      </c>
      <c r="S32" s="40">
        <v>173</v>
      </c>
      <c r="T32" s="40">
        <v>187</v>
      </c>
      <c r="U32" s="40">
        <v>161</v>
      </c>
      <c r="V32" s="40">
        <v>174</v>
      </c>
      <c r="W32" s="40">
        <v>185</v>
      </c>
      <c r="X32" s="41">
        <v>170</v>
      </c>
      <c r="Y32" s="40">
        <v>180</v>
      </c>
      <c r="Z32" s="40">
        <v>170</v>
      </c>
      <c r="AA32" s="40">
        <v>180</v>
      </c>
      <c r="AB32" s="40">
        <v>170</v>
      </c>
      <c r="AC32" s="40">
        <v>193</v>
      </c>
      <c r="AD32" s="40">
        <v>189</v>
      </c>
      <c r="AE32" s="40">
        <v>170</v>
      </c>
      <c r="AF32" s="40">
        <v>171</v>
      </c>
      <c r="AG32" s="40">
        <v>160</v>
      </c>
      <c r="AH32" s="41">
        <v>182</v>
      </c>
      <c r="AI32" s="40">
        <v>183</v>
      </c>
      <c r="AJ32" s="40">
        <v>187</v>
      </c>
      <c r="AK32" s="40">
        <v>183</v>
      </c>
      <c r="AL32" s="40">
        <v>172</v>
      </c>
      <c r="AM32" s="40">
        <v>164</v>
      </c>
      <c r="AN32" s="40">
        <v>182</v>
      </c>
      <c r="AO32" s="40">
        <v>193</v>
      </c>
      <c r="AP32" s="40">
        <v>169</v>
      </c>
      <c r="AQ32" s="40">
        <v>190</v>
      </c>
      <c r="AR32" s="41"/>
      <c r="AS32" s="40"/>
      <c r="AT32" s="40"/>
      <c r="AU32" s="40"/>
      <c r="AV32" s="40"/>
      <c r="AW32" s="40"/>
      <c r="AX32" s="40"/>
      <c r="AY32" s="40"/>
      <c r="AZ32" s="40"/>
      <c r="BA32" s="40"/>
      <c r="BB32" s="41"/>
      <c r="BC32" s="40"/>
      <c r="BD32" s="40"/>
      <c r="BE32" s="40"/>
      <c r="BF32" s="40"/>
      <c r="BG32" s="40"/>
      <c r="BH32" s="40"/>
      <c r="BI32" s="40"/>
      <c r="BJ32" s="40"/>
      <c r="BK32" s="40"/>
      <c r="BL32" s="41"/>
      <c r="BM32" s="40"/>
      <c r="BN32" s="40"/>
      <c r="BO32" s="40"/>
      <c r="BP32" s="40"/>
      <c r="BQ32" s="40"/>
      <c r="BR32" s="40"/>
      <c r="BS32" s="40"/>
      <c r="BT32" s="41"/>
    </row>
    <row r="33" spans="1:72" ht="18" x14ac:dyDescent="0.35">
      <c r="A33" s="38" t="s">
        <v>22</v>
      </c>
      <c r="B33" s="498" t="s">
        <v>14</v>
      </c>
      <c r="C33" s="40" t="s">
        <v>16</v>
      </c>
      <c r="D33" s="40" t="s">
        <v>16</v>
      </c>
      <c r="E33" s="40" t="s">
        <v>16</v>
      </c>
      <c r="F33" s="40" t="s">
        <v>16</v>
      </c>
      <c r="G33" s="40" t="s">
        <v>16</v>
      </c>
      <c r="H33" s="40" t="s">
        <v>16</v>
      </c>
      <c r="I33" s="40" t="s">
        <v>16</v>
      </c>
      <c r="J33" s="40" t="s">
        <v>16</v>
      </c>
      <c r="K33" s="40" t="s">
        <v>16</v>
      </c>
      <c r="L33" s="40" t="s">
        <v>16</v>
      </c>
      <c r="M33" s="40" t="s">
        <v>16</v>
      </c>
      <c r="N33" s="40" t="s">
        <v>16</v>
      </c>
      <c r="O33" s="40" t="s">
        <v>16</v>
      </c>
      <c r="P33" s="40" t="s">
        <v>16</v>
      </c>
      <c r="Q33" s="40" t="s">
        <v>16</v>
      </c>
      <c r="R33" s="40" t="s">
        <v>16</v>
      </c>
      <c r="S33" s="40" t="s">
        <v>16</v>
      </c>
      <c r="T33" s="40" t="s">
        <v>16</v>
      </c>
      <c r="U33" s="40" t="s">
        <v>16</v>
      </c>
      <c r="V33" s="40" t="s">
        <v>16</v>
      </c>
      <c r="W33" s="40" t="s">
        <v>16</v>
      </c>
      <c r="X33" s="41" t="s">
        <v>16</v>
      </c>
      <c r="Y33" s="40" t="s">
        <v>16</v>
      </c>
      <c r="Z33" s="40" t="s">
        <v>16</v>
      </c>
      <c r="AA33" s="40" t="s">
        <v>16</v>
      </c>
      <c r="AB33" s="40" t="s">
        <v>16</v>
      </c>
      <c r="AC33" s="40" t="s">
        <v>16</v>
      </c>
      <c r="AD33" s="40" t="s">
        <v>18</v>
      </c>
      <c r="AE33" s="40" t="s">
        <v>16</v>
      </c>
      <c r="AF33" s="40" t="s">
        <v>16</v>
      </c>
      <c r="AG33" s="40" t="s">
        <v>16</v>
      </c>
      <c r="AH33" s="41" t="s">
        <v>16</v>
      </c>
      <c r="AI33" s="40" t="s">
        <v>16</v>
      </c>
      <c r="AJ33" s="40" t="s">
        <v>18</v>
      </c>
      <c r="AK33" s="40" t="s">
        <v>18</v>
      </c>
      <c r="AL33" s="40" t="s">
        <v>18</v>
      </c>
      <c r="AM33" s="40" t="s">
        <v>18</v>
      </c>
      <c r="AN33" s="40" t="s">
        <v>18</v>
      </c>
      <c r="AO33" s="40" t="s">
        <v>18</v>
      </c>
      <c r="AP33" s="40" t="s">
        <v>18</v>
      </c>
      <c r="AQ33" s="40" t="s">
        <v>18</v>
      </c>
      <c r="AR33" s="41"/>
      <c r="AS33" s="40"/>
      <c r="AT33" s="40"/>
      <c r="AU33" s="40"/>
      <c r="AV33" s="40"/>
      <c r="AW33" s="40"/>
      <c r="AX33" s="40"/>
      <c r="AY33" s="40"/>
      <c r="AZ33" s="40"/>
      <c r="BA33" s="40"/>
      <c r="BB33" s="41"/>
      <c r="BC33" s="40"/>
      <c r="BD33" s="40"/>
      <c r="BE33" s="40"/>
      <c r="BF33" s="40"/>
      <c r="BG33" s="40"/>
      <c r="BH33" s="40"/>
      <c r="BI33" s="40"/>
      <c r="BJ33" s="40"/>
      <c r="BK33" s="40"/>
      <c r="BL33" s="41"/>
      <c r="BM33" s="40"/>
      <c r="BN33" s="40"/>
      <c r="BO33" s="40"/>
      <c r="BP33" s="40"/>
      <c r="BQ33" s="40"/>
      <c r="BR33" s="40"/>
      <c r="BS33" s="40"/>
      <c r="BT33" s="41"/>
    </row>
    <row r="34" spans="1:72" ht="18" x14ac:dyDescent="0.35">
      <c r="A34" s="42" t="s">
        <v>12</v>
      </c>
      <c r="B34" s="499" t="s">
        <v>15</v>
      </c>
      <c r="C34" s="44" t="s">
        <v>19</v>
      </c>
      <c r="D34" s="44" t="s">
        <v>19</v>
      </c>
      <c r="E34" s="44" t="s">
        <v>19</v>
      </c>
      <c r="F34" s="44" t="s">
        <v>19</v>
      </c>
      <c r="G34" s="44" t="s">
        <v>17</v>
      </c>
      <c r="H34" s="44" t="s">
        <v>17</v>
      </c>
      <c r="I34" s="44" t="s">
        <v>19</v>
      </c>
      <c r="J34" s="44" t="s">
        <v>19</v>
      </c>
      <c r="K34" s="44" t="s">
        <v>17</v>
      </c>
      <c r="L34" s="44" t="s">
        <v>19</v>
      </c>
      <c r="M34" s="44" t="s">
        <v>19</v>
      </c>
      <c r="N34" s="44" t="s">
        <v>17</v>
      </c>
      <c r="O34" s="44" t="s">
        <v>17</v>
      </c>
      <c r="P34" s="44" t="s">
        <v>17</v>
      </c>
      <c r="Q34" s="44" t="s">
        <v>17</v>
      </c>
      <c r="R34" s="44" t="s">
        <v>17</v>
      </c>
      <c r="S34" s="44" t="s">
        <v>19</v>
      </c>
      <c r="T34" s="44" t="s">
        <v>17</v>
      </c>
      <c r="U34" s="44" t="s">
        <v>19</v>
      </c>
      <c r="V34" s="44" t="s">
        <v>17</v>
      </c>
      <c r="W34" s="44" t="s">
        <v>17</v>
      </c>
      <c r="X34" s="45" t="s">
        <v>17</v>
      </c>
      <c r="Y34" s="44" t="s">
        <v>17</v>
      </c>
      <c r="Z34" s="44" t="s">
        <v>19</v>
      </c>
      <c r="AA34" s="44" t="s">
        <v>17</v>
      </c>
      <c r="AB34" s="44" t="s">
        <v>17</v>
      </c>
      <c r="AC34" s="44" t="s">
        <v>17</v>
      </c>
      <c r="AD34" s="44" t="s">
        <v>17</v>
      </c>
      <c r="AE34" s="44" t="s">
        <v>17</v>
      </c>
      <c r="AF34" s="44" t="s">
        <v>17</v>
      </c>
      <c r="AG34" s="44" t="s">
        <v>19</v>
      </c>
      <c r="AH34" s="45" t="s">
        <v>17</v>
      </c>
      <c r="AI34" s="44" t="s">
        <v>17</v>
      </c>
      <c r="AJ34" s="44" t="s">
        <v>17</v>
      </c>
      <c r="AK34" s="44" t="s">
        <v>17</v>
      </c>
      <c r="AL34" s="44" t="s">
        <v>19</v>
      </c>
      <c r="AM34" s="44" t="s">
        <v>17</v>
      </c>
      <c r="AN34" s="44" t="s">
        <v>17</v>
      </c>
      <c r="AO34" s="44" t="s">
        <v>17</v>
      </c>
      <c r="AP34" s="44" t="s">
        <v>19</v>
      </c>
      <c r="AQ34" s="44" t="s">
        <v>17</v>
      </c>
      <c r="AR34" s="45"/>
      <c r="AS34" s="44"/>
      <c r="AT34" s="44"/>
      <c r="AU34" s="44"/>
      <c r="AV34" s="44"/>
      <c r="AW34" s="44"/>
      <c r="AX34" s="44"/>
      <c r="AY34" s="44"/>
      <c r="AZ34" s="44"/>
      <c r="BA34" s="44"/>
      <c r="BB34" s="45"/>
      <c r="BC34" s="44"/>
      <c r="BD34" s="44"/>
      <c r="BE34" s="44"/>
      <c r="BF34" s="44"/>
      <c r="BG34" s="44"/>
      <c r="BH34" s="44"/>
      <c r="BI34" s="44"/>
      <c r="BJ34" s="44"/>
      <c r="BK34" s="44"/>
      <c r="BL34" s="45"/>
      <c r="BM34" s="44"/>
      <c r="BN34" s="44"/>
      <c r="BO34" s="44"/>
      <c r="BP34" s="44"/>
      <c r="BQ34" s="44"/>
      <c r="BR34" s="44"/>
      <c r="BS34" s="44"/>
      <c r="BT34" s="45"/>
    </row>
    <row r="37" spans="1:72" x14ac:dyDescent="0.25">
      <c r="C37" s="5" t="s">
        <v>158</v>
      </c>
      <c r="D37" s="5"/>
      <c r="E37" s="5"/>
      <c r="F37" s="5">
        <f>COUNT(C39:AE39)</f>
        <v>29</v>
      </c>
      <c r="G37" s="5" t="s">
        <v>30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</row>
    <row r="38" spans="1:72" ht="18" x14ac:dyDescent="0.35">
      <c r="A38" s="34" t="s">
        <v>25</v>
      </c>
      <c r="B38" s="497" t="s">
        <v>1</v>
      </c>
      <c r="C38" s="36">
        <v>1</v>
      </c>
      <c r="D38" s="36">
        <v>2</v>
      </c>
      <c r="E38" s="36">
        <v>3</v>
      </c>
      <c r="F38" s="36">
        <v>4</v>
      </c>
      <c r="G38" s="36">
        <v>5</v>
      </c>
      <c r="H38" s="36">
        <v>6</v>
      </c>
      <c r="I38" s="36">
        <v>7</v>
      </c>
      <c r="J38" s="36">
        <v>8</v>
      </c>
      <c r="K38" s="36">
        <v>9</v>
      </c>
      <c r="L38" s="36">
        <v>10</v>
      </c>
      <c r="M38" s="36">
        <v>11</v>
      </c>
      <c r="N38" s="36">
        <v>12</v>
      </c>
      <c r="O38" s="36">
        <v>13</v>
      </c>
      <c r="P38" s="36">
        <v>14</v>
      </c>
      <c r="Q38" s="492">
        <v>15</v>
      </c>
      <c r="R38" s="36">
        <v>16</v>
      </c>
      <c r="S38" s="36">
        <v>17</v>
      </c>
      <c r="T38" s="36">
        <v>18</v>
      </c>
      <c r="U38" s="36">
        <v>19</v>
      </c>
      <c r="V38" s="36">
        <v>20</v>
      </c>
      <c r="W38" s="36">
        <v>21</v>
      </c>
      <c r="X38" s="36">
        <v>22</v>
      </c>
      <c r="Y38" s="36">
        <v>23</v>
      </c>
      <c r="Z38" s="36">
        <v>24</v>
      </c>
      <c r="AA38" s="36">
        <v>25</v>
      </c>
      <c r="AB38" s="36">
        <v>26</v>
      </c>
      <c r="AC38" s="36">
        <v>27</v>
      </c>
      <c r="AD38" s="36">
        <v>28</v>
      </c>
      <c r="AE38" s="36">
        <v>29</v>
      </c>
    </row>
    <row r="39" spans="1:72" ht="18" x14ac:dyDescent="0.35">
      <c r="A39" s="38" t="s">
        <v>9</v>
      </c>
      <c r="B39" s="498" t="s">
        <v>2</v>
      </c>
      <c r="C39" s="40">
        <v>19</v>
      </c>
      <c r="D39" s="40">
        <v>20</v>
      </c>
      <c r="E39" s="40">
        <v>20</v>
      </c>
      <c r="F39" s="40">
        <v>20</v>
      </c>
      <c r="G39" s="40">
        <v>20</v>
      </c>
      <c r="H39" s="40">
        <v>21</v>
      </c>
      <c r="I39" s="40">
        <v>21</v>
      </c>
      <c r="J39" s="40">
        <v>22</v>
      </c>
      <c r="K39" s="40">
        <v>22</v>
      </c>
      <c r="L39" s="40">
        <v>22</v>
      </c>
      <c r="M39" s="40">
        <v>22</v>
      </c>
      <c r="N39" s="40">
        <v>22</v>
      </c>
      <c r="O39" s="40">
        <v>22</v>
      </c>
      <c r="P39" s="40">
        <v>23</v>
      </c>
      <c r="Q39" s="493">
        <v>23</v>
      </c>
      <c r="R39" s="40">
        <v>23</v>
      </c>
      <c r="S39" s="40">
        <v>23</v>
      </c>
      <c r="T39" s="40">
        <v>23</v>
      </c>
      <c r="U39" s="40">
        <v>23</v>
      </c>
      <c r="V39" s="40">
        <v>24</v>
      </c>
      <c r="W39" s="40">
        <v>25</v>
      </c>
      <c r="X39" s="40">
        <v>25</v>
      </c>
      <c r="Y39" s="40">
        <v>25</v>
      </c>
      <c r="Z39" s="40">
        <v>25</v>
      </c>
      <c r="AA39" s="40">
        <v>25</v>
      </c>
      <c r="AB39" s="40">
        <v>26</v>
      </c>
      <c r="AC39" s="40">
        <v>26</v>
      </c>
      <c r="AD39" s="40">
        <v>26</v>
      </c>
      <c r="AE39" s="40">
        <v>26</v>
      </c>
    </row>
    <row r="40" spans="1:72" ht="18" x14ac:dyDescent="0.35">
      <c r="A40" s="38" t="s">
        <v>21</v>
      </c>
      <c r="B40" s="498" t="s">
        <v>13</v>
      </c>
      <c r="C40" s="40">
        <v>182</v>
      </c>
      <c r="D40" s="40">
        <v>185</v>
      </c>
      <c r="E40" s="40">
        <v>183</v>
      </c>
      <c r="F40" s="40">
        <v>195</v>
      </c>
      <c r="G40" s="40">
        <v>183</v>
      </c>
      <c r="H40" s="40">
        <v>176</v>
      </c>
      <c r="I40" s="40">
        <v>174</v>
      </c>
      <c r="J40" s="40">
        <v>188</v>
      </c>
      <c r="K40" s="40">
        <v>160</v>
      </c>
      <c r="L40" s="40">
        <v>165</v>
      </c>
      <c r="M40" s="40">
        <v>170</v>
      </c>
      <c r="N40" s="40">
        <v>184</v>
      </c>
      <c r="O40" s="40">
        <v>165</v>
      </c>
      <c r="P40" s="40">
        <v>176</v>
      </c>
      <c r="Q40" s="40">
        <v>185</v>
      </c>
      <c r="R40" s="40">
        <v>155</v>
      </c>
      <c r="S40" s="40">
        <v>178</v>
      </c>
      <c r="T40" s="40">
        <v>176</v>
      </c>
      <c r="U40" s="40">
        <v>160</v>
      </c>
      <c r="V40" s="40">
        <v>182</v>
      </c>
      <c r="W40" s="40">
        <v>176</v>
      </c>
      <c r="X40" s="40">
        <v>180</v>
      </c>
      <c r="Y40" s="40">
        <v>178</v>
      </c>
      <c r="Z40" s="40">
        <v>176</v>
      </c>
      <c r="AA40" s="40">
        <v>170</v>
      </c>
      <c r="AB40" s="40">
        <v>184</v>
      </c>
      <c r="AC40" s="40">
        <v>175</v>
      </c>
      <c r="AD40" s="40">
        <v>185</v>
      </c>
      <c r="AE40" s="40">
        <v>185</v>
      </c>
    </row>
    <row r="41" spans="1:72" ht="18" x14ac:dyDescent="0.35">
      <c r="A41" s="38" t="s">
        <v>22</v>
      </c>
      <c r="B41" s="498" t="s">
        <v>14</v>
      </c>
      <c r="C41" s="40" t="s">
        <v>16</v>
      </c>
      <c r="D41" s="40" t="s">
        <v>16</v>
      </c>
      <c r="E41" s="40" t="s">
        <v>16</v>
      </c>
      <c r="F41" s="40" t="s">
        <v>16</v>
      </c>
      <c r="G41" s="40" t="s">
        <v>16</v>
      </c>
      <c r="H41" s="40" t="s">
        <v>16</v>
      </c>
      <c r="I41" s="40" t="s">
        <v>16</v>
      </c>
      <c r="J41" s="40" t="s">
        <v>16</v>
      </c>
      <c r="K41" s="40" t="s">
        <v>16</v>
      </c>
      <c r="L41" s="40" t="s">
        <v>16</v>
      </c>
      <c r="M41" s="40" t="s">
        <v>16</v>
      </c>
      <c r="N41" s="40" t="s">
        <v>16</v>
      </c>
      <c r="O41" s="40" t="s">
        <v>16</v>
      </c>
      <c r="P41" s="40" t="s">
        <v>18</v>
      </c>
      <c r="Q41" s="40" t="s">
        <v>16</v>
      </c>
      <c r="R41" s="40" t="s">
        <v>18</v>
      </c>
      <c r="S41" s="40" t="s">
        <v>16</v>
      </c>
      <c r="T41" s="40" t="s">
        <v>18</v>
      </c>
      <c r="U41" s="40" t="s">
        <v>16</v>
      </c>
      <c r="V41" s="40" t="s">
        <v>16</v>
      </c>
      <c r="W41" s="40" t="s">
        <v>18</v>
      </c>
      <c r="X41" s="40" t="s">
        <v>16</v>
      </c>
      <c r="Y41" s="40" t="s">
        <v>16</v>
      </c>
      <c r="Z41" s="40" t="s">
        <v>18</v>
      </c>
      <c r="AA41" s="40" t="s">
        <v>16</v>
      </c>
      <c r="AB41" s="40" t="s">
        <v>18</v>
      </c>
      <c r="AC41" s="40" t="s">
        <v>18</v>
      </c>
      <c r="AD41" s="40" t="s">
        <v>18</v>
      </c>
      <c r="AE41" s="40" t="s">
        <v>16</v>
      </c>
    </row>
    <row r="42" spans="1:72" ht="18" x14ac:dyDescent="0.35">
      <c r="A42" s="42" t="s">
        <v>12</v>
      </c>
      <c r="B42" s="499" t="s">
        <v>15</v>
      </c>
      <c r="C42" s="44" t="s">
        <v>19</v>
      </c>
      <c r="D42" s="44" t="s">
        <v>17</v>
      </c>
      <c r="E42" s="44" t="s">
        <v>17</v>
      </c>
      <c r="F42" s="44" t="s">
        <v>17</v>
      </c>
      <c r="G42" s="44" t="s">
        <v>17</v>
      </c>
      <c r="H42" s="44" t="s">
        <v>17</v>
      </c>
      <c r="I42" s="44" t="s">
        <v>19</v>
      </c>
      <c r="J42" s="44" t="s">
        <v>17</v>
      </c>
      <c r="K42" s="44" t="s">
        <v>19</v>
      </c>
      <c r="L42" s="44" t="s">
        <v>19</v>
      </c>
      <c r="M42" s="44" t="s">
        <v>17</v>
      </c>
      <c r="N42" s="44" t="s">
        <v>17</v>
      </c>
      <c r="O42" s="44" t="s">
        <v>19</v>
      </c>
      <c r="P42" s="44" t="s">
        <v>17</v>
      </c>
      <c r="Q42" s="44" t="s">
        <v>17</v>
      </c>
      <c r="R42" s="44" t="s">
        <v>19</v>
      </c>
      <c r="S42" s="44" t="s">
        <v>17</v>
      </c>
      <c r="T42" s="44" t="s">
        <v>17</v>
      </c>
      <c r="U42" s="44" t="s">
        <v>19</v>
      </c>
      <c r="V42" s="44" t="s">
        <v>17</v>
      </c>
      <c r="W42" s="44" t="s">
        <v>19</v>
      </c>
      <c r="X42" s="44" t="s">
        <v>17</v>
      </c>
      <c r="Y42" s="44" t="s">
        <v>17</v>
      </c>
      <c r="Z42" s="44" t="s">
        <v>19</v>
      </c>
      <c r="AA42" s="44" t="s">
        <v>17</v>
      </c>
      <c r="AB42" s="44" t="s">
        <v>17</v>
      </c>
      <c r="AC42" s="44" t="s">
        <v>17</v>
      </c>
      <c r="AD42" s="44" t="s">
        <v>17</v>
      </c>
      <c r="AE42" s="44" t="s">
        <v>17</v>
      </c>
    </row>
    <row r="48" spans="1:72" x14ac:dyDescent="0.25">
      <c r="G48" s="40">
        <v>19</v>
      </c>
      <c r="H48" s="40">
        <v>168</v>
      </c>
      <c r="I48" s="40" t="s">
        <v>16</v>
      </c>
      <c r="J48" s="44" t="s">
        <v>19</v>
      </c>
      <c r="O48" s="40">
        <v>19</v>
      </c>
      <c r="P48" s="40">
        <v>168</v>
      </c>
      <c r="Q48" s="40" t="s">
        <v>16</v>
      </c>
      <c r="R48" s="44" t="s">
        <v>19</v>
      </c>
      <c r="U48" s="40">
        <v>19</v>
      </c>
      <c r="V48" s="40">
        <v>182</v>
      </c>
      <c r="W48" s="40" t="s">
        <v>16</v>
      </c>
      <c r="X48" s="44" t="s">
        <v>19</v>
      </c>
    </row>
    <row r="49" spans="7:24" x14ac:dyDescent="0.25">
      <c r="G49" s="40">
        <v>19</v>
      </c>
      <c r="H49" s="40">
        <v>160</v>
      </c>
      <c r="I49" s="40" t="s">
        <v>16</v>
      </c>
      <c r="J49" s="44" t="s">
        <v>19</v>
      </c>
      <c r="O49" s="40">
        <v>19</v>
      </c>
      <c r="P49" s="40">
        <v>160</v>
      </c>
      <c r="Q49" s="40" t="s">
        <v>16</v>
      </c>
      <c r="R49" s="44" t="s">
        <v>19</v>
      </c>
      <c r="U49" s="40">
        <v>20</v>
      </c>
      <c r="V49" s="40">
        <v>185</v>
      </c>
      <c r="W49" s="40" t="s">
        <v>16</v>
      </c>
      <c r="X49" s="44" t="s">
        <v>17</v>
      </c>
    </row>
    <row r="50" spans="7:24" x14ac:dyDescent="0.25">
      <c r="G50" s="40">
        <v>19</v>
      </c>
      <c r="H50" s="40">
        <v>182</v>
      </c>
      <c r="I50" s="40" t="s">
        <v>16</v>
      </c>
      <c r="J50" s="44" t="s">
        <v>19</v>
      </c>
      <c r="O50" s="40">
        <v>20</v>
      </c>
      <c r="P50" s="40">
        <v>163</v>
      </c>
      <c r="Q50" s="40" t="s">
        <v>16</v>
      </c>
      <c r="R50" s="44" t="s">
        <v>19</v>
      </c>
      <c r="U50" s="40">
        <v>20</v>
      </c>
      <c r="V50" s="40">
        <v>183</v>
      </c>
      <c r="W50" s="40" t="s">
        <v>16</v>
      </c>
      <c r="X50" s="44" t="s">
        <v>17</v>
      </c>
    </row>
    <row r="51" spans="7:24" x14ac:dyDescent="0.25">
      <c r="G51" s="40">
        <v>20</v>
      </c>
      <c r="H51" s="40">
        <v>163</v>
      </c>
      <c r="I51" s="40" t="s">
        <v>16</v>
      </c>
      <c r="J51" s="44" t="s">
        <v>19</v>
      </c>
      <c r="O51" s="40">
        <v>20</v>
      </c>
      <c r="P51" s="40">
        <v>163</v>
      </c>
      <c r="Q51" s="40" t="s">
        <v>16</v>
      </c>
      <c r="R51" s="44" t="s">
        <v>19</v>
      </c>
      <c r="U51" s="40">
        <v>20</v>
      </c>
      <c r="V51" s="40">
        <v>195</v>
      </c>
      <c r="W51" s="40" t="s">
        <v>16</v>
      </c>
      <c r="X51" s="44" t="s">
        <v>17</v>
      </c>
    </row>
    <row r="52" spans="7:24" x14ac:dyDescent="0.25">
      <c r="G52" s="40">
        <v>20</v>
      </c>
      <c r="H52" s="40">
        <v>163</v>
      </c>
      <c r="I52" s="40" t="s">
        <v>16</v>
      </c>
      <c r="J52" s="44" t="s">
        <v>19</v>
      </c>
      <c r="O52" s="40">
        <v>20</v>
      </c>
      <c r="P52" s="40">
        <v>182</v>
      </c>
      <c r="Q52" s="40" t="s">
        <v>16</v>
      </c>
      <c r="R52" s="44" t="s">
        <v>17</v>
      </c>
      <c r="U52" s="40">
        <v>20</v>
      </c>
      <c r="V52" s="40">
        <v>183</v>
      </c>
      <c r="W52" s="40" t="s">
        <v>16</v>
      </c>
      <c r="X52" s="44" t="s">
        <v>17</v>
      </c>
    </row>
    <row r="53" spans="7:24" x14ac:dyDescent="0.25">
      <c r="G53" s="40">
        <v>20</v>
      </c>
      <c r="H53" s="40">
        <v>182</v>
      </c>
      <c r="I53" s="40" t="s">
        <v>16</v>
      </c>
      <c r="J53" s="44" t="s">
        <v>17</v>
      </c>
      <c r="O53" s="40">
        <v>20</v>
      </c>
      <c r="P53" s="40">
        <v>180</v>
      </c>
      <c r="Q53" s="40" t="s">
        <v>16</v>
      </c>
      <c r="R53" s="44" t="s">
        <v>17</v>
      </c>
      <c r="U53" s="40">
        <v>21</v>
      </c>
      <c r="V53" s="40">
        <v>176</v>
      </c>
      <c r="W53" s="40" t="s">
        <v>16</v>
      </c>
      <c r="X53" s="44" t="s">
        <v>17</v>
      </c>
    </row>
    <row r="54" spans="7:24" x14ac:dyDescent="0.25">
      <c r="G54" s="40">
        <v>20</v>
      </c>
      <c r="H54" s="40">
        <v>180</v>
      </c>
      <c r="I54" s="40" t="s">
        <v>16</v>
      </c>
      <c r="J54" s="44" t="s">
        <v>17</v>
      </c>
      <c r="O54" s="40">
        <v>20</v>
      </c>
      <c r="P54" s="40">
        <v>170</v>
      </c>
      <c r="Q54" s="40" t="s">
        <v>16</v>
      </c>
      <c r="R54" s="44" t="s">
        <v>19</v>
      </c>
      <c r="U54" s="40">
        <v>21</v>
      </c>
      <c r="V54" s="40">
        <v>174</v>
      </c>
      <c r="W54" s="40" t="s">
        <v>16</v>
      </c>
      <c r="X54" s="44" t="s">
        <v>19</v>
      </c>
    </row>
    <row r="55" spans="7:24" x14ac:dyDescent="0.25">
      <c r="G55" s="40">
        <v>20</v>
      </c>
      <c r="H55" s="40">
        <v>170</v>
      </c>
      <c r="I55" s="40" t="s">
        <v>16</v>
      </c>
      <c r="J55" s="44" t="s">
        <v>19</v>
      </c>
      <c r="O55" s="40">
        <v>20</v>
      </c>
      <c r="P55" s="40">
        <v>174</v>
      </c>
      <c r="Q55" s="40" t="s">
        <v>16</v>
      </c>
      <c r="R55" s="44" t="s">
        <v>19</v>
      </c>
      <c r="U55" s="40">
        <v>22</v>
      </c>
      <c r="V55" s="40">
        <v>188</v>
      </c>
      <c r="W55" s="40" t="s">
        <v>16</v>
      </c>
      <c r="X55" s="44" t="s">
        <v>17</v>
      </c>
    </row>
    <row r="56" spans="7:24" x14ac:dyDescent="0.25">
      <c r="G56" s="40">
        <v>20</v>
      </c>
      <c r="H56" s="40">
        <v>174</v>
      </c>
      <c r="I56" s="40" t="s">
        <v>16</v>
      </c>
      <c r="J56" s="44" t="s">
        <v>19</v>
      </c>
      <c r="O56" s="40">
        <v>21</v>
      </c>
      <c r="P56" s="40">
        <v>178</v>
      </c>
      <c r="Q56" s="40" t="s">
        <v>16</v>
      </c>
      <c r="R56" s="44" t="s">
        <v>17</v>
      </c>
      <c r="U56" s="40">
        <v>22</v>
      </c>
      <c r="V56" s="40">
        <v>160</v>
      </c>
      <c r="W56" s="40" t="s">
        <v>16</v>
      </c>
      <c r="X56" s="44" t="s">
        <v>19</v>
      </c>
    </row>
    <row r="57" spans="7:24" x14ac:dyDescent="0.25">
      <c r="G57" s="40">
        <v>20</v>
      </c>
      <c r="H57" s="40">
        <v>185</v>
      </c>
      <c r="I57" s="40" t="s">
        <v>16</v>
      </c>
      <c r="J57" s="44" t="s">
        <v>17</v>
      </c>
      <c r="O57" s="40">
        <v>21</v>
      </c>
      <c r="P57" s="40">
        <v>163</v>
      </c>
      <c r="Q57" s="40" t="s">
        <v>16</v>
      </c>
      <c r="R57" s="44" t="s">
        <v>19</v>
      </c>
      <c r="U57" s="40">
        <v>22</v>
      </c>
      <c r="V57" s="40">
        <v>165</v>
      </c>
      <c r="W57" s="40" t="s">
        <v>16</v>
      </c>
      <c r="X57" s="44" t="s">
        <v>19</v>
      </c>
    </row>
    <row r="58" spans="7:24" x14ac:dyDescent="0.25">
      <c r="G58" s="40">
        <v>20</v>
      </c>
      <c r="H58" s="40">
        <v>183</v>
      </c>
      <c r="I58" s="40" t="s">
        <v>16</v>
      </c>
      <c r="J58" s="44" t="s">
        <v>17</v>
      </c>
      <c r="O58" s="40">
        <v>21</v>
      </c>
      <c r="P58" s="40">
        <v>160</v>
      </c>
      <c r="Q58" s="40" t="s">
        <v>16</v>
      </c>
      <c r="R58" s="44" t="s">
        <v>19</v>
      </c>
      <c r="U58" s="40">
        <v>22</v>
      </c>
      <c r="V58" s="40">
        <v>170</v>
      </c>
      <c r="W58" s="40" t="s">
        <v>16</v>
      </c>
      <c r="X58" s="44" t="s">
        <v>17</v>
      </c>
    </row>
    <row r="59" spans="7:24" x14ac:dyDescent="0.25">
      <c r="G59" s="40">
        <v>20</v>
      </c>
      <c r="H59" s="40">
        <v>195</v>
      </c>
      <c r="I59" s="40" t="s">
        <v>16</v>
      </c>
      <c r="J59" s="44" t="s">
        <v>17</v>
      </c>
      <c r="O59" s="40">
        <v>21</v>
      </c>
      <c r="P59" s="40">
        <v>184</v>
      </c>
      <c r="Q59" s="40" t="s">
        <v>16</v>
      </c>
      <c r="R59" s="44" t="s">
        <v>17</v>
      </c>
      <c r="U59" s="40">
        <v>22</v>
      </c>
      <c r="V59" s="40">
        <v>184</v>
      </c>
      <c r="W59" s="40" t="s">
        <v>16</v>
      </c>
      <c r="X59" s="44" t="s">
        <v>17</v>
      </c>
    </row>
    <row r="60" spans="7:24" x14ac:dyDescent="0.25">
      <c r="G60" s="40">
        <v>20</v>
      </c>
      <c r="H60" s="40">
        <v>183</v>
      </c>
      <c r="I60" s="40" t="s">
        <v>16</v>
      </c>
      <c r="J60" s="44" t="s">
        <v>17</v>
      </c>
      <c r="O60" s="40">
        <v>21</v>
      </c>
      <c r="P60" s="40">
        <v>185</v>
      </c>
      <c r="Q60" s="40" t="s">
        <v>16</v>
      </c>
      <c r="R60" s="44" t="s">
        <v>17</v>
      </c>
      <c r="U60" s="40">
        <v>22</v>
      </c>
      <c r="V60" s="40">
        <v>165</v>
      </c>
      <c r="W60" s="40" t="s">
        <v>16</v>
      </c>
      <c r="X60" s="44" t="s">
        <v>19</v>
      </c>
    </row>
    <row r="61" spans="7:24" x14ac:dyDescent="0.25">
      <c r="G61" s="40">
        <v>21</v>
      </c>
      <c r="H61" s="40">
        <v>178</v>
      </c>
      <c r="I61" s="40" t="s">
        <v>16</v>
      </c>
      <c r="J61" s="44" t="s">
        <v>17</v>
      </c>
      <c r="O61" s="40">
        <v>21</v>
      </c>
      <c r="P61" s="40">
        <v>185</v>
      </c>
      <c r="Q61" s="40" t="s">
        <v>16</v>
      </c>
      <c r="R61" s="44" t="s">
        <v>17</v>
      </c>
      <c r="U61" s="40">
        <v>23</v>
      </c>
      <c r="V61" s="40">
        <v>176</v>
      </c>
      <c r="W61" s="40" t="s">
        <v>18</v>
      </c>
      <c r="X61" s="44" t="s">
        <v>17</v>
      </c>
    </row>
    <row r="62" spans="7:24" x14ac:dyDescent="0.25">
      <c r="G62" s="40">
        <v>21</v>
      </c>
      <c r="H62" s="40">
        <v>163</v>
      </c>
      <c r="I62" s="40" t="s">
        <v>16</v>
      </c>
      <c r="J62" s="44" t="s">
        <v>19</v>
      </c>
      <c r="O62" s="40">
        <v>21</v>
      </c>
      <c r="P62" s="40">
        <v>165</v>
      </c>
      <c r="Q62" s="40" t="s">
        <v>16</v>
      </c>
      <c r="R62" s="44" t="s">
        <v>17</v>
      </c>
      <c r="U62" s="40">
        <v>23</v>
      </c>
      <c r="V62" s="40">
        <v>185</v>
      </c>
      <c r="W62" s="40" t="s">
        <v>16</v>
      </c>
      <c r="X62" s="44" t="s">
        <v>17</v>
      </c>
    </row>
    <row r="63" spans="7:24" x14ac:dyDescent="0.25">
      <c r="G63" s="40">
        <v>21</v>
      </c>
      <c r="H63" s="40">
        <v>160</v>
      </c>
      <c r="I63" s="40" t="s">
        <v>16</v>
      </c>
      <c r="J63" s="44" t="s">
        <v>19</v>
      </c>
      <c r="O63" s="40">
        <v>21</v>
      </c>
      <c r="P63" s="40">
        <v>176</v>
      </c>
      <c r="Q63" s="40" t="s">
        <v>16</v>
      </c>
      <c r="R63" s="44" t="s">
        <v>17</v>
      </c>
      <c r="U63" s="40">
        <v>23</v>
      </c>
      <c r="V63" s="40">
        <v>155</v>
      </c>
      <c r="W63" s="40" t="s">
        <v>18</v>
      </c>
      <c r="X63" s="44" t="s">
        <v>19</v>
      </c>
    </row>
    <row r="64" spans="7:24" x14ac:dyDescent="0.25">
      <c r="G64" s="40">
        <v>21</v>
      </c>
      <c r="H64" s="40">
        <v>184</v>
      </c>
      <c r="I64" s="40" t="s">
        <v>16</v>
      </c>
      <c r="J64" s="44" t="s">
        <v>17</v>
      </c>
      <c r="O64" s="40">
        <v>21</v>
      </c>
      <c r="P64" s="40">
        <v>173</v>
      </c>
      <c r="Q64" s="40" t="s">
        <v>16</v>
      </c>
      <c r="R64" s="44" t="s">
        <v>19</v>
      </c>
      <c r="U64" s="40">
        <v>23</v>
      </c>
      <c r="V64" s="40">
        <v>178</v>
      </c>
      <c r="W64" s="40" t="s">
        <v>16</v>
      </c>
      <c r="X64" s="44" t="s">
        <v>17</v>
      </c>
    </row>
    <row r="65" spans="7:24" x14ac:dyDescent="0.25">
      <c r="G65" s="40">
        <v>21</v>
      </c>
      <c r="H65" s="40">
        <v>185</v>
      </c>
      <c r="I65" s="40" t="s">
        <v>16</v>
      </c>
      <c r="J65" s="44" t="s">
        <v>17</v>
      </c>
      <c r="O65" s="40">
        <v>22</v>
      </c>
      <c r="P65" s="40">
        <v>187</v>
      </c>
      <c r="Q65" s="40" t="s">
        <v>16</v>
      </c>
      <c r="R65" s="44" t="s">
        <v>17</v>
      </c>
      <c r="U65" s="40">
        <v>23</v>
      </c>
      <c r="V65" s="40">
        <v>176</v>
      </c>
      <c r="W65" s="40" t="s">
        <v>18</v>
      </c>
      <c r="X65" s="44" t="s">
        <v>17</v>
      </c>
    </row>
    <row r="66" spans="7:24" x14ac:dyDescent="0.25">
      <c r="G66" s="40">
        <v>21</v>
      </c>
      <c r="H66" s="40">
        <v>185</v>
      </c>
      <c r="I66" s="40" t="s">
        <v>16</v>
      </c>
      <c r="J66" s="44" t="s">
        <v>17</v>
      </c>
      <c r="O66" s="40">
        <v>22</v>
      </c>
      <c r="P66" s="40">
        <v>161</v>
      </c>
      <c r="Q66" s="40" t="s">
        <v>16</v>
      </c>
      <c r="R66" s="44" t="s">
        <v>19</v>
      </c>
      <c r="U66" s="40">
        <v>23</v>
      </c>
      <c r="V66" s="40">
        <v>160</v>
      </c>
      <c r="W66" s="40" t="s">
        <v>16</v>
      </c>
      <c r="X66" s="44" t="s">
        <v>19</v>
      </c>
    </row>
    <row r="67" spans="7:24" x14ac:dyDescent="0.25">
      <c r="G67" s="40">
        <v>21</v>
      </c>
      <c r="H67" s="40">
        <v>165</v>
      </c>
      <c r="I67" s="40" t="s">
        <v>16</v>
      </c>
      <c r="J67" s="44" t="s">
        <v>17</v>
      </c>
      <c r="O67" s="40">
        <v>22</v>
      </c>
      <c r="P67" s="40">
        <v>174</v>
      </c>
      <c r="Q67" s="40" t="s">
        <v>16</v>
      </c>
      <c r="R67" s="44" t="s">
        <v>17</v>
      </c>
      <c r="U67" s="40">
        <v>24</v>
      </c>
      <c r="V67" s="40">
        <v>182</v>
      </c>
      <c r="W67" s="40" t="s">
        <v>16</v>
      </c>
      <c r="X67" s="44" t="s">
        <v>17</v>
      </c>
    </row>
    <row r="68" spans="7:24" x14ac:dyDescent="0.25">
      <c r="G68" s="40">
        <v>21</v>
      </c>
      <c r="H68" s="40">
        <v>176</v>
      </c>
      <c r="I68" s="40" t="s">
        <v>16</v>
      </c>
      <c r="J68" s="44" t="s">
        <v>17</v>
      </c>
      <c r="O68" s="40">
        <v>22</v>
      </c>
      <c r="P68" s="40">
        <v>185</v>
      </c>
      <c r="Q68" s="40" t="s">
        <v>16</v>
      </c>
      <c r="R68" s="44" t="s">
        <v>17</v>
      </c>
      <c r="U68" s="40">
        <v>25</v>
      </c>
      <c r="V68" s="40">
        <v>176</v>
      </c>
      <c r="W68" s="40" t="s">
        <v>18</v>
      </c>
      <c r="X68" s="44" t="s">
        <v>19</v>
      </c>
    </row>
    <row r="69" spans="7:24" x14ac:dyDescent="0.25">
      <c r="G69" s="41">
        <v>21</v>
      </c>
      <c r="H69" s="41">
        <v>173</v>
      </c>
      <c r="I69" s="41" t="s">
        <v>16</v>
      </c>
      <c r="J69" s="45" t="s">
        <v>19</v>
      </c>
      <c r="O69" s="41">
        <v>22</v>
      </c>
      <c r="P69" s="41">
        <v>170</v>
      </c>
      <c r="Q69" s="41" t="s">
        <v>16</v>
      </c>
      <c r="R69" s="45" t="s">
        <v>17</v>
      </c>
      <c r="U69" s="40">
        <v>25</v>
      </c>
      <c r="V69" s="40">
        <v>180</v>
      </c>
      <c r="W69" s="40" t="s">
        <v>16</v>
      </c>
      <c r="X69" s="44" t="s">
        <v>17</v>
      </c>
    </row>
    <row r="70" spans="7:24" x14ac:dyDescent="0.25">
      <c r="G70" s="40">
        <v>21</v>
      </c>
      <c r="H70" s="40">
        <v>176</v>
      </c>
      <c r="I70" s="40" t="s">
        <v>16</v>
      </c>
      <c r="J70" s="44" t="s">
        <v>17</v>
      </c>
      <c r="O70" s="40">
        <v>22</v>
      </c>
      <c r="P70" s="40">
        <v>180</v>
      </c>
      <c r="Q70" s="40" t="s">
        <v>16</v>
      </c>
      <c r="R70" s="44" t="s">
        <v>17</v>
      </c>
      <c r="U70" s="40">
        <v>25</v>
      </c>
      <c r="V70" s="40">
        <v>178</v>
      </c>
      <c r="W70" s="40" t="s">
        <v>16</v>
      </c>
      <c r="X70" s="44" t="s">
        <v>17</v>
      </c>
    </row>
    <row r="71" spans="7:24" x14ac:dyDescent="0.25">
      <c r="G71" s="40">
        <v>21</v>
      </c>
      <c r="H71" s="40">
        <v>174</v>
      </c>
      <c r="I71" s="40" t="s">
        <v>16</v>
      </c>
      <c r="J71" s="44" t="s">
        <v>19</v>
      </c>
      <c r="O71" s="40">
        <v>22</v>
      </c>
      <c r="P71" s="40">
        <v>170</v>
      </c>
      <c r="Q71" s="40" t="s">
        <v>16</v>
      </c>
      <c r="R71" s="44" t="s">
        <v>19</v>
      </c>
      <c r="U71" s="40">
        <v>25</v>
      </c>
      <c r="V71" s="40">
        <v>176</v>
      </c>
      <c r="W71" s="40" t="s">
        <v>18</v>
      </c>
      <c r="X71" s="44" t="s">
        <v>19</v>
      </c>
    </row>
    <row r="72" spans="7:24" x14ac:dyDescent="0.25">
      <c r="G72" s="40">
        <v>22</v>
      </c>
      <c r="H72" s="40">
        <v>187</v>
      </c>
      <c r="I72" s="40" t="s">
        <v>16</v>
      </c>
      <c r="J72" s="44" t="s">
        <v>17</v>
      </c>
      <c r="O72" s="40">
        <v>22</v>
      </c>
      <c r="P72" s="40">
        <v>180</v>
      </c>
      <c r="Q72" s="40" t="s">
        <v>16</v>
      </c>
      <c r="R72" s="44" t="s">
        <v>17</v>
      </c>
      <c r="U72" s="40">
        <v>25</v>
      </c>
      <c r="V72" s="40">
        <v>170</v>
      </c>
      <c r="W72" s="40" t="s">
        <v>16</v>
      </c>
      <c r="X72" s="44" t="s">
        <v>17</v>
      </c>
    </row>
    <row r="73" spans="7:24" x14ac:dyDescent="0.25">
      <c r="G73" s="40">
        <v>22</v>
      </c>
      <c r="H73" s="40">
        <v>161</v>
      </c>
      <c r="I73" s="40" t="s">
        <v>16</v>
      </c>
      <c r="J73" s="44" t="s">
        <v>19</v>
      </c>
      <c r="O73" s="40">
        <v>23</v>
      </c>
      <c r="P73" s="40">
        <v>170</v>
      </c>
      <c r="Q73" s="40" t="s">
        <v>16</v>
      </c>
      <c r="R73" s="44" t="s">
        <v>17</v>
      </c>
      <c r="U73" s="40">
        <v>26</v>
      </c>
      <c r="V73" s="40">
        <v>184</v>
      </c>
      <c r="W73" s="40" t="s">
        <v>18</v>
      </c>
      <c r="X73" s="44" t="s">
        <v>17</v>
      </c>
    </row>
    <row r="74" spans="7:24" x14ac:dyDescent="0.25">
      <c r="G74" s="40">
        <v>22</v>
      </c>
      <c r="H74" s="40">
        <v>174</v>
      </c>
      <c r="I74" s="40" t="s">
        <v>16</v>
      </c>
      <c r="J74" s="44" t="s">
        <v>17</v>
      </c>
      <c r="O74" s="40">
        <v>23</v>
      </c>
      <c r="P74" s="40">
        <v>193</v>
      </c>
      <c r="Q74" s="40" t="s">
        <v>16</v>
      </c>
      <c r="R74" s="44" t="s">
        <v>17</v>
      </c>
      <c r="U74" s="40">
        <v>26</v>
      </c>
      <c r="V74" s="40">
        <v>175</v>
      </c>
      <c r="W74" s="40" t="s">
        <v>18</v>
      </c>
      <c r="X74" s="44" t="s">
        <v>17</v>
      </c>
    </row>
    <row r="75" spans="7:24" x14ac:dyDescent="0.25">
      <c r="G75" s="40">
        <v>22</v>
      </c>
      <c r="H75" s="40">
        <v>185</v>
      </c>
      <c r="I75" s="40" t="s">
        <v>16</v>
      </c>
      <c r="J75" s="44" t="s">
        <v>17</v>
      </c>
      <c r="O75" s="40">
        <v>23</v>
      </c>
      <c r="P75" s="40">
        <v>189</v>
      </c>
      <c r="Q75" s="40" t="s">
        <v>18</v>
      </c>
      <c r="R75" s="44" t="s">
        <v>17</v>
      </c>
      <c r="U75" s="40">
        <v>26</v>
      </c>
      <c r="V75" s="40">
        <v>185</v>
      </c>
      <c r="W75" s="40" t="s">
        <v>18</v>
      </c>
      <c r="X75" s="44" t="s">
        <v>17</v>
      </c>
    </row>
    <row r="76" spans="7:24" x14ac:dyDescent="0.25">
      <c r="G76" s="40">
        <v>22</v>
      </c>
      <c r="H76" s="40">
        <v>170</v>
      </c>
      <c r="I76" s="40" t="s">
        <v>16</v>
      </c>
      <c r="J76" s="44" t="s">
        <v>17</v>
      </c>
      <c r="O76" s="40">
        <v>24</v>
      </c>
      <c r="P76" s="40">
        <v>170</v>
      </c>
      <c r="Q76" s="40" t="s">
        <v>16</v>
      </c>
      <c r="R76" s="44" t="s">
        <v>17</v>
      </c>
      <c r="U76" s="40">
        <v>26</v>
      </c>
      <c r="V76" s="40">
        <v>185</v>
      </c>
      <c r="W76" s="40" t="s">
        <v>16</v>
      </c>
      <c r="X76" s="44" t="s">
        <v>17</v>
      </c>
    </row>
    <row r="77" spans="7:24" x14ac:dyDescent="0.25">
      <c r="G77" s="40">
        <v>22</v>
      </c>
      <c r="H77" s="40">
        <v>180</v>
      </c>
      <c r="I77" s="40" t="s">
        <v>16</v>
      </c>
      <c r="J77" s="44" t="s">
        <v>17</v>
      </c>
      <c r="O77" s="40">
        <v>24</v>
      </c>
      <c r="P77" s="40">
        <v>171</v>
      </c>
      <c r="Q77" s="40" t="s">
        <v>16</v>
      </c>
      <c r="R77" s="44" t="s">
        <v>17</v>
      </c>
    </row>
    <row r="78" spans="7:24" x14ac:dyDescent="0.25">
      <c r="G78" s="40">
        <v>22</v>
      </c>
      <c r="H78" s="40">
        <v>170</v>
      </c>
      <c r="I78" s="40" t="s">
        <v>16</v>
      </c>
      <c r="J78" s="44" t="s">
        <v>19</v>
      </c>
      <c r="O78" s="40">
        <v>24</v>
      </c>
      <c r="P78" s="40">
        <v>160</v>
      </c>
      <c r="Q78" s="40" t="s">
        <v>16</v>
      </c>
      <c r="R78" s="44" t="s">
        <v>19</v>
      </c>
    </row>
    <row r="79" spans="7:24" x14ac:dyDescent="0.25">
      <c r="G79" s="41">
        <v>22</v>
      </c>
      <c r="H79" s="41">
        <v>180</v>
      </c>
      <c r="I79" s="41" t="s">
        <v>16</v>
      </c>
      <c r="J79" s="45" t="s">
        <v>17</v>
      </c>
      <c r="O79" s="41">
        <v>24</v>
      </c>
      <c r="P79" s="41">
        <v>182</v>
      </c>
      <c r="Q79" s="41" t="s">
        <v>16</v>
      </c>
      <c r="R79" s="45" t="s">
        <v>17</v>
      </c>
    </row>
    <row r="80" spans="7:24" x14ac:dyDescent="0.25">
      <c r="G80" s="40">
        <v>22</v>
      </c>
      <c r="H80" s="40">
        <v>188</v>
      </c>
      <c r="I80" s="40" t="s">
        <v>16</v>
      </c>
      <c r="J80" s="44" t="s">
        <v>17</v>
      </c>
      <c r="O80" s="40">
        <v>24</v>
      </c>
      <c r="P80" s="40">
        <v>183</v>
      </c>
      <c r="Q80" s="40" t="s">
        <v>16</v>
      </c>
      <c r="R80" s="44" t="s">
        <v>17</v>
      </c>
    </row>
    <row r="81" spans="7:18" x14ac:dyDescent="0.25">
      <c r="G81" s="40">
        <v>22</v>
      </c>
      <c r="H81" s="40">
        <v>160</v>
      </c>
      <c r="I81" s="40" t="s">
        <v>16</v>
      </c>
      <c r="J81" s="44" t="s">
        <v>19</v>
      </c>
      <c r="O81" s="40">
        <v>25</v>
      </c>
      <c r="P81" s="40">
        <v>187</v>
      </c>
      <c r="Q81" s="40" t="s">
        <v>18</v>
      </c>
      <c r="R81" s="44" t="s">
        <v>17</v>
      </c>
    </row>
    <row r="82" spans="7:18" x14ac:dyDescent="0.25">
      <c r="G82" s="40">
        <v>22</v>
      </c>
      <c r="H82" s="40">
        <v>165</v>
      </c>
      <c r="I82" s="40" t="s">
        <v>16</v>
      </c>
      <c r="J82" s="44" t="s">
        <v>19</v>
      </c>
      <c r="O82" s="40">
        <v>25</v>
      </c>
      <c r="P82" s="40">
        <v>183</v>
      </c>
      <c r="Q82" s="40" t="s">
        <v>18</v>
      </c>
      <c r="R82" s="44" t="s">
        <v>17</v>
      </c>
    </row>
    <row r="83" spans="7:18" x14ac:dyDescent="0.25">
      <c r="G83" s="40">
        <v>22</v>
      </c>
      <c r="H83" s="40">
        <v>170</v>
      </c>
      <c r="I83" s="40" t="s">
        <v>16</v>
      </c>
      <c r="J83" s="44" t="s">
        <v>17</v>
      </c>
      <c r="O83" s="40">
        <v>25</v>
      </c>
      <c r="P83" s="40">
        <v>172</v>
      </c>
      <c r="Q83" s="40" t="s">
        <v>18</v>
      </c>
      <c r="R83" s="44" t="s">
        <v>19</v>
      </c>
    </row>
    <row r="84" spans="7:18" x14ac:dyDescent="0.25">
      <c r="G84" s="40">
        <v>22</v>
      </c>
      <c r="H84" s="40">
        <v>184</v>
      </c>
      <c r="I84" s="40" t="s">
        <v>16</v>
      </c>
      <c r="J84" s="44" t="s">
        <v>17</v>
      </c>
      <c r="O84" s="40">
        <v>26</v>
      </c>
      <c r="P84" s="40">
        <v>164</v>
      </c>
      <c r="Q84" s="40" t="s">
        <v>18</v>
      </c>
      <c r="R84" s="44" t="s">
        <v>17</v>
      </c>
    </row>
    <row r="85" spans="7:18" x14ac:dyDescent="0.25">
      <c r="G85" s="40">
        <v>22</v>
      </c>
      <c r="H85" s="40">
        <v>165</v>
      </c>
      <c r="I85" s="40" t="s">
        <v>16</v>
      </c>
      <c r="J85" s="44" t="s">
        <v>19</v>
      </c>
      <c r="O85" s="40">
        <v>26</v>
      </c>
      <c r="P85" s="40">
        <v>182</v>
      </c>
      <c r="Q85" s="40" t="s">
        <v>18</v>
      </c>
      <c r="R85" s="44" t="s">
        <v>17</v>
      </c>
    </row>
    <row r="86" spans="7:18" x14ac:dyDescent="0.25">
      <c r="G86" s="40">
        <v>23</v>
      </c>
      <c r="H86" s="40">
        <v>170</v>
      </c>
      <c r="I86" s="40" t="s">
        <v>16</v>
      </c>
      <c r="J86" s="44" t="s">
        <v>17</v>
      </c>
      <c r="O86" s="40">
        <v>27</v>
      </c>
      <c r="P86" s="40">
        <v>193</v>
      </c>
      <c r="Q86" s="40" t="s">
        <v>18</v>
      </c>
      <c r="R86" s="44" t="s">
        <v>17</v>
      </c>
    </row>
    <row r="87" spans="7:18" x14ac:dyDescent="0.25">
      <c r="G87" s="40">
        <v>23</v>
      </c>
      <c r="H87" s="40">
        <v>193</v>
      </c>
      <c r="I87" s="40" t="s">
        <v>16</v>
      </c>
      <c r="J87" s="44" t="s">
        <v>17</v>
      </c>
      <c r="O87" s="40">
        <v>28</v>
      </c>
      <c r="P87" s="40">
        <v>169</v>
      </c>
      <c r="Q87" s="40" t="s">
        <v>18</v>
      </c>
      <c r="R87" s="44" t="s">
        <v>19</v>
      </c>
    </row>
    <row r="88" spans="7:18" x14ac:dyDescent="0.25">
      <c r="G88" s="40">
        <v>23</v>
      </c>
      <c r="H88" s="40">
        <v>189</v>
      </c>
      <c r="I88" s="40" t="s">
        <v>18</v>
      </c>
      <c r="J88" s="44" t="s">
        <v>17</v>
      </c>
      <c r="O88" s="40">
        <v>28</v>
      </c>
      <c r="P88" s="40">
        <v>190</v>
      </c>
      <c r="Q88" s="40" t="s">
        <v>18</v>
      </c>
      <c r="R88" s="44" t="s">
        <v>17</v>
      </c>
    </row>
    <row r="89" spans="7:18" x14ac:dyDescent="0.25">
      <c r="G89" s="40">
        <v>23</v>
      </c>
      <c r="H89" s="40">
        <v>176</v>
      </c>
      <c r="I89" s="40" t="s">
        <v>18</v>
      </c>
      <c r="J89" s="44" t="s">
        <v>17</v>
      </c>
    </row>
    <row r="90" spans="7:18" x14ac:dyDescent="0.25">
      <c r="G90" s="40">
        <v>23</v>
      </c>
      <c r="H90" s="40">
        <v>185</v>
      </c>
      <c r="I90" s="40" t="s">
        <v>16</v>
      </c>
      <c r="J90" s="44" t="s">
        <v>17</v>
      </c>
    </row>
    <row r="91" spans="7:18" x14ac:dyDescent="0.25">
      <c r="G91" s="40">
        <v>23</v>
      </c>
      <c r="H91" s="40">
        <v>155</v>
      </c>
      <c r="I91" s="40" t="s">
        <v>18</v>
      </c>
      <c r="J91" s="44" t="s">
        <v>19</v>
      </c>
    </row>
    <row r="92" spans="7:18" x14ac:dyDescent="0.25">
      <c r="G92" s="40">
        <v>23</v>
      </c>
      <c r="H92" s="40">
        <v>178</v>
      </c>
      <c r="I92" s="40" t="s">
        <v>16</v>
      </c>
      <c r="J92" s="44" t="s">
        <v>17</v>
      </c>
    </row>
    <row r="93" spans="7:18" x14ac:dyDescent="0.25">
      <c r="G93" s="40">
        <v>23</v>
      </c>
      <c r="H93" s="40">
        <v>176</v>
      </c>
      <c r="I93" s="40" t="s">
        <v>18</v>
      </c>
      <c r="J93" s="44" t="s">
        <v>17</v>
      </c>
    </row>
    <row r="94" spans="7:18" x14ac:dyDescent="0.25">
      <c r="G94" s="40">
        <v>23</v>
      </c>
      <c r="H94" s="40">
        <v>160</v>
      </c>
      <c r="I94" s="40" t="s">
        <v>16</v>
      </c>
      <c r="J94" s="44" t="s">
        <v>19</v>
      </c>
    </row>
    <row r="95" spans="7:18" x14ac:dyDescent="0.25">
      <c r="G95" s="40">
        <v>24</v>
      </c>
      <c r="H95" s="40">
        <v>170</v>
      </c>
      <c r="I95" s="40" t="s">
        <v>16</v>
      </c>
      <c r="J95" s="44" t="s">
        <v>17</v>
      </c>
    </row>
    <row r="96" spans="7:18" x14ac:dyDescent="0.25">
      <c r="G96" s="40">
        <v>24</v>
      </c>
      <c r="H96" s="40">
        <v>171</v>
      </c>
      <c r="I96" s="40" t="s">
        <v>16</v>
      </c>
      <c r="J96" s="44" t="s">
        <v>17</v>
      </c>
    </row>
    <row r="97" spans="7:10" x14ac:dyDescent="0.25">
      <c r="G97" s="40">
        <v>24</v>
      </c>
      <c r="H97" s="40">
        <v>160</v>
      </c>
      <c r="I97" s="40" t="s">
        <v>16</v>
      </c>
      <c r="J97" s="44" t="s">
        <v>19</v>
      </c>
    </row>
    <row r="98" spans="7:10" x14ac:dyDescent="0.25">
      <c r="G98" s="40">
        <v>24</v>
      </c>
      <c r="H98" s="40">
        <v>182</v>
      </c>
      <c r="I98" s="40" t="s">
        <v>16</v>
      </c>
      <c r="J98" s="44" t="s">
        <v>17</v>
      </c>
    </row>
    <row r="99" spans="7:10" x14ac:dyDescent="0.25">
      <c r="G99" s="40">
        <v>24</v>
      </c>
      <c r="H99" s="40">
        <v>183</v>
      </c>
      <c r="I99" s="40" t="s">
        <v>16</v>
      </c>
      <c r="J99" s="44" t="s">
        <v>17</v>
      </c>
    </row>
    <row r="100" spans="7:10" x14ac:dyDescent="0.25">
      <c r="G100" s="40">
        <v>24</v>
      </c>
      <c r="H100" s="40">
        <v>182</v>
      </c>
      <c r="I100" s="40" t="s">
        <v>16</v>
      </c>
      <c r="J100" s="44" t="s">
        <v>17</v>
      </c>
    </row>
    <row r="101" spans="7:10" x14ac:dyDescent="0.25">
      <c r="G101" s="40">
        <v>25</v>
      </c>
      <c r="H101" s="40">
        <v>187</v>
      </c>
      <c r="I101" s="40" t="s">
        <v>18</v>
      </c>
      <c r="J101" s="44" t="s">
        <v>17</v>
      </c>
    </row>
    <row r="102" spans="7:10" x14ac:dyDescent="0.25">
      <c r="G102" s="40">
        <v>25</v>
      </c>
      <c r="H102" s="40">
        <v>183</v>
      </c>
      <c r="I102" s="40" t="s">
        <v>18</v>
      </c>
      <c r="J102" s="44" t="s">
        <v>17</v>
      </c>
    </row>
    <row r="103" spans="7:10" x14ac:dyDescent="0.25">
      <c r="G103" s="40">
        <v>25</v>
      </c>
      <c r="H103" s="40">
        <v>172</v>
      </c>
      <c r="I103" s="40" t="s">
        <v>18</v>
      </c>
      <c r="J103" s="44" t="s">
        <v>19</v>
      </c>
    </row>
    <row r="104" spans="7:10" x14ac:dyDescent="0.25">
      <c r="G104" s="40">
        <v>25</v>
      </c>
      <c r="H104" s="40">
        <v>176</v>
      </c>
      <c r="I104" s="40" t="s">
        <v>18</v>
      </c>
      <c r="J104" s="44" t="s">
        <v>19</v>
      </c>
    </row>
    <row r="105" spans="7:10" x14ac:dyDescent="0.25">
      <c r="G105" s="40">
        <v>25</v>
      </c>
      <c r="H105" s="40">
        <v>180</v>
      </c>
      <c r="I105" s="40" t="s">
        <v>16</v>
      </c>
      <c r="J105" s="44" t="s">
        <v>17</v>
      </c>
    </row>
    <row r="106" spans="7:10" x14ac:dyDescent="0.25">
      <c r="G106" s="40">
        <v>25</v>
      </c>
      <c r="H106" s="40">
        <v>178</v>
      </c>
      <c r="I106" s="40" t="s">
        <v>16</v>
      </c>
      <c r="J106" s="44" t="s">
        <v>17</v>
      </c>
    </row>
    <row r="107" spans="7:10" x14ac:dyDescent="0.25">
      <c r="G107" s="40">
        <v>25</v>
      </c>
      <c r="H107" s="40">
        <v>176</v>
      </c>
      <c r="I107" s="40" t="s">
        <v>18</v>
      </c>
      <c r="J107" s="44" t="s">
        <v>19</v>
      </c>
    </row>
    <row r="108" spans="7:10" x14ac:dyDescent="0.25">
      <c r="G108" s="40">
        <v>25</v>
      </c>
      <c r="H108" s="40">
        <v>170</v>
      </c>
      <c r="I108" s="40" t="s">
        <v>16</v>
      </c>
      <c r="J108" s="44" t="s">
        <v>17</v>
      </c>
    </row>
    <row r="109" spans="7:10" x14ac:dyDescent="0.25">
      <c r="G109" s="40">
        <v>26</v>
      </c>
      <c r="H109" s="40">
        <v>164</v>
      </c>
      <c r="I109" s="40" t="s">
        <v>18</v>
      </c>
      <c r="J109" s="44" t="s">
        <v>17</v>
      </c>
    </row>
    <row r="110" spans="7:10" x14ac:dyDescent="0.25">
      <c r="G110" s="40">
        <v>26</v>
      </c>
      <c r="H110" s="40">
        <v>182</v>
      </c>
      <c r="I110" s="40" t="s">
        <v>18</v>
      </c>
      <c r="J110" s="44" t="s">
        <v>17</v>
      </c>
    </row>
    <row r="111" spans="7:10" x14ac:dyDescent="0.25">
      <c r="G111" s="40">
        <v>26</v>
      </c>
      <c r="H111" s="40">
        <v>184</v>
      </c>
      <c r="I111" s="40" t="s">
        <v>18</v>
      </c>
      <c r="J111" s="44" t="s">
        <v>17</v>
      </c>
    </row>
    <row r="112" spans="7:10" x14ac:dyDescent="0.25">
      <c r="G112" s="40">
        <v>26</v>
      </c>
      <c r="H112" s="40">
        <v>175</v>
      </c>
      <c r="I112" s="40" t="s">
        <v>18</v>
      </c>
      <c r="J112" s="44" t="s">
        <v>17</v>
      </c>
    </row>
    <row r="113" spans="7:10" x14ac:dyDescent="0.25">
      <c r="G113" s="40">
        <v>26</v>
      </c>
      <c r="H113" s="40">
        <v>185</v>
      </c>
      <c r="I113" s="40" t="s">
        <v>18</v>
      </c>
      <c r="J113" s="44" t="s">
        <v>17</v>
      </c>
    </row>
    <row r="114" spans="7:10" x14ac:dyDescent="0.25">
      <c r="G114" s="40">
        <v>26</v>
      </c>
      <c r="H114" s="40">
        <v>185</v>
      </c>
      <c r="I114" s="40" t="s">
        <v>16</v>
      </c>
      <c r="J114" s="44" t="s">
        <v>17</v>
      </c>
    </row>
    <row r="115" spans="7:10" x14ac:dyDescent="0.25">
      <c r="G115" s="40">
        <v>27</v>
      </c>
      <c r="H115" s="40">
        <v>193</v>
      </c>
      <c r="I115" s="40" t="s">
        <v>18</v>
      </c>
      <c r="J115" s="44" t="s">
        <v>17</v>
      </c>
    </row>
    <row r="116" spans="7:10" x14ac:dyDescent="0.25">
      <c r="G116" s="40">
        <v>28</v>
      </c>
      <c r="H116" s="40">
        <v>169</v>
      </c>
      <c r="I116" s="40" t="s">
        <v>18</v>
      </c>
      <c r="J116" s="44" t="s">
        <v>19</v>
      </c>
    </row>
    <row r="117" spans="7:10" x14ac:dyDescent="0.25">
      <c r="G117" s="40">
        <v>28</v>
      </c>
      <c r="H117" s="40">
        <v>190</v>
      </c>
      <c r="I117" s="40" t="s">
        <v>18</v>
      </c>
      <c r="J117" s="44" t="s">
        <v>17</v>
      </c>
    </row>
  </sheetData>
  <sortState ref="U48:X76">
    <sortCondition ref="U48:U76"/>
  </sortState>
  <mergeCells count="3">
    <mergeCell ref="C13:AQ13"/>
    <mergeCell ref="AR13:BT13"/>
    <mergeCell ref="C20:AE20"/>
  </mergeCells>
  <pageMargins left="0" right="0" top="0" bottom="0" header="0" footer="0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EL36"/>
  <sheetViews>
    <sheetView zoomScale="90" zoomScaleNormal="90" workbookViewId="0">
      <selection activeCell="BE8" sqref="BE8"/>
    </sheetView>
  </sheetViews>
  <sheetFormatPr baseColWidth="10" defaultColWidth="11.42578125" defaultRowHeight="15" x14ac:dyDescent="0.25"/>
  <cols>
    <col min="1" max="1" width="11.42578125" style="8"/>
    <col min="2" max="2" width="5" style="18" customWidth="1"/>
    <col min="3" max="142" width="4.7109375" style="8" customWidth="1"/>
    <col min="143" max="16384" width="11.42578125" style="8"/>
  </cols>
  <sheetData>
    <row r="1" spans="1:142" ht="15.75" thickBot="1" x14ac:dyDescent="0.3"/>
    <row r="2" spans="1:142" ht="15.75" thickTop="1" x14ac:dyDescent="0.25">
      <c r="B2" s="66"/>
      <c r="C2" s="67" t="s">
        <v>10</v>
      </c>
      <c r="D2" s="68"/>
      <c r="E2" s="68"/>
      <c r="F2" s="68"/>
      <c r="G2" s="69"/>
      <c r="H2" s="69"/>
      <c r="I2" s="69"/>
      <c r="J2" s="69"/>
      <c r="K2" s="69"/>
      <c r="L2" s="69"/>
      <c r="M2" s="69"/>
      <c r="N2" s="69"/>
      <c r="O2" s="70"/>
    </row>
    <row r="3" spans="1:142" x14ac:dyDescent="0.25">
      <c r="B3" s="71"/>
      <c r="C3" s="72" t="s">
        <v>5</v>
      </c>
      <c r="D3" s="72"/>
      <c r="E3" s="72"/>
      <c r="F3" s="72"/>
      <c r="G3" s="72"/>
      <c r="H3" s="72" t="s">
        <v>156</v>
      </c>
      <c r="I3" s="72"/>
      <c r="J3" s="72"/>
      <c r="K3" s="72"/>
      <c r="L3" s="72"/>
      <c r="M3" s="72"/>
      <c r="N3" s="72"/>
      <c r="O3" s="73"/>
    </row>
    <row r="4" spans="1:142" x14ac:dyDescent="0.25">
      <c r="B4" s="71"/>
      <c r="C4" s="72" t="s">
        <v>6</v>
      </c>
      <c r="D4" s="72"/>
      <c r="E4" s="72"/>
      <c r="F4" s="72"/>
      <c r="G4" s="72"/>
      <c r="H4" s="72" t="s">
        <v>24</v>
      </c>
      <c r="I4" s="72"/>
      <c r="J4" s="72"/>
      <c r="K4" s="72"/>
      <c r="L4" s="72"/>
      <c r="M4" s="72"/>
      <c r="N4" s="72"/>
      <c r="O4" s="73"/>
    </row>
    <row r="5" spans="1:142" ht="15.75" thickBot="1" x14ac:dyDescent="0.3">
      <c r="B5" s="74"/>
      <c r="C5" s="75" t="s">
        <v>7</v>
      </c>
      <c r="D5" s="75"/>
      <c r="E5" s="75"/>
      <c r="F5" s="75"/>
      <c r="G5" s="75"/>
      <c r="H5" s="75" t="s">
        <v>20</v>
      </c>
      <c r="I5" s="75"/>
      <c r="J5" s="75"/>
      <c r="K5" s="75"/>
      <c r="L5" s="75"/>
      <c r="M5" s="75"/>
      <c r="N5" s="75"/>
      <c r="O5" s="76"/>
    </row>
    <row r="6" spans="1:142" ht="15.75" thickTop="1" x14ac:dyDescent="0.25"/>
    <row r="7" spans="1:142" x14ac:dyDescent="0.25">
      <c r="C7" s="31" t="s">
        <v>8</v>
      </c>
      <c r="D7" s="32"/>
      <c r="H7" s="31" t="s">
        <v>61</v>
      </c>
      <c r="N7" s="8" t="s">
        <v>35</v>
      </c>
      <c r="O7" s="8">
        <f>MIN(C15:CF15)</f>
        <v>19</v>
      </c>
      <c r="Q7" s="8" t="s">
        <v>36</v>
      </c>
      <c r="R7" s="8">
        <f>MAX(C15:CF15)</f>
        <v>28</v>
      </c>
    </row>
    <row r="8" spans="1:142" x14ac:dyDescent="0.25">
      <c r="C8" s="31"/>
      <c r="D8" s="32"/>
      <c r="H8" s="31" t="s">
        <v>62</v>
      </c>
      <c r="N8" s="8" t="s">
        <v>35</v>
      </c>
      <c r="O8" s="8">
        <f>MIN(C16:CF16)</f>
        <v>155</v>
      </c>
      <c r="Q8" s="8" t="s">
        <v>36</v>
      </c>
      <c r="R8" s="8">
        <f>MAX(C16:CF16)</f>
        <v>195</v>
      </c>
    </row>
    <row r="9" spans="1:142" x14ac:dyDescent="0.25">
      <c r="C9" s="31"/>
      <c r="D9" s="32"/>
      <c r="H9" s="31" t="s">
        <v>63</v>
      </c>
    </row>
    <row r="10" spans="1:142" x14ac:dyDescent="0.25">
      <c r="C10" s="31"/>
      <c r="D10" s="32"/>
      <c r="H10" s="31" t="s">
        <v>60</v>
      </c>
    </row>
    <row r="12" spans="1:142" x14ac:dyDescent="0.25">
      <c r="C12" s="1" t="s">
        <v>0</v>
      </c>
      <c r="D12" s="2"/>
      <c r="E12" s="2"/>
      <c r="F12" s="1">
        <f>COUNT(C15:CF15)</f>
        <v>70</v>
      </c>
      <c r="G12" s="1" t="s">
        <v>30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142" x14ac:dyDescent="0.25">
      <c r="B13" s="33"/>
      <c r="C13" s="747" t="s">
        <v>160</v>
      </c>
      <c r="D13" s="747"/>
      <c r="E13" s="747"/>
      <c r="F13" s="747"/>
      <c r="G13" s="747"/>
      <c r="H13" s="747"/>
      <c r="I13" s="747"/>
      <c r="J13" s="747"/>
      <c r="K13" s="747"/>
      <c r="L13" s="747"/>
      <c r="M13" s="747"/>
      <c r="N13" s="747"/>
      <c r="O13" s="747"/>
      <c r="P13" s="747"/>
      <c r="Q13" s="747"/>
      <c r="R13" s="747"/>
      <c r="S13" s="747"/>
      <c r="T13" s="747"/>
      <c r="U13" s="747"/>
      <c r="V13" s="747"/>
      <c r="W13" s="747"/>
      <c r="X13" s="747"/>
      <c r="Y13" s="747"/>
      <c r="Z13" s="747"/>
      <c r="AA13" s="747"/>
      <c r="AB13" s="747"/>
      <c r="AC13" s="747"/>
      <c r="AD13" s="747"/>
      <c r="AE13" s="747"/>
      <c r="AF13" s="747"/>
      <c r="AG13" s="747"/>
      <c r="AH13" s="747"/>
      <c r="AI13" s="747"/>
      <c r="AJ13" s="747"/>
      <c r="AK13" s="747"/>
      <c r="AL13" s="747"/>
      <c r="AM13" s="747"/>
      <c r="AN13" s="747"/>
      <c r="AO13" s="747"/>
      <c r="AP13" s="747"/>
      <c r="AQ13" s="747"/>
      <c r="AR13" s="748" t="s">
        <v>161</v>
      </c>
      <c r="AS13" s="748"/>
      <c r="AT13" s="748"/>
      <c r="AU13" s="748"/>
      <c r="AV13" s="748"/>
      <c r="AW13" s="748"/>
      <c r="AX13" s="748"/>
      <c r="AY13" s="748"/>
      <c r="AZ13" s="748"/>
      <c r="BA13" s="748"/>
      <c r="BB13" s="748"/>
      <c r="BC13" s="748"/>
      <c r="BD13" s="748"/>
      <c r="BE13" s="748"/>
      <c r="BF13" s="748"/>
      <c r="BG13" s="748"/>
      <c r="BH13" s="748"/>
      <c r="BI13" s="748"/>
      <c r="BJ13" s="748"/>
      <c r="BK13" s="748"/>
      <c r="BL13" s="748"/>
      <c r="BM13" s="748"/>
      <c r="BN13" s="748"/>
      <c r="BO13" s="748"/>
      <c r="BP13" s="748"/>
      <c r="BQ13" s="748"/>
      <c r="BR13" s="748"/>
      <c r="BS13" s="748"/>
      <c r="BT13" s="748"/>
      <c r="BU13" s="435"/>
      <c r="BV13" s="435"/>
      <c r="BW13" s="435"/>
      <c r="BX13" s="435"/>
      <c r="BY13" s="435"/>
      <c r="BZ13" s="435"/>
      <c r="CA13" s="435"/>
      <c r="CB13" s="435"/>
      <c r="CC13" s="435"/>
      <c r="CD13" s="435"/>
      <c r="CE13" s="435"/>
      <c r="CF13" s="435"/>
    </row>
    <row r="14" spans="1:142" ht="18" x14ac:dyDescent="0.35">
      <c r="A14" s="34" t="s">
        <v>25</v>
      </c>
      <c r="B14" s="35" t="s">
        <v>1</v>
      </c>
      <c r="C14" s="36">
        <v>1</v>
      </c>
      <c r="D14" s="36">
        <v>2</v>
      </c>
      <c r="E14" s="36">
        <v>3</v>
      </c>
      <c r="F14" s="36">
        <v>4</v>
      </c>
      <c r="G14" s="36">
        <v>5</v>
      </c>
      <c r="H14" s="36">
        <v>6</v>
      </c>
      <c r="I14" s="36">
        <v>7</v>
      </c>
      <c r="J14" s="36">
        <v>8</v>
      </c>
      <c r="K14" s="36">
        <v>9</v>
      </c>
      <c r="L14" s="36">
        <v>10</v>
      </c>
      <c r="M14" s="36">
        <v>11</v>
      </c>
      <c r="N14" s="36">
        <v>12</v>
      </c>
      <c r="O14" s="36">
        <v>13</v>
      </c>
      <c r="P14" s="36">
        <v>14</v>
      </c>
      <c r="Q14" s="36">
        <v>15</v>
      </c>
      <c r="R14" s="36">
        <v>16</v>
      </c>
      <c r="S14" s="36">
        <v>17</v>
      </c>
      <c r="T14" s="36">
        <v>18</v>
      </c>
      <c r="U14" s="36">
        <v>19</v>
      </c>
      <c r="V14" s="36">
        <v>20</v>
      </c>
      <c r="W14" s="36">
        <v>21</v>
      </c>
      <c r="X14" s="36">
        <v>22</v>
      </c>
      <c r="Y14" s="35">
        <v>23</v>
      </c>
      <c r="Z14" s="36">
        <v>24</v>
      </c>
      <c r="AA14" s="36">
        <v>25</v>
      </c>
      <c r="AB14" s="36">
        <v>26</v>
      </c>
      <c r="AC14" s="36">
        <v>27</v>
      </c>
      <c r="AD14" s="36">
        <v>28</v>
      </c>
      <c r="AE14" s="36">
        <v>29</v>
      </c>
      <c r="AF14" s="36">
        <v>30</v>
      </c>
      <c r="AG14" s="36">
        <v>31</v>
      </c>
      <c r="AH14" s="36">
        <v>32</v>
      </c>
      <c r="AI14" s="36">
        <v>33</v>
      </c>
      <c r="AJ14" s="36">
        <v>34</v>
      </c>
      <c r="AK14" s="36">
        <v>35</v>
      </c>
      <c r="AL14" s="36">
        <v>36</v>
      </c>
      <c r="AM14" s="36">
        <v>37</v>
      </c>
      <c r="AN14" s="36">
        <v>38</v>
      </c>
      <c r="AO14" s="36">
        <v>39</v>
      </c>
      <c r="AP14" s="36">
        <v>40</v>
      </c>
      <c r="AQ14" s="36">
        <v>41</v>
      </c>
      <c r="AR14" s="36">
        <v>42</v>
      </c>
      <c r="AS14" s="36">
        <v>43</v>
      </c>
      <c r="AT14" s="36">
        <v>44</v>
      </c>
      <c r="AU14" s="36">
        <v>45</v>
      </c>
      <c r="AV14" s="36">
        <v>46</v>
      </c>
      <c r="AW14" s="36">
        <v>47</v>
      </c>
      <c r="AX14" s="36">
        <v>48</v>
      </c>
      <c r="AY14" s="36">
        <v>49</v>
      </c>
      <c r="AZ14" s="36">
        <v>50</v>
      </c>
      <c r="BA14" s="36">
        <v>51</v>
      </c>
      <c r="BB14" s="36">
        <v>52</v>
      </c>
      <c r="BC14" s="36">
        <v>53</v>
      </c>
      <c r="BD14" s="36">
        <v>54</v>
      </c>
      <c r="BE14" s="36">
        <v>55</v>
      </c>
      <c r="BF14" s="36">
        <v>56</v>
      </c>
      <c r="BG14" s="36">
        <v>57</v>
      </c>
      <c r="BH14" s="36">
        <v>58</v>
      </c>
      <c r="BI14" s="36">
        <v>59</v>
      </c>
      <c r="BJ14" s="36">
        <v>60</v>
      </c>
      <c r="BK14" s="36">
        <v>61</v>
      </c>
      <c r="BL14" s="36">
        <v>62</v>
      </c>
      <c r="BM14" s="36">
        <v>63</v>
      </c>
      <c r="BN14" s="36">
        <v>64</v>
      </c>
      <c r="BO14" s="36">
        <v>65</v>
      </c>
      <c r="BP14" s="36">
        <v>66</v>
      </c>
      <c r="BQ14" s="36">
        <v>67</v>
      </c>
      <c r="BR14" s="36">
        <v>68</v>
      </c>
      <c r="BS14" s="36">
        <v>69</v>
      </c>
      <c r="BT14" s="36">
        <v>70</v>
      </c>
      <c r="BU14" s="36">
        <v>71</v>
      </c>
      <c r="BV14" s="36">
        <v>72</v>
      </c>
      <c r="BW14" s="36">
        <v>73</v>
      </c>
      <c r="BX14" s="36">
        <v>74</v>
      </c>
      <c r="BY14" s="36">
        <v>75</v>
      </c>
      <c r="BZ14" s="36">
        <v>76</v>
      </c>
      <c r="CA14" s="36">
        <v>77</v>
      </c>
      <c r="CB14" s="36">
        <v>78</v>
      </c>
      <c r="CC14" s="36">
        <v>79</v>
      </c>
      <c r="CD14" s="36">
        <v>80</v>
      </c>
      <c r="CE14" s="36">
        <v>81</v>
      </c>
      <c r="CF14" s="37">
        <v>82</v>
      </c>
      <c r="CG14" s="36">
        <v>83</v>
      </c>
      <c r="CH14" s="37">
        <v>84</v>
      </c>
      <c r="CI14" s="36">
        <v>85</v>
      </c>
      <c r="CJ14" s="37">
        <v>86</v>
      </c>
      <c r="CK14" s="36">
        <v>87</v>
      </c>
      <c r="CL14" s="37">
        <v>88</v>
      </c>
      <c r="CM14" s="36">
        <v>89</v>
      </c>
      <c r="CN14" s="37">
        <v>90</v>
      </c>
      <c r="CO14" s="36">
        <v>91</v>
      </c>
      <c r="CP14" s="37">
        <v>92</v>
      </c>
      <c r="CQ14" s="36">
        <v>93</v>
      </c>
      <c r="CR14" s="37">
        <v>94</v>
      </c>
      <c r="CS14" s="36">
        <v>95</v>
      </c>
      <c r="CT14" s="37">
        <v>96</v>
      </c>
      <c r="CU14" s="36">
        <v>97</v>
      </c>
      <c r="CV14" s="37">
        <v>98</v>
      </c>
      <c r="CW14" s="36">
        <v>99</v>
      </c>
      <c r="CX14" s="37">
        <v>100</v>
      </c>
      <c r="CY14" s="36">
        <v>101</v>
      </c>
      <c r="CZ14" s="37">
        <v>102</v>
      </c>
      <c r="DA14" s="36">
        <v>103</v>
      </c>
      <c r="DB14" s="37">
        <v>104</v>
      </c>
      <c r="DC14" s="36">
        <v>105</v>
      </c>
      <c r="DD14" s="37">
        <v>106</v>
      </c>
      <c r="DE14" s="36">
        <v>107</v>
      </c>
      <c r="DF14" s="37">
        <v>108</v>
      </c>
      <c r="DG14" s="36">
        <v>109</v>
      </c>
      <c r="DH14" s="37">
        <v>110</v>
      </c>
      <c r="DI14" s="36">
        <v>111</v>
      </c>
      <c r="DJ14" s="37">
        <v>112</v>
      </c>
      <c r="DK14" s="36">
        <v>113</v>
      </c>
      <c r="DL14" s="37">
        <v>114</v>
      </c>
      <c r="DM14" s="36">
        <v>115</v>
      </c>
      <c r="DN14" s="37">
        <v>116</v>
      </c>
      <c r="DO14" s="36">
        <v>117</v>
      </c>
      <c r="DP14" s="37">
        <v>118</v>
      </c>
      <c r="DQ14" s="36">
        <v>119</v>
      </c>
      <c r="DR14" s="37">
        <v>120</v>
      </c>
      <c r="DS14" s="36">
        <v>121</v>
      </c>
      <c r="DT14" s="37">
        <v>122</v>
      </c>
      <c r="DU14" s="36">
        <v>123</v>
      </c>
      <c r="DV14" s="37">
        <v>124</v>
      </c>
      <c r="DW14" s="36">
        <v>125</v>
      </c>
      <c r="DX14" s="37">
        <v>126</v>
      </c>
      <c r="DY14" s="36">
        <v>127</v>
      </c>
      <c r="DZ14" s="37">
        <v>128</v>
      </c>
      <c r="EA14" s="36">
        <v>129</v>
      </c>
      <c r="EB14" s="37">
        <v>130</v>
      </c>
      <c r="EC14" s="36">
        <v>131</v>
      </c>
      <c r="ED14" s="37">
        <v>132</v>
      </c>
      <c r="EE14" s="36">
        <v>133</v>
      </c>
      <c r="EF14" s="37">
        <v>134</v>
      </c>
      <c r="EG14" s="36">
        <v>135</v>
      </c>
      <c r="EH14" s="37">
        <v>136</v>
      </c>
      <c r="EI14" s="36">
        <v>137</v>
      </c>
      <c r="EJ14" s="37">
        <v>138</v>
      </c>
      <c r="EK14" s="36">
        <v>139</v>
      </c>
      <c r="EL14" s="37">
        <v>140</v>
      </c>
    </row>
    <row r="15" spans="1:142" ht="18" x14ac:dyDescent="0.35">
      <c r="A15" s="38" t="s">
        <v>9</v>
      </c>
      <c r="B15" s="39" t="s">
        <v>2</v>
      </c>
      <c r="C15" s="40">
        <v>22</v>
      </c>
      <c r="D15" s="40">
        <v>21</v>
      </c>
      <c r="E15" s="40">
        <v>23</v>
      </c>
      <c r="F15" s="40">
        <v>24</v>
      </c>
      <c r="G15" s="40">
        <v>24</v>
      </c>
      <c r="H15" s="40">
        <v>27</v>
      </c>
      <c r="I15" s="40">
        <v>19</v>
      </c>
      <c r="J15" s="40">
        <v>19</v>
      </c>
      <c r="K15" s="40">
        <v>21</v>
      </c>
      <c r="L15" s="40">
        <v>22</v>
      </c>
      <c r="M15" s="40">
        <v>21</v>
      </c>
      <c r="N15" s="40">
        <v>26</v>
      </c>
      <c r="O15" s="40">
        <v>22</v>
      </c>
      <c r="P15" s="40">
        <v>24</v>
      </c>
      <c r="Q15" s="40">
        <v>20</v>
      </c>
      <c r="R15" s="40">
        <v>23</v>
      </c>
      <c r="S15" s="40">
        <v>21</v>
      </c>
      <c r="T15" s="40">
        <v>22</v>
      </c>
      <c r="U15" s="40">
        <v>20</v>
      </c>
      <c r="V15" s="40">
        <v>24</v>
      </c>
      <c r="W15" s="40">
        <v>21</v>
      </c>
      <c r="X15" s="41">
        <v>22</v>
      </c>
      <c r="Y15" s="40">
        <v>22</v>
      </c>
      <c r="Z15" s="40">
        <v>20</v>
      </c>
      <c r="AA15" s="40">
        <v>21</v>
      </c>
      <c r="AB15" s="40">
        <v>26</v>
      </c>
      <c r="AC15" s="40">
        <v>24</v>
      </c>
      <c r="AD15" s="40">
        <v>28</v>
      </c>
      <c r="AE15" s="40">
        <v>25</v>
      </c>
      <c r="AF15" s="40">
        <v>25</v>
      </c>
      <c r="AG15" s="40">
        <v>21</v>
      </c>
      <c r="AH15" s="41">
        <v>21</v>
      </c>
      <c r="AI15" s="40">
        <v>20</v>
      </c>
      <c r="AJ15" s="40">
        <v>25</v>
      </c>
      <c r="AK15" s="40">
        <v>22</v>
      </c>
      <c r="AL15" s="40">
        <v>20</v>
      </c>
      <c r="AM15" s="40">
        <v>21</v>
      </c>
      <c r="AN15" s="40">
        <v>20</v>
      </c>
      <c r="AO15" s="40">
        <v>23</v>
      </c>
      <c r="AP15" s="40">
        <v>22</v>
      </c>
      <c r="AQ15" s="40">
        <v>28</v>
      </c>
      <c r="AR15" s="40">
        <v>26</v>
      </c>
      <c r="AS15" s="40">
        <v>21</v>
      </c>
      <c r="AT15" s="40">
        <v>23</v>
      </c>
      <c r="AU15" s="40">
        <v>22</v>
      </c>
      <c r="AV15" s="40">
        <v>20</v>
      </c>
      <c r="AW15" s="40">
        <v>24</v>
      </c>
      <c r="AX15" s="40">
        <v>20</v>
      </c>
      <c r="AY15" s="40">
        <v>19</v>
      </c>
      <c r="AZ15" s="40">
        <v>23</v>
      </c>
      <c r="BA15" s="40">
        <v>22</v>
      </c>
      <c r="BB15" s="40">
        <v>26</v>
      </c>
      <c r="BC15" s="40">
        <v>20</v>
      </c>
      <c r="BD15" s="40">
        <v>25</v>
      </c>
      <c r="BE15" s="40">
        <v>22</v>
      </c>
      <c r="BF15" s="40">
        <v>25</v>
      </c>
      <c r="BG15" s="40">
        <v>22</v>
      </c>
      <c r="BH15" s="40">
        <v>26</v>
      </c>
      <c r="BI15" s="40">
        <v>25</v>
      </c>
      <c r="BJ15" s="40">
        <v>22</v>
      </c>
      <c r="BK15" s="40">
        <v>23</v>
      </c>
      <c r="BL15" s="40">
        <v>23</v>
      </c>
      <c r="BM15" s="40">
        <v>23</v>
      </c>
      <c r="BN15" s="40">
        <v>20</v>
      </c>
      <c r="BO15" s="40">
        <v>26</v>
      </c>
      <c r="BP15" s="40">
        <v>21</v>
      </c>
      <c r="BQ15" s="40">
        <v>25</v>
      </c>
      <c r="BR15" s="40">
        <v>25</v>
      </c>
      <c r="BS15" s="40">
        <v>22</v>
      </c>
      <c r="BT15" s="40">
        <v>23</v>
      </c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1"/>
      <c r="CG15" s="40"/>
      <c r="CH15" s="41"/>
      <c r="CI15" s="40"/>
      <c r="CJ15" s="41"/>
      <c r="CK15" s="40"/>
      <c r="CL15" s="41"/>
      <c r="CM15" s="40"/>
      <c r="CN15" s="41"/>
      <c r="CO15" s="40"/>
      <c r="CP15" s="41"/>
      <c r="CQ15" s="40"/>
      <c r="CR15" s="41"/>
      <c r="CS15" s="40"/>
      <c r="CT15" s="41"/>
      <c r="CU15" s="40"/>
      <c r="CV15" s="41"/>
      <c r="CW15" s="40"/>
      <c r="CX15" s="41"/>
      <c r="CY15" s="40"/>
      <c r="CZ15" s="41"/>
      <c r="DA15" s="40"/>
      <c r="DB15" s="41"/>
      <c r="DC15" s="40"/>
      <c r="DD15" s="41"/>
      <c r="DE15" s="40"/>
      <c r="DF15" s="41"/>
      <c r="DG15" s="40"/>
      <c r="DH15" s="41"/>
      <c r="DI15" s="40"/>
      <c r="DJ15" s="41"/>
      <c r="DK15" s="40"/>
      <c r="DL15" s="41"/>
      <c r="DM15" s="40"/>
      <c r="DN15" s="41"/>
      <c r="DO15" s="40"/>
      <c r="DP15" s="41"/>
      <c r="DQ15" s="40"/>
      <c r="DR15" s="41"/>
      <c r="DS15" s="40"/>
      <c r="DT15" s="41"/>
      <c r="DU15" s="40"/>
      <c r="DV15" s="41"/>
      <c r="DW15" s="40"/>
      <c r="DX15" s="41"/>
      <c r="DY15" s="40"/>
      <c r="DZ15" s="41"/>
      <c r="EA15" s="40"/>
      <c r="EB15" s="41"/>
      <c r="EC15" s="40"/>
      <c r="ED15" s="41"/>
      <c r="EE15" s="40"/>
      <c r="EF15" s="41"/>
      <c r="EG15" s="40"/>
      <c r="EH15" s="41"/>
      <c r="EI15" s="40"/>
      <c r="EJ15" s="41"/>
      <c r="EK15" s="41"/>
      <c r="EL15" s="41"/>
    </row>
    <row r="16" spans="1:142" ht="18" x14ac:dyDescent="0.35">
      <c r="A16" s="38" t="s">
        <v>21</v>
      </c>
      <c r="B16" s="39" t="s">
        <v>13</v>
      </c>
      <c r="C16" s="40">
        <v>187</v>
      </c>
      <c r="D16" s="40">
        <v>178</v>
      </c>
      <c r="E16" s="40">
        <v>170</v>
      </c>
      <c r="F16" s="40">
        <v>170</v>
      </c>
      <c r="G16" s="40">
        <v>171</v>
      </c>
      <c r="H16" s="40">
        <v>193</v>
      </c>
      <c r="I16" s="40">
        <v>168</v>
      </c>
      <c r="J16" s="40">
        <v>160</v>
      </c>
      <c r="K16" s="40">
        <v>163</v>
      </c>
      <c r="L16" s="40">
        <v>161</v>
      </c>
      <c r="M16" s="40">
        <v>160</v>
      </c>
      <c r="N16" s="40">
        <v>164</v>
      </c>
      <c r="O16" s="40">
        <v>174</v>
      </c>
      <c r="P16" s="40">
        <v>160</v>
      </c>
      <c r="Q16" s="40">
        <v>163</v>
      </c>
      <c r="R16" s="40">
        <v>193</v>
      </c>
      <c r="S16" s="40">
        <v>184</v>
      </c>
      <c r="T16" s="40">
        <v>185</v>
      </c>
      <c r="U16" s="40">
        <v>163</v>
      </c>
      <c r="V16" s="40">
        <v>182</v>
      </c>
      <c r="W16" s="40">
        <v>185</v>
      </c>
      <c r="X16" s="41">
        <v>170</v>
      </c>
      <c r="Y16" s="40">
        <v>180</v>
      </c>
      <c r="Z16" s="40">
        <v>182</v>
      </c>
      <c r="AA16" s="40">
        <v>185</v>
      </c>
      <c r="AB16" s="40">
        <v>182</v>
      </c>
      <c r="AC16" s="40">
        <v>183</v>
      </c>
      <c r="AD16" s="40">
        <v>169</v>
      </c>
      <c r="AE16" s="40">
        <v>187</v>
      </c>
      <c r="AF16" s="40">
        <v>183</v>
      </c>
      <c r="AG16" s="40">
        <v>165</v>
      </c>
      <c r="AH16" s="41">
        <v>176</v>
      </c>
      <c r="AI16" s="40">
        <v>180</v>
      </c>
      <c r="AJ16" s="40">
        <v>172</v>
      </c>
      <c r="AK16" s="40">
        <v>170</v>
      </c>
      <c r="AL16" s="40">
        <v>170</v>
      </c>
      <c r="AM16" s="40">
        <v>173</v>
      </c>
      <c r="AN16" s="40">
        <v>174</v>
      </c>
      <c r="AO16" s="40">
        <v>189</v>
      </c>
      <c r="AP16" s="40">
        <v>180</v>
      </c>
      <c r="AQ16" s="40">
        <v>190</v>
      </c>
      <c r="AR16" s="40">
        <v>184</v>
      </c>
      <c r="AS16" s="40">
        <v>176</v>
      </c>
      <c r="AT16" s="40">
        <v>176</v>
      </c>
      <c r="AU16" s="40">
        <v>188</v>
      </c>
      <c r="AV16" s="40">
        <v>185</v>
      </c>
      <c r="AW16" s="40">
        <v>182</v>
      </c>
      <c r="AX16" s="40">
        <v>183</v>
      </c>
      <c r="AY16" s="40">
        <v>182</v>
      </c>
      <c r="AZ16" s="40">
        <v>185</v>
      </c>
      <c r="BA16" s="40">
        <v>160</v>
      </c>
      <c r="BB16" s="40">
        <v>175</v>
      </c>
      <c r="BC16" s="40">
        <v>195</v>
      </c>
      <c r="BD16" s="40">
        <v>176</v>
      </c>
      <c r="BE16" s="40">
        <v>165</v>
      </c>
      <c r="BF16" s="40">
        <v>180</v>
      </c>
      <c r="BG16" s="40">
        <v>170</v>
      </c>
      <c r="BH16" s="40">
        <v>185</v>
      </c>
      <c r="BI16" s="40">
        <v>178</v>
      </c>
      <c r="BJ16" s="40">
        <v>184</v>
      </c>
      <c r="BK16" s="40">
        <v>155</v>
      </c>
      <c r="BL16" s="40">
        <v>178</v>
      </c>
      <c r="BM16" s="40">
        <v>176</v>
      </c>
      <c r="BN16" s="40">
        <v>183</v>
      </c>
      <c r="BO16" s="40">
        <v>185</v>
      </c>
      <c r="BP16" s="40">
        <v>174</v>
      </c>
      <c r="BQ16" s="40">
        <v>176</v>
      </c>
      <c r="BR16" s="40">
        <v>170</v>
      </c>
      <c r="BS16" s="40">
        <v>165</v>
      </c>
      <c r="BT16" s="40">
        <v>160</v>
      </c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1"/>
      <c r="CG16" s="40"/>
      <c r="CH16" s="41"/>
      <c r="CI16" s="40"/>
      <c r="CJ16" s="41"/>
      <c r="CK16" s="40"/>
      <c r="CL16" s="41"/>
      <c r="CM16" s="40"/>
      <c r="CN16" s="41"/>
      <c r="CO16" s="40"/>
      <c r="CP16" s="41"/>
      <c r="CQ16" s="40"/>
      <c r="CR16" s="41"/>
      <c r="CS16" s="40"/>
      <c r="CT16" s="41"/>
      <c r="CU16" s="40"/>
      <c r="CV16" s="41"/>
      <c r="CW16" s="40"/>
      <c r="CX16" s="41"/>
      <c r="CY16" s="40"/>
      <c r="CZ16" s="41"/>
      <c r="DA16" s="40"/>
      <c r="DB16" s="41"/>
      <c r="DC16" s="40"/>
      <c r="DD16" s="41"/>
      <c r="DE16" s="40"/>
      <c r="DF16" s="41"/>
      <c r="DG16" s="40"/>
      <c r="DH16" s="41"/>
      <c r="DI16" s="40"/>
      <c r="DJ16" s="41"/>
      <c r="DK16" s="40"/>
      <c r="DL16" s="41"/>
      <c r="DM16" s="40"/>
      <c r="DN16" s="41"/>
      <c r="DO16" s="40"/>
      <c r="DP16" s="41"/>
      <c r="DQ16" s="40"/>
      <c r="DR16" s="41"/>
      <c r="DS16" s="40"/>
      <c r="DT16" s="41"/>
      <c r="DU16" s="40"/>
      <c r="DV16" s="41"/>
      <c r="DW16" s="40"/>
      <c r="DX16" s="41"/>
      <c r="DY16" s="40"/>
      <c r="DZ16" s="41"/>
      <c r="EA16" s="40"/>
      <c r="EB16" s="41"/>
      <c r="EC16" s="40"/>
      <c r="ED16" s="41"/>
      <c r="EE16" s="40"/>
      <c r="EF16" s="41"/>
      <c r="EG16" s="40"/>
      <c r="EH16" s="41"/>
      <c r="EI16" s="40"/>
      <c r="EJ16" s="41"/>
      <c r="EK16" s="41"/>
      <c r="EL16" s="41"/>
    </row>
    <row r="17" spans="1:142" ht="18" x14ac:dyDescent="0.35">
      <c r="A17" s="38" t="s">
        <v>22</v>
      </c>
      <c r="B17" s="39" t="s">
        <v>14</v>
      </c>
      <c r="C17" s="40" t="s">
        <v>16</v>
      </c>
      <c r="D17" s="40" t="s">
        <v>16</v>
      </c>
      <c r="E17" s="40" t="s">
        <v>16</v>
      </c>
      <c r="F17" s="40" t="s">
        <v>16</v>
      </c>
      <c r="G17" s="40" t="s">
        <v>16</v>
      </c>
      <c r="H17" s="40" t="s">
        <v>18</v>
      </c>
      <c r="I17" s="40" t="s">
        <v>16</v>
      </c>
      <c r="J17" s="40" t="s">
        <v>16</v>
      </c>
      <c r="K17" s="40" t="s">
        <v>16</v>
      </c>
      <c r="L17" s="40" t="s">
        <v>16</v>
      </c>
      <c r="M17" s="40" t="s">
        <v>16</v>
      </c>
      <c r="N17" s="40" t="s">
        <v>18</v>
      </c>
      <c r="O17" s="40" t="s">
        <v>16</v>
      </c>
      <c r="P17" s="40" t="s">
        <v>16</v>
      </c>
      <c r="Q17" s="40" t="s">
        <v>16</v>
      </c>
      <c r="R17" s="40" t="s">
        <v>16</v>
      </c>
      <c r="S17" s="40" t="s">
        <v>16</v>
      </c>
      <c r="T17" s="40" t="s">
        <v>16</v>
      </c>
      <c r="U17" s="40" t="s">
        <v>16</v>
      </c>
      <c r="V17" s="40" t="s">
        <v>16</v>
      </c>
      <c r="W17" s="40" t="s">
        <v>16</v>
      </c>
      <c r="X17" s="41" t="s">
        <v>16</v>
      </c>
      <c r="Y17" s="40" t="s">
        <v>16</v>
      </c>
      <c r="Z17" s="40" t="s">
        <v>16</v>
      </c>
      <c r="AA17" s="40" t="s">
        <v>16</v>
      </c>
      <c r="AB17" s="40" t="s">
        <v>18</v>
      </c>
      <c r="AC17" s="40" t="s">
        <v>16</v>
      </c>
      <c r="AD17" s="40" t="s">
        <v>18</v>
      </c>
      <c r="AE17" s="40" t="s">
        <v>18</v>
      </c>
      <c r="AF17" s="40" t="s">
        <v>18</v>
      </c>
      <c r="AG17" s="40" t="s">
        <v>16</v>
      </c>
      <c r="AH17" s="41" t="s">
        <v>16</v>
      </c>
      <c r="AI17" s="40" t="s">
        <v>16</v>
      </c>
      <c r="AJ17" s="40" t="s">
        <v>18</v>
      </c>
      <c r="AK17" s="40" t="s">
        <v>16</v>
      </c>
      <c r="AL17" s="40" t="s">
        <v>16</v>
      </c>
      <c r="AM17" s="40" t="s">
        <v>16</v>
      </c>
      <c r="AN17" s="40" t="s">
        <v>16</v>
      </c>
      <c r="AO17" s="40" t="s">
        <v>18</v>
      </c>
      <c r="AP17" s="40" t="s">
        <v>16</v>
      </c>
      <c r="AQ17" s="40" t="s">
        <v>18</v>
      </c>
      <c r="AR17" s="40" t="s">
        <v>18</v>
      </c>
      <c r="AS17" s="40" t="s">
        <v>16</v>
      </c>
      <c r="AT17" s="40" t="s">
        <v>18</v>
      </c>
      <c r="AU17" s="40" t="s">
        <v>16</v>
      </c>
      <c r="AV17" s="40" t="s">
        <v>16</v>
      </c>
      <c r="AW17" s="40" t="s">
        <v>16</v>
      </c>
      <c r="AX17" s="40" t="s">
        <v>16</v>
      </c>
      <c r="AY17" s="40" t="s">
        <v>16</v>
      </c>
      <c r="AZ17" s="40" t="s">
        <v>16</v>
      </c>
      <c r="BA17" s="40" t="s">
        <v>16</v>
      </c>
      <c r="BB17" s="40" t="s">
        <v>18</v>
      </c>
      <c r="BC17" s="40" t="s">
        <v>16</v>
      </c>
      <c r="BD17" s="40" t="s">
        <v>18</v>
      </c>
      <c r="BE17" s="40" t="s">
        <v>16</v>
      </c>
      <c r="BF17" s="40" t="s">
        <v>16</v>
      </c>
      <c r="BG17" s="40" t="s">
        <v>16</v>
      </c>
      <c r="BH17" s="40" t="s">
        <v>18</v>
      </c>
      <c r="BI17" s="40" t="s">
        <v>16</v>
      </c>
      <c r="BJ17" s="40" t="s">
        <v>16</v>
      </c>
      <c r="BK17" s="40" t="s">
        <v>18</v>
      </c>
      <c r="BL17" s="40" t="s">
        <v>16</v>
      </c>
      <c r="BM17" s="40" t="s">
        <v>18</v>
      </c>
      <c r="BN17" s="40" t="s">
        <v>16</v>
      </c>
      <c r="BO17" s="40" t="s">
        <v>16</v>
      </c>
      <c r="BP17" s="40" t="s">
        <v>16</v>
      </c>
      <c r="BQ17" s="40" t="s">
        <v>18</v>
      </c>
      <c r="BR17" s="40" t="s">
        <v>16</v>
      </c>
      <c r="BS17" s="40" t="s">
        <v>16</v>
      </c>
      <c r="BT17" s="40" t="s">
        <v>16</v>
      </c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1"/>
      <c r="CG17" s="40"/>
      <c r="CH17" s="41"/>
      <c r="CI17" s="40"/>
      <c r="CJ17" s="41"/>
      <c r="CK17" s="40"/>
      <c r="CL17" s="41"/>
      <c r="CM17" s="40"/>
      <c r="CN17" s="41"/>
      <c r="CO17" s="40"/>
      <c r="CP17" s="41"/>
      <c r="CQ17" s="40"/>
      <c r="CR17" s="41"/>
      <c r="CS17" s="40"/>
      <c r="CT17" s="41"/>
      <c r="CU17" s="40"/>
      <c r="CV17" s="41"/>
      <c r="CW17" s="40"/>
      <c r="CX17" s="41"/>
      <c r="CY17" s="40"/>
      <c r="CZ17" s="41"/>
      <c r="DA17" s="40"/>
      <c r="DB17" s="41"/>
      <c r="DC17" s="40"/>
      <c r="DD17" s="41"/>
      <c r="DE17" s="40"/>
      <c r="DF17" s="41"/>
      <c r="DG17" s="40"/>
      <c r="DH17" s="41"/>
      <c r="DI17" s="40"/>
      <c r="DJ17" s="41"/>
      <c r="DK17" s="40"/>
      <c r="DL17" s="41"/>
      <c r="DM17" s="40"/>
      <c r="DN17" s="41"/>
      <c r="DO17" s="40"/>
      <c r="DP17" s="41"/>
      <c r="DQ17" s="40"/>
      <c r="DR17" s="41"/>
      <c r="DS17" s="40"/>
      <c r="DT17" s="41"/>
      <c r="DU17" s="40"/>
      <c r="DV17" s="41"/>
      <c r="DW17" s="40"/>
      <c r="DX17" s="41"/>
      <c r="DY17" s="40"/>
      <c r="DZ17" s="41"/>
      <c r="EA17" s="40"/>
      <c r="EB17" s="41"/>
      <c r="EC17" s="40"/>
      <c r="ED17" s="41"/>
      <c r="EE17" s="40"/>
      <c r="EF17" s="41"/>
      <c r="EG17" s="40"/>
      <c r="EH17" s="41"/>
      <c r="EI17" s="40"/>
      <c r="EJ17" s="41"/>
      <c r="EK17" s="41"/>
      <c r="EL17" s="41"/>
    </row>
    <row r="18" spans="1:142" ht="18" x14ac:dyDescent="0.35">
      <c r="A18" s="42" t="s">
        <v>12</v>
      </c>
      <c r="B18" s="43" t="s">
        <v>15</v>
      </c>
      <c r="C18" s="44" t="s">
        <v>17</v>
      </c>
      <c r="D18" s="44" t="s">
        <v>17</v>
      </c>
      <c r="E18" s="44" t="s">
        <v>17</v>
      </c>
      <c r="F18" s="44" t="s">
        <v>17</v>
      </c>
      <c r="G18" s="44" t="s">
        <v>17</v>
      </c>
      <c r="H18" s="44" t="s">
        <v>17</v>
      </c>
      <c r="I18" s="44" t="s">
        <v>19</v>
      </c>
      <c r="J18" s="44" t="s">
        <v>19</v>
      </c>
      <c r="K18" s="44" t="s">
        <v>19</v>
      </c>
      <c r="L18" s="44" t="s">
        <v>19</v>
      </c>
      <c r="M18" s="44" t="s">
        <v>19</v>
      </c>
      <c r="N18" s="44" t="s">
        <v>17</v>
      </c>
      <c r="O18" s="44" t="s">
        <v>17</v>
      </c>
      <c r="P18" s="44" t="s">
        <v>19</v>
      </c>
      <c r="Q18" s="44" t="s">
        <v>19</v>
      </c>
      <c r="R18" s="44" t="s">
        <v>17</v>
      </c>
      <c r="S18" s="44" t="s">
        <v>17</v>
      </c>
      <c r="T18" s="44" t="s">
        <v>17</v>
      </c>
      <c r="U18" s="44" t="s">
        <v>19</v>
      </c>
      <c r="V18" s="44" t="s">
        <v>17</v>
      </c>
      <c r="W18" s="44" t="s">
        <v>17</v>
      </c>
      <c r="X18" s="45" t="s">
        <v>17</v>
      </c>
      <c r="Y18" s="44" t="s">
        <v>17</v>
      </c>
      <c r="Z18" s="44" t="s">
        <v>17</v>
      </c>
      <c r="AA18" s="44" t="s">
        <v>17</v>
      </c>
      <c r="AB18" s="44" t="s">
        <v>17</v>
      </c>
      <c r="AC18" s="44" t="s">
        <v>17</v>
      </c>
      <c r="AD18" s="44" t="s">
        <v>19</v>
      </c>
      <c r="AE18" s="44" t="s">
        <v>17</v>
      </c>
      <c r="AF18" s="44" t="s">
        <v>17</v>
      </c>
      <c r="AG18" s="44" t="s">
        <v>17</v>
      </c>
      <c r="AH18" s="45" t="s">
        <v>17</v>
      </c>
      <c r="AI18" s="44" t="s">
        <v>17</v>
      </c>
      <c r="AJ18" s="44" t="s">
        <v>19</v>
      </c>
      <c r="AK18" s="44" t="s">
        <v>19</v>
      </c>
      <c r="AL18" s="44" t="s">
        <v>19</v>
      </c>
      <c r="AM18" s="44" t="s">
        <v>19</v>
      </c>
      <c r="AN18" s="44" t="s">
        <v>19</v>
      </c>
      <c r="AO18" s="44" t="s">
        <v>17</v>
      </c>
      <c r="AP18" s="44" t="s">
        <v>17</v>
      </c>
      <c r="AQ18" s="44" t="s">
        <v>17</v>
      </c>
      <c r="AR18" s="44" t="s">
        <v>17</v>
      </c>
      <c r="AS18" s="44" t="s">
        <v>17</v>
      </c>
      <c r="AT18" s="44" t="s">
        <v>17</v>
      </c>
      <c r="AU18" s="44" t="s">
        <v>17</v>
      </c>
      <c r="AV18" s="44" t="s">
        <v>17</v>
      </c>
      <c r="AW18" s="44" t="s">
        <v>17</v>
      </c>
      <c r="AX18" s="44" t="s">
        <v>17</v>
      </c>
      <c r="AY18" s="44" t="s">
        <v>19</v>
      </c>
      <c r="AZ18" s="44" t="s">
        <v>17</v>
      </c>
      <c r="BA18" s="44" t="s">
        <v>19</v>
      </c>
      <c r="BB18" s="44" t="s">
        <v>17</v>
      </c>
      <c r="BC18" s="44" t="s">
        <v>17</v>
      </c>
      <c r="BD18" s="44" t="s">
        <v>19</v>
      </c>
      <c r="BE18" s="44" t="s">
        <v>19</v>
      </c>
      <c r="BF18" s="44" t="s">
        <v>17</v>
      </c>
      <c r="BG18" s="44" t="s">
        <v>17</v>
      </c>
      <c r="BH18" s="44" t="s">
        <v>17</v>
      </c>
      <c r="BI18" s="44" t="s">
        <v>17</v>
      </c>
      <c r="BJ18" s="44" t="s">
        <v>17</v>
      </c>
      <c r="BK18" s="44" t="s">
        <v>19</v>
      </c>
      <c r="BL18" s="44" t="s">
        <v>17</v>
      </c>
      <c r="BM18" s="44" t="s">
        <v>17</v>
      </c>
      <c r="BN18" s="44" t="s">
        <v>17</v>
      </c>
      <c r="BO18" s="44" t="s">
        <v>17</v>
      </c>
      <c r="BP18" s="44" t="s">
        <v>19</v>
      </c>
      <c r="BQ18" s="44" t="s">
        <v>19</v>
      </c>
      <c r="BR18" s="44" t="s">
        <v>17</v>
      </c>
      <c r="BS18" s="44" t="s">
        <v>19</v>
      </c>
      <c r="BT18" s="44" t="s">
        <v>19</v>
      </c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5"/>
      <c r="CG18" s="44"/>
      <c r="CH18" s="45"/>
      <c r="CI18" s="44"/>
      <c r="CJ18" s="45"/>
      <c r="CK18" s="44"/>
      <c r="CL18" s="45"/>
      <c r="CM18" s="44"/>
      <c r="CN18" s="45"/>
      <c r="CO18" s="44"/>
      <c r="CP18" s="45"/>
      <c r="CQ18" s="44"/>
      <c r="CR18" s="45"/>
      <c r="CS18" s="44"/>
      <c r="CT18" s="45"/>
      <c r="CU18" s="44"/>
      <c r="CV18" s="45"/>
      <c r="CW18" s="44"/>
      <c r="CX18" s="45"/>
      <c r="CY18" s="44"/>
      <c r="CZ18" s="45"/>
      <c r="DA18" s="44"/>
      <c r="DB18" s="45"/>
      <c r="DC18" s="44"/>
      <c r="DD18" s="45"/>
      <c r="DE18" s="44"/>
      <c r="DF18" s="45"/>
      <c r="DG18" s="44"/>
      <c r="DH18" s="45"/>
      <c r="DI18" s="44"/>
      <c r="DJ18" s="45"/>
      <c r="DK18" s="44"/>
      <c r="DL18" s="45"/>
      <c r="DM18" s="44"/>
      <c r="DN18" s="45"/>
      <c r="DO18" s="44"/>
      <c r="DP18" s="45"/>
      <c r="DQ18" s="44"/>
      <c r="DR18" s="45"/>
      <c r="DS18" s="44"/>
      <c r="DT18" s="45"/>
      <c r="DU18" s="44"/>
      <c r="DV18" s="45"/>
      <c r="DW18" s="44"/>
      <c r="DX18" s="45"/>
      <c r="DY18" s="44"/>
      <c r="DZ18" s="45"/>
      <c r="EA18" s="44"/>
      <c r="EB18" s="45"/>
      <c r="EC18" s="44"/>
      <c r="ED18" s="45"/>
      <c r="EE18" s="44"/>
      <c r="EF18" s="45"/>
      <c r="EG18" s="44"/>
      <c r="EH18" s="45"/>
      <c r="EI18" s="44"/>
      <c r="EJ18" s="45"/>
      <c r="EK18" s="45"/>
      <c r="EL18" s="45"/>
    </row>
    <row r="21" spans="1:142" x14ac:dyDescent="0.25">
      <c r="C21" s="31" t="s">
        <v>157</v>
      </c>
      <c r="D21" s="31"/>
      <c r="E21" s="31"/>
      <c r="F21" s="31"/>
      <c r="G21" s="31"/>
      <c r="H21" s="31"/>
      <c r="I21" s="31"/>
    </row>
    <row r="23" spans="1:142" x14ac:dyDescent="0.25">
      <c r="C23" s="4" t="s">
        <v>159</v>
      </c>
      <c r="D23" s="4"/>
      <c r="E23" s="4"/>
      <c r="F23" s="4">
        <f>COUNT(C25:BT25)</f>
        <v>41</v>
      </c>
      <c r="G23" s="4" t="s">
        <v>30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</row>
    <row r="24" spans="1:142" ht="18" x14ac:dyDescent="0.35">
      <c r="A24" s="34" t="s">
        <v>25</v>
      </c>
      <c r="B24" s="35" t="s">
        <v>1</v>
      </c>
      <c r="C24" s="36">
        <v>1</v>
      </c>
      <c r="D24" s="36">
        <v>2</v>
      </c>
      <c r="E24" s="36">
        <v>3</v>
      </c>
      <c r="F24" s="36">
        <v>4</v>
      </c>
      <c r="G24" s="36">
        <v>5</v>
      </c>
      <c r="H24" s="36">
        <v>6</v>
      </c>
      <c r="I24" s="36">
        <v>7</v>
      </c>
      <c r="J24" s="36">
        <v>8</v>
      </c>
      <c r="K24" s="36">
        <v>9</v>
      </c>
      <c r="L24" s="36">
        <v>10</v>
      </c>
      <c r="M24" s="36">
        <v>11</v>
      </c>
      <c r="N24" s="36">
        <v>12</v>
      </c>
      <c r="O24" s="36">
        <v>13</v>
      </c>
      <c r="P24" s="36">
        <v>14</v>
      </c>
      <c r="Q24" s="36">
        <v>15</v>
      </c>
      <c r="R24" s="36">
        <v>16</v>
      </c>
      <c r="S24" s="36">
        <v>17</v>
      </c>
      <c r="T24" s="36">
        <v>18</v>
      </c>
      <c r="U24" s="36">
        <v>19</v>
      </c>
      <c r="V24" s="36">
        <v>20</v>
      </c>
      <c r="W24" s="36">
        <v>21</v>
      </c>
      <c r="X24" s="37">
        <v>22</v>
      </c>
      <c r="Y24" s="36">
        <v>23</v>
      </c>
      <c r="Z24" s="36">
        <v>24</v>
      </c>
      <c r="AA24" s="36">
        <v>25</v>
      </c>
      <c r="AB24" s="36">
        <v>26</v>
      </c>
      <c r="AC24" s="36">
        <v>27</v>
      </c>
      <c r="AD24" s="36">
        <v>28</v>
      </c>
      <c r="AE24" s="36">
        <v>29</v>
      </c>
      <c r="AF24" s="36">
        <v>30</v>
      </c>
      <c r="AG24" s="36">
        <v>31</v>
      </c>
      <c r="AH24" s="37">
        <v>32</v>
      </c>
      <c r="AI24" s="36">
        <v>33</v>
      </c>
      <c r="AJ24" s="36">
        <v>34</v>
      </c>
      <c r="AK24" s="36">
        <v>35</v>
      </c>
      <c r="AL24" s="36">
        <v>36</v>
      </c>
      <c r="AM24" s="36">
        <v>37</v>
      </c>
      <c r="AN24" s="36">
        <v>38</v>
      </c>
      <c r="AO24" s="36">
        <v>39</v>
      </c>
      <c r="AP24" s="36">
        <v>40</v>
      </c>
      <c r="AQ24" s="36">
        <v>41</v>
      </c>
      <c r="AR24" s="37">
        <v>42</v>
      </c>
      <c r="AS24" s="36">
        <v>43</v>
      </c>
      <c r="AT24" s="36">
        <v>44</v>
      </c>
      <c r="AU24" s="36">
        <v>45</v>
      </c>
      <c r="AV24" s="36">
        <v>46</v>
      </c>
      <c r="AW24" s="36">
        <v>47</v>
      </c>
      <c r="AX24" s="36">
        <v>48</v>
      </c>
      <c r="AY24" s="36">
        <v>49</v>
      </c>
      <c r="AZ24" s="36">
        <v>50</v>
      </c>
      <c r="BA24" s="36">
        <v>51</v>
      </c>
      <c r="BB24" s="37">
        <v>52</v>
      </c>
      <c r="BC24" s="36">
        <v>53</v>
      </c>
      <c r="BD24" s="36">
        <v>54</v>
      </c>
      <c r="BE24" s="36">
        <v>55</v>
      </c>
      <c r="BF24" s="36">
        <v>56</v>
      </c>
      <c r="BG24" s="36">
        <v>57</v>
      </c>
      <c r="BH24" s="36">
        <v>58</v>
      </c>
      <c r="BI24" s="36">
        <v>59</v>
      </c>
      <c r="BJ24" s="36">
        <v>60</v>
      </c>
      <c r="BK24" s="36">
        <v>61</v>
      </c>
      <c r="BL24" s="37">
        <v>62</v>
      </c>
      <c r="BM24" s="36">
        <v>63</v>
      </c>
      <c r="BN24" s="36">
        <v>64</v>
      </c>
      <c r="BO24" s="36">
        <v>65</v>
      </c>
      <c r="BP24" s="36">
        <v>66</v>
      </c>
      <c r="BQ24" s="36">
        <v>67</v>
      </c>
      <c r="BR24" s="36">
        <v>68</v>
      </c>
      <c r="BS24" s="36">
        <v>69</v>
      </c>
      <c r="BT24" s="37">
        <v>70</v>
      </c>
    </row>
    <row r="25" spans="1:142" ht="18" x14ac:dyDescent="0.35">
      <c r="A25" s="38" t="s">
        <v>9</v>
      </c>
      <c r="B25" s="39" t="s">
        <v>2</v>
      </c>
      <c r="C25" s="40">
        <v>22</v>
      </c>
      <c r="D25" s="40">
        <v>21</v>
      </c>
      <c r="E25" s="40">
        <v>23</v>
      </c>
      <c r="F25" s="40">
        <v>24</v>
      </c>
      <c r="G25" s="40">
        <v>24</v>
      </c>
      <c r="H25" s="40">
        <v>27</v>
      </c>
      <c r="I25" s="40">
        <v>19</v>
      </c>
      <c r="J25" s="40">
        <v>19</v>
      </c>
      <c r="K25" s="40">
        <v>21</v>
      </c>
      <c r="L25" s="40">
        <v>22</v>
      </c>
      <c r="M25" s="40">
        <v>21</v>
      </c>
      <c r="N25" s="40">
        <v>26</v>
      </c>
      <c r="O25" s="40">
        <v>22</v>
      </c>
      <c r="P25" s="40">
        <v>24</v>
      </c>
      <c r="Q25" s="40">
        <v>20</v>
      </c>
      <c r="R25" s="40">
        <v>23</v>
      </c>
      <c r="S25" s="40">
        <v>21</v>
      </c>
      <c r="T25" s="40">
        <v>22</v>
      </c>
      <c r="U25" s="40">
        <v>20</v>
      </c>
      <c r="V25" s="40">
        <v>24</v>
      </c>
      <c r="W25" s="40">
        <v>21</v>
      </c>
      <c r="X25" s="41">
        <v>22</v>
      </c>
      <c r="Y25" s="40">
        <v>22</v>
      </c>
      <c r="Z25" s="40">
        <v>20</v>
      </c>
      <c r="AA25" s="40">
        <v>21</v>
      </c>
      <c r="AB25" s="40">
        <v>26</v>
      </c>
      <c r="AC25" s="40">
        <v>24</v>
      </c>
      <c r="AD25" s="40">
        <v>28</v>
      </c>
      <c r="AE25" s="40">
        <v>25</v>
      </c>
      <c r="AF25" s="40">
        <v>25</v>
      </c>
      <c r="AG25" s="40">
        <v>21</v>
      </c>
      <c r="AH25" s="41">
        <v>21</v>
      </c>
      <c r="AI25" s="40">
        <v>20</v>
      </c>
      <c r="AJ25" s="40">
        <v>25</v>
      </c>
      <c r="AK25" s="40">
        <v>22</v>
      </c>
      <c r="AL25" s="40">
        <v>20</v>
      </c>
      <c r="AM25" s="40">
        <v>21</v>
      </c>
      <c r="AN25" s="40">
        <v>20</v>
      </c>
      <c r="AO25" s="40">
        <v>23</v>
      </c>
      <c r="AP25" s="40">
        <v>22</v>
      </c>
      <c r="AQ25" s="40">
        <v>28</v>
      </c>
      <c r="AR25" s="41"/>
      <c r="AS25" s="40"/>
      <c r="AT25" s="40"/>
      <c r="AU25" s="40"/>
      <c r="AV25" s="40"/>
      <c r="AW25" s="40"/>
      <c r="AX25" s="40"/>
      <c r="AY25" s="40"/>
      <c r="AZ25" s="40"/>
      <c r="BA25" s="40"/>
      <c r="BB25" s="41"/>
      <c r="BC25" s="40"/>
      <c r="BD25" s="40"/>
      <c r="BE25" s="40"/>
      <c r="BF25" s="40"/>
      <c r="BG25" s="40"/>
      <c r="BH25" s="40"/>
      <c r="BI25" s="40"/>
      <c r="BJ25" s="40"/>
      <c r="BK25" s="40"/>
      <c r="BL25" s="41"/>
      <c r="BM25" s="40"/>
      <c r="BN25" s="40"/>
      <c r="BO25" s="40"/>
      <c r="BP25" s="40"/>
      <c r="BQ25" s="40"/>
      <c r="BR25" s="40"/>
      <c r="BS25" s="40"/>
      <c r="BT25" s="41"/>
    </row>
    <row r="26" spans="1:142" ht="18" x14ac:dyDescent="0.35">
      <c r="A26" s="38" t="s">
        <v>21</v>
      </c>
      <c r="B26" s="39" t="s">
        <v>13</v>
      </c>
      <c r="C26" s="40">
        <v>187</v>
      </c>
      <c r="D26" s="40">
        <v>178</v>
      </c>
      <c r="E26" s="40">
        <v>170</v>
      </c>
      <c r="F26" s="40">
        <v>170</v>
      </c>
      <c r="G26" s="40">
        <v>171</v>
      </c>
      <c r="H26" s="40">
        <v>193</v>
      </c>
      <c r="I26" s="40">
        <v>168</v>
      </c>
      <c r="J26" s="40">
        <v>160</v>
      </c>
      <c r="K26" s="40">
        <v>163</v>
      </c>
      <c r="L26" s="40">
        <v>161</v>
      </c>
      <c r="M26" s="40">
        <v>160</v>
      </c>
      <c r="N26" s="40">
        <v>164</v>
      </c>
      <c r="O26" s="40">
        <v>174</v>
      </c>
      <c r="P26" s="40">
        <v>160</v>
      </c>
      <c r="Q26" s="40">
        <v>163</v>
      </c>
      <c r="R26" s="40">
        <v>193</v>
      </c>
      <c r="S26" s="40">
        <v>184</v>
      </c>
      <c r="T26" s="40">
        <v>185</v>
      </c>
      <c r="U26" s="40">
        <v>163</v>
      </c>
      <c r="V26" s="40">
        <v>182</v>
      </c>
      <c r="W26" s="40">
        <v>185</v>
      </c>
      <c r="X26" s="41">
        <v>170</v>
      </c>
      <c r="Y26" s="40">
        <v>180</v>
      </c>
      <c r="Z26" s="40">
        <v>182</v>
      </c>
      <c r="AA26" s="40">
        <v>185</v>
      </c>
      <c r="AB26" s="40">
        <v>182</v>
      </c>
      <c r="AC26" s="40">
        <v>183</v>
      </c>
      <c r="AD26" s="40">
        <v>169</v>
      </c>
      <c r="AE26" s="40">
        <v>187</v>
      </c>
      <c r="AF26" s="40">
        <v>183</v>
      </c>
      <c r="AG26" s="40">
        <v>165</v>
      </c>
      <c r="AH26" s="41">
        <v>176</v>
      </c>
      <c r="AI26" s="40">
        <v>180</v>
      </c>
      <c r="AJ26" s="40">
        <v>172</v>
      </c>
      <c r="AK26" s="40">
        <v>170</v>
      </c>
      <c r="AL26" s="40">
        <v>170</v>
      </c>
      <c r="AM26" s="40">
        <v>173</v>
      </c>
      <c r="AN26" s="40">
        <v>174</v>
      </c>
      <c r="AO26" s="40">
        <v>189</v>
      </c>
      <c r="AP26" s="40">
        <v>180</v>
      </c>
      <c r="AQ26" s="40">
        <v>190</v>
      </c>
      <c r="AR26" s="41"/>
      <c r="AS26" s="40"/>
      <c r="AT26" s="40"/>
      <c r="AU26" s="40"/>
      <c r="AV26" s="40"/>
      <c r="AW26" s="40"/>
      <c r="AX26" s="40"/>
      <c r="AY26" s="40"/>
      <c r="AZ26" s="40"/>
      <c r="BA26" s="40"/>
      <c r="BB26" s="41"/>
      <c r="BC26" s="40"/>
      <c r="BD26" s="40"/>
      <c r="BE26" s="40"/>
      <c r="BF26" s="40"/>
      <c r="BG26" s="40"/>
      <c r="BH26" s="40"/>
      <c r="BI26" s="40"/>
      <c r="BJ26" s="40"/>
      <c r="BK26" s="40"/>
      <c r="BL26" s="41"/>
      <c r="BM26" s="40"/>
      <c r="BN26" s="40"/>
      <c r="BO26" s="40"/>
      <c r="BP26" s="40"/>
      <c r="BQ26" s="40"/>
      <c r="BR26" s="40"/>
      <c r="BS26" s="40"/>
      <c r="BT26" s="41"/>
    </row>
    <row r="27" spans="1:142" ht="18" x14ac:dyDescent="0.35">
      <c r="A27" s="38" t="s">
        <v>22</v>
      </c>
      <c r="B27" s="39" t="s">
        <v>14</v>
      </c>
      <c r="C27" s="40" t="s">
        <v>16</v>
      </c>
      <c r="D27" s="40" t="s">
        <v>16</v>
      </c>
      <c r="E27" s="40" t="s">
        <v>16</v>
      </c>
      <c r="F27" s="40" t="s">
        <v>16</v>
      </c>
      <c r="G27" s="40" t="s">
        <v>16</v>
      </c>
      <c r="H27" s="40" t="s">
        <v>18</v>
      </c>
      <c r="I27" s="40" t="s">
        <v>16</v>
      </c>
      <c r="J27" s="40" t="s">
        <v>16</v>
      </c>
      <c r="K27" s="40" t="s">
        <v>16</v>
      </c>
      <c r="L27" s="40" t="s">
        <v>16</v>
      </c>
      <c r="M27" s="40" t="s">
        <v>16</v>
      </c>
      <c r="N27" s="40" t="s">
        <v>18</v>
      </c>
      <c r="O27" s="40" t="s">
        <v>16</v>
      </c>
      <c r="P27" s="40" t="s">
        <v>16</v>
      </c>
      <c r="Q27" s="40" t="s">
        <v>16</v>
      </c>
      <c r="R27" s="40" t="s">
        <v>16</v>
      </c>
      <c r="S27" s="40" t="s">
        <v>16</v>
      </c>
      <c r="T27" s="40" t="s">
        <v>16</v>
      </c>
      <c r="U27" s="40" t="s">
        <v>16</v>
      </c>
      <c r="V27" s="40" t="s">
        <v>16</v>
      </c>
      <c r="W27" s="40" t="s">
        <v>16</v>
      </c>
      <c r="X27" s="41" t="s">
        <v>16</v>
      </c>
      <c r="Y27" s="40" t="s">
        <v>16</v>
      </c>
      <c r="Z27" s="40" t="s">
        <v>16</v>
      </c>
      <c r="AA27" s="40" t="s">
        <v>16</v>
      </c>
      <c r="AB27" s="40" t="s">
        <v>18</v>
      </c>
      <c r="AC27" s="40" t="s">
        <v>16</v>
      </c>
      <c r="AD27" s="40" t="s">
        <v>18</v>
      </c>
      <c r="AE27" s="40" t="s">
        <v>18</v>
      </c>
      <c r="AF27" s="40" t="s">
        <v>18</v>
      </c>
      <c r="AG27" s="40" t="s">
        <v>16</v>
      </c>
      <c r="AH27" s="41" t="s">
        <v>16</v>
      </c>
      <c r="AI27" s="40" t="s">
        <v>16</v>
      </c>
      <c r="AJ27" s="40" t="s">
        <v>18</v>
      </c>
      <c r="AK27" s="40" t="s">
        <v>16</v>
      </c>
      <c r="AL27" s="40" t="s">
        <v>16</v>
      </c>
      <c r="AM27" s="40" t="s">
        <v>16</v>
      </c>
      <c r="AN27" s="40" t="s">
        <v>16</v>
      </c>
      <c r="AO27" s="40" t="s">
        <v>18</v>
      </c>
      <c r="AP27" s="40" t="s">
        <v>16</v>
      </c>
      <c r="AQ27" s="40" t="s">
        <v>18</v>
      </c>
      <c r="AR27" s="41"/>
      <c r="AS27" s="40"/>
      <c r="AT27" s="40"/>
      <c r="AU27" s="40"/>
      <c r="AV27" s="40"/>
      <c r="AW27" s="40"/>
      <c r="AX27" s="40"/>
      <c r="AY27" s="40"/>
      <c r="AZ27" s="40"/>
      <c r="BA27" s="40"/>
      <c r="BB27" s="41"/>
      <c r="BC27" s="40"/>
      <c r="BD27" s="40"/>
      <c r="BE27" s="40"/>
      <c r="BF27" s="40"/>
      <c r="BG27" s="40"/>
      <c r="BH27" s="40"/>
      <c r="BI27" s="40"/>
      <c r="BJ27" s="40"/>
      <c r="BK27" s="40"/>
      <c r="BL27" s="41"/>
      <c r="BM27" s="40"/>
      <c r="BN27" s="40"/>
      <c r="BO27" s="40"/>
      <c r="BP27" s="40"/>
      <c r="BQ27" s="40"/>
      <c r="BR27" s="40"/>
      <c r="BS27" s="40"/>
      <c r="BT27" s="41"/>
    </row>
    <row r="28" spans="1:142" ht="18" x14ac:dyDescent="0.35">
      <c r="A28" s="42" t="s">
        <v>12</v>
      </c>
      <c r="B28" s="43" t="s">
        <v>15</v>
      </c>
      <c r="C28" s="44" t="s">
        <v>17</v>
      </c>
      <c r="D28" s="44" t="s">
        <v>17</v>
      </c>
      <c r="E28" s="44" t="s">
        <v>17</v>
      </c>
      <c r="F28" s="44" t="s">
        <v>17</v>
      </c>
      <c r="G28" s="44" t="s">
        <v>17</v>
      </c>
      <c r="H28" s="44" t="s">
        <v>17</v>
      </c>
      <c r="I28" s="44" t="s">
        <v>19</v>
      </c>
      <c r="J28" s="44" t="s">
        <v>19</v>
      </c>
      <c r="K28" s="44" t="s">
        <v>19</v>
      </c>
      <c r="L28" s="44" t="s">
        <v>19</v>
      </c>
      <c r="M28" s="44" t="s">
        <v>19</v>
      </c>
      <c r="N28" s="44" t="s">
        <v>17</v>
      </c>
      <c r="O28" s="44" t="s">
        <v>17</v>
      </c>
      <c r="P28" s="44" t="s">
        <v>19</v>
      </c>
      <c r="Q28" s="44" t="s">
        <v>19</v>
      </c>
      <c r="R28" s="44" t="s">
        <v>17</v>
      </c>
      <c r="S28" s="44" t="s">
        <v>17</v>
      </c>
      <c r="T28" s="44" t="s">
        <v>17</v>
      </c>
      <c r="U28" s="44" t="s">
        <v>19</v>
      </c>
      <c r="V28" s="44" t="s">
        <v>17</v>
      </c>
      <c r="W28" s="44" t="s">
        <v>17</v>
      </c>
      <c r="X28" s="45" t="s">
        <v>17</v>
      </c>
      <c r="Y28" s="44" t="s">
        <v>17</v>
      </c>
      <c r="Z28" s="44" t="s">
        <v>17</v>
      </c>
      <c r="AA28" s="44" t="s">
        <v>17</v>
      </c>
      <c r="AB28" s="44" t="s">
        <v>17</v>
      </c>
      <c r="AC28" s="44" t="s">
        <v>17</v>
      </c>
      <c r="AD28" s="44" t="s">
        <v>19</v>
      </c>
      <c r="AE28" s="44" t="s">
        <v>17</v>
      </c>
      <c r="AF28" s="44" t="s">
        <v>17</v>
      </c>
      <c r="AG28" s="44" t="s">
        <v>17</v>
      </c>
      <c r="AH28" s="45" t="s">
        <v>17</v>
      </c>
      <c r="AI28" s="44" t="s">
        <v>17</v>
      </c>
      <c r="AJ28" s="44" t="s">
        <v>19</v>
      </c>
      <c r="AK28" s="44" t="s">
        <v>19</v>
      </c>
      <c r="AL28" s="44" t="s">
        <v>19</v>
      </c>
      <c r="AM28" s="44" t="s">
        <v>19</v>
      </c>
      <c r="AN28" s="44" t="s">
        <v>19</v>
      </c>
      <c r="AO28" s="44" t="s">
        <v>17</v>
      </c>
      <c r="AP28" s="44" t="s">
        <v>17</v>
      </c>
      <c r="AQ28" s="44" t="s">
        <v>17</v>
      </c>
      <c r="AR28" s="45"/>
      <c r="AS28" s="44"/>
      <c r="AT28" s="44"/>
      <c r="AU28" s="44"/>
      <c r="AV28" s="44"/>
      <c r="AW28" s="44"/>
      <c r="AX28" s="44"/>
      <c r="AY28" s="44"/>
      <c r="AZ28" s="44"/>
      <c r="BA28" s="44"/>
      <c r="BB28" s="45"/>
      <c r="BC28" s="44"/>
      <c r="BD28" s="44"/>
      <c r="BE28" s="44"/>
      <c r="BF28" s="44"/>
      <c r="BG28" s="44"/>
      <c r="BH28" s="44"/>
      <c r="BI28" s="44"/>
      <c r="BJ28" s="44"/>
      <c r="BK28" s="44"/>
      <c r="BL28" s="45"/>
      <c r="BM28" s="44"/>
      <c r="BN28" s="44"/>
      <c r="BO28" s="44"/>
      <c r="BP28" s="44"/>
      <c r="BQ28" s="44"/>
      <c r="BR28" s="44"/>
      <c r="BS28" s="44"/>
      <c r="BT28" s="45"/>
    </row>
    <row r="31" spans="1:142" x14ac:dyDescent="0.25">
      <c r="C31" s="5" t="s">
        <v>158</v>
      </c>
      <c r="D31" s="5"/>
      <c r="E31" s="5"/>
      <c r="F31" s="5">
        <f>COUNT(C33:BT33)</f>
        <v>29</v>
      </c>
      <c r="G31" s="5" t="s">
        <v>30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</row>
    <row r="32" spans="1:142" ht="18" x14ac:dyDescent="0.35">
      <c r="A32" s="34" t="s">
        <v>25</v>
      </c>
      <c r="B32" s="35" t="s">
        <v>1</v>
      </c>
      <c r="C32" s="36">
        <v>1</v>
      </c>
      <c r="D32" s="36">
        <v>2</v>
      </c>
      <c r="E32" s="36">
        <v>3</v>
      </c>
      <c r="F32" s="36">
        <v>4</v>
      </c>
      <c r="G32" s="36">
        <v>5</v>
      </c>
      <c r="H32" s="36">
        <v>6</v>
      </c>
      <c r="I32" s="36">
        <v>7</v>
      </c>
      <c r="J32" s="36">
        <v>8</v>
      </c>
      <c r="K32" s="36">
        <v>9</v>
      </c>
      <c r="L32" s="36">
        <v>10</v>
      </c>
      <c r="M32" s="36">
        <v>11</v>
      </c>
      <c r="N32" s="36">
        <v>12</v>
      </c>
      <c r="O32" s="36">
        <v>13</v>
      </c>
      <c r="P32" s="36">
        <v>14</v>
      </c>
      <c r="Q32" s="36">
        <v>15</v>
      </c>
      <c r="R32" s="36">
        <v>16</v>
      </c>
      <c r="S32" s="36">
        <v>17</v>
      </c>
      <c r="T32" s="36">
        <v>18</v>
      </c>
      <c r="U32" s="36">
        <v>19</v>
      </c>
      <c r="V32" s="36">
        <v>20</v>
      </c>
      <c r="W32" s="36">
        <v>21</v>
      </c>
      <c r="X32" s="36">
        <v>22</v>
      </c>
      <c r="Y32" s="36">
        <v>23</v>
      </c>
      <c r="Z32" s="36">
        <v>24</v>
      </c>
      <c r="AA32" s="36">
        <v>25</v>
      </c>
      <c r="AB32" s="36">
        <v>26</v>
      </c>
      <c r="AC32" s="36">
        <v>27</v>
      </c>
      <c r="AD32" s="36">
        <v>28</v>
      </c>
      <c r="AE32" s="36">
        <v>29</v>
      </c>
      <c r="AF32" s="36">
        <v>30</v>
      </c>
      <c r="AG32" s="36">
        <v>31</v>
      </c>
      <c r="AH32" s="36">
        <v>32</v>
      </c>
      <c r="AI32" s="36">
        <v>33</v>
      </c>
      <c r="AJ32" s="36">
        <v>34</v>
      </c>
      <c r="AK32" s="36">
        <v>35</v>
      </c>
      <c r="AL32" s="36">
        <v>36</v>
      </c>
      <c r="AM32" s="36">
        <v>37</v>
      </c>
      <c r="AN32" s="36">
        <v>38</v>
      </c>
      <c r="AO32" s="36">
        <v>39</v>
      </c>
      <c r="AP32" s="36">
        <v>40</v>
      </c>
      <c r="AQ32" s="36">
        <v>41</v>
      </c>
      <c r="AR32" s="36">
        <v>42</v>
      </c>
      <c r="AS32" s="36">
        <v>43</v>
      </c>
      <c r="AT32" s="36">
        <v>44</v>
      </c>
      <c r="AU32" s="36">
        <v>45</v>
      </c>
      <c r="AV32" s="36">
        <v>46</v>
      </c>
      <c r="AW32" s="36">
        <v>47</v>
      </c>
      <c r="AX32" s="36">
        <v>48</v>
      </c>
      <c r="AY32" s="36">
        <v>49</v>
      </c>
      <c r="AZ32" s="36">
        <v>50</v>
      </c>
      <c r="BA32" s="36">
        <v>51</v>
      </c>
      <c r="BB32" s="36">
        <v>52</v>
      </c>
      <c r="BC32" s="36">
        <v>53</v>
      </c>
      <c r="BD32" s="36">
        <v>54</v>
      </c>
      <c r="BE32" s="36">
        <v>55</v>
      </c>
      <c r="BF32" s="36">
        <v>56</v>
      </c>
      <c r="BG32" s="36">
        <v>57</v>
      </c>
      <c r="BH32" s="36">
        <v>58</v>
      </c>
      <c r="BI32" s="36">
        <v>59</v>
      </c>
      <c r="BJ32" s="37">
        <v>60</v>
      </c>
      <c r="BK32" s="36">
        <v>61</v>
      </c>
      <c r="BL32" s="37">
        <v>62</v>
      </c>
      <c r="BM32" s="36">
        <v>63</v>
      </c>
      <c r="BN32" s="37">
        <v>64</v>
      </c>
      <c r="BO32" s="36">
        <v>65</v>
      </c>
      <c r="BP32" s="37">
        <v>66</v>
      </c>
      <c r="BQ32" s="36">
        <v>67</v>
      </c>
      <c r="BR32" s="37">
        <v>68</v>
      </c>
      <c r="BS32" s="36">
        <v>69</v>
      </c>
      <c r="BT32" s="37">
        <v>70</v>
      </c>
    </row>
    <row r="33" spans="1:72" ht="18" x14ac:dyDescent="0.35">
      <c r="A33" s="38" t="s">
        <v>9</v>
      </c>
      <c r="B33" s="39" t="s">
        <v>2</v>
      </c>
      <c r="C33" s="40">
        <v>26</v>
      </c>
      <c r="D33" s="40">
        <v>21</v>
      </c>
      <c r="E33" s="40">
        <v>23</v>
      </c>
      <c r="F33" s="40">
        <v>22</v>
      </c>
      <c r="G33" s="40">
        <v>20</v>
      </c>
      <c r="H33" s="40">
        <v>24</v>
      </c>
      <c r="I33" s="40">
        <v>20</v>
      </c>
      <c r="J33" s="40">
        <v>19</v>
      </c>
      <c r="K33" s="40">
        <v>23</v>
      </c>
      <c r="L33" s="40">
        <v>22</v>
      </c>
      <c r="M33" s="40">
        <v>26</v>
      </c>
      <c r="N33" s="40">
        <v>20</v>
      </c>
      <c r="O33" s="40">
        <v>25</v>
      </c>
      <c r="P33" s="40">
        <v>22</v>
      </c>
      <c r="Q33" s="40">
        <v>25</v>
      </c>
      <c r="R33" s="40">
        <v>22</v>
      </c>
      <c r="S33" s="40">
        <v>26</v>
      </c>
      <c r="T33" s="40">
        <v>25</v>
      </c>
      <c r="U33" s="40">
        <v>22</v>
      </c>
      <c r="V33" s="40">
        <v>23</v>
      </c>
      <c r="W33" s="40">
        <v>23</v>
      </c>
      <c r="X33" s="40">
        <v>23</v>
      </c>
      <c r="Y33" s="40">
        <v>20</v>
      </c>
      <c r="Z33" s="40">
        <v>26</v>
      </c>
      <c r="AA33" s="40">
        <v>21</v>
      </c>
      <c r="AB33" s="40">
        <v>25</v>
      </c>
      <c r="AC33" s="40">
        <v>25</v>
      </c>
      <c r="AD33" s="40">
        <v>22</v>
      </c>
      <c r="AE33" s="40">
        <v>23</v>
      </c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  <c r="BK33" s="40"/>
      <c r="BL33" s="41"/>
      <c r="BM33" s="40"/>
      <c r="BN33" s="41"/>
      <c r="BO33" s="40"/>
      <c r="BP33" s="41"/>
      <c r="BQ33" s="40"/>
      <c r="BR33" s="41"/>
      <c r="BS33" s="40"/>
      <c r="BT33" s="41"/>
    </row>
    <row r="34" spans="1:72" ht="18" x14ac:dyDescent="0.35">
      <c r="A34" s="38" t="s">
        <v>21</v>
      </c>
      <c r="B34" s="39" t="s">
        <v>13</v>
      </c>
      <c r="C34" s="40">
        <v>184</v>
      </c>
      <c r="D34" s="40">
        <v>176</v>
      </c>
      <c r="E34" s="40">
        <v>176</v>
      </c>
      <c r="F34" s="40">
        <v>188</v>
      </c>
      <c r="G34" s="40">
        <v>185</v>
      </c>
      <c r="H34" s="40">
        <v>182</v>
      </c>
      <c r="I34" s="40">
        <v>183</v>
      </c>
      <c r="J34" s="40">
        <v>182</v>
      </c>
      <c r="K34" s="40">
        <v>185</v>
      </c>
      <c r="L34" s="40">
        <v>160</v>
      </c>
      <c r="M34" s="40">
        <v>175</v>
      </c>
      <c r="N34" s="40">
        <v>195</v>
      </c>
      <c r="O34" s="40">
        <v>176</v>
      </c>
      <c r="P34" s="40">
        <v>165</v>
      </c>
      <c r="Q34" s="40">
        <v>180</v>
      </c>
      <c r="R34" s="40">
        <v>170</v>
      </c>
      <c r="S34" s="40">
        <v>185</v>
      </c>
      <c r="T34" s="40">
        <v>178</v>
      </c>
      <c r="U34" s="40">
        <v>184</v>
      </c>
      <c r="V34" s="40">
        <v>155</v>
      </c>
      <c r="W34" s="40">
        <v>178</v>
      </c>
      <c r="X34" s="40">
        <v>176</v>
      </c>
      <c r="Y34" s="40">
        <v>183</v>
      </c>
      <c r="Z34" s="40">
        <v>185</v>
      </c>
      <c r="AA34" s="40">
        <v>174</v>
      </c>
      <c r="AB34" s="40">
        <v>176</v>
      </c>
      <c r="AC34" s="40">
        <v>170</v>
      </c>
      <c r="AD34" s="40">
        <v>165</v>
      </c>
      <c r="AE34" s="40">
        <v>160</v>
      </c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  <c r="BK34" s="40"/>
      <c r="BL34" s="41"/>
      <c r="BM34" s="40"/>
      <c r="BN34" s="41"/>
      <c r="BO34" s="40"/>
      <c r="BP34" s="41"/>
      <c r="BQ34" s="40"/>
      <c r="BR34" s="41"/>
      <c r="BS34" s="40"/>
      <c r="BT34" s="41"/>
    </row>
    <row r="35" spans="1:72" ht="18" x14ac:dyDescent="0.35">
      <c r="A35" s="38" t="s">
        <v>22</v>
      </c>
      <c r="B35" s="39" t="s">
        <v>14</v>
      </c>
      <c r="C35" s="40" t="s">
        <v>18</v>
      </c>
      <c r="D35" s="40" t="s">
        <v>16</v>
      </c>
      <c r="E35" s="40" t="s">
        <v>18</v>
      </c>
      <c r="F35" s="40" t="s">
        <v>16</v>
      </c>
      <c r="G35" s="40" t="s">
        <v>16</v>
      </c>
      <c r="H35" s="40" t="s">
        <v>16</v>
      </c>
      <c r="I35" s="40" t="s">
        <v>16</v>
      </c>
      <c r="J35" s="40" t="s">
        <v>16</v>
      </c>
      <c r="K35" s="40" t="s">
        <v>16</v>
      </c>
      <c r="L35" s="40" t="s">
        <v>16</v>
      </c>
      <c r="M35" s="40" t="s">
        <v>18</v>
      </c>
      <c r="N35" s="40" t="s">
        <v>16</v>
      </c>
      <c r="O35" s="40" t="s">
        <v>18</v>
      </c>
      <c r="P35" s="40" t="s">
        <v>16</v>
      </c>
      <c r="Q35" s="40" t="s">
        <v>16</v>
      </c>
      <c r="R35" s="40" t="s">
        <v>16</v>
      </c>
      <c r="S35" s="40" t="s">
        <v>18</v>
      </c>
      <c r="T35" s="40" t="s">
        <v>16</v>
      </c>
      <c r="U35" s="40" t="s">
        <v>16</v>
      </c>
      <c r="V35" s="40" t="s">
        <v>18</v>
      </c>
      <c r="W35" s="40" t="s">
        <v>16</v>
      </c>
      <c r="X35" s="40" t="s">
        <v>18</v>
      </c>
      <c r="Y35" s="40" t="s">
        <v>16</v>
      </c>
      <c r="Z35" s="40" t="s">
        <v>16</v>
      </c>
      <c r="AA35" s="40" t="s">
        <v>16</v>
      </c>
      <c r="AB35" s="40" t="s">
        <v>18</v>
      </c>
      <c r="AC35" s="40" t="s">
        <v>16</v>
      </c>
      <c r="AD35" s="40" t="s">
        <v>16</v>
      </c>
      <c r="AE35" s="40" t="s">
        <v>16</v>
      </c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1"/>
      <c r="BK35" s="40"/>
      <c r="BL35" s="41"/>
      <c r="BM35" s="40"/>
      <c r="BN35" s="41"/>
      <c r="BO35" s="40"/>
      <c r="BP35" s="41"/>
      <c r="BQ35" s="40"/>
      <c r="BR35" s="41"/>
      <c r="BS35" s="40"/>
      <c r="BT35" s="41"/>
    </row>
    <row r="36" spans="1:72" ht="18" x14ac:dyDescent="0.35">
      <c r="A36" s="42" t="s">
        <v>12</v>
      </c>
      <c r="B36" s="43" t="s">
        <v>15</v>
      </c>
      <c r="C36" s="44" t="s">
        <v>17</v>
      </c>
      <c r="D36" s="44" t="s">
        <v>17</v>
      </c>
      <c r="E36" s="44" t="s">
        <v>17</v>
      </c>
      <c r="F36" s="44" t="s">
        <v>17</v>
      </c>
      <c r="G36" s="44" t="s">
        <v>17</v>
      </c>
      <c r="H36" s="44" t="s">
        <v>17</v>
      </c>
      <c r="I36" s="44" t="s">
        <v>17</v>
      </c>
      <c r="J36" s="44" t="s">
        <v>19</v>
      </c>
      <c r="K36" s="44" t="s">
        <v>17</v>
      </c>
      <c r="L36" s="44" t="s">
        <v>19</v>
      </c>
      <c r="M36" s="44" t="s">
        <v>17</v>
      </c>
      <c r="N36" s="44" t="s">
        <v>17</v>
      </c>
      <c r="O36" s="44" t="s">
        <v>19</v>
      </c>
      <c r="P36" s="44" t="s">
        <v>19</v>
      </c>
      <c r="Q36" s="44" t="s">
        <v>17</v>
      </c>
      <c r="R36" s="44" t="s">
        <v>17</v>
      </c>
      <c r="S36" s="44" t="s">
        <v>17</v>
      </c>
      <c r="T36" s="44" t="s">
        <v>17</v>
      </c>
      <c r="U36" s="44" t="s">
        <v>17</v>
      </c>
      <c r="V36" s="44" t="s">
        <v>19</v>
      </c>
      <c r="W36" s="44" t="s">
        <v>17</v>
      </c>
      <c r="X36" s="44" t="s">
        <v>17</v>
      </c>
      <c r="Y36" s="44" t="s">
        <v>17</v>
      </c>
      <c r="Z36" s="44" t="s">
        <v>17</v>
      </c>
      <c r="AA36" s="44" t="s">
        <v>19</v>
      </c>
      <c r="AB36" s="44" t="s">
        <v>19</v>
      </c>
      <c r="AC36" s="44" t="s">
        <v>17</v>
      </c>
      <c r="AD36" s="44" t="s">
        <v>19</v>
      </c>
      <c r="AE36" s="44" t="s">
        <v>19</v>
      </c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5"/>
      <c r="BK36" s="44"/>
      <c r="BL36" s="45"/>
      <c r="BM36" s="44"/>
      <c r="BN36" s="45"/>
      <c r="BO36" s="44"/>
      <c r="BP36" s="45"/>
      <c r="BQ36" s="44"/>
      <c r="BR36" s="45"/>
      <c r="BS36" s="44"/>
      <c r="BT36" s="45"/>
    </row>
  </sheetData>
  <mergeCells count="2">
    <mergeCell ref="C13:AQ13"/>
    <mergeCell ref="AR13:BT13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>
    <pageSetUpPr fitToPage="1"/>
  </sheetPr>
  <dimension ref="A1:AU51"/>
  <sheetViews>
    <sheetView zoomScaleNormal="100" workbookViewId="0">
      <selection activeCell="AI8" sqref="AI8"/>
    </sheetView>
  </sheetViews>
  <sheetFormatPr baseColWidth="10" defaultColWidth="11.42578125" defaultRowHeight="15" x14ac:dyDescent="0.25"/>
  <cols>
    <col min="1" max="3" width="6.7109375" style="8" customWidth="1"/>
    <col min="4" max="4" width="2.7109375" style="8" customWidth="1"/>
    <col min="5" max="7" width="6.7109375" style="8" customWidth="1"/>
    <col min="8" max="8" width="2.7109375" style="8" customWidth="1"/>
    <col min="9" max="11" width="6.7109375" style="8" customWidth="1"/>
    <col min="12" max="12" width="2.7109375" style="8" customWidth="1"/>
    <col min="13" max="15" width="6.7109375" style="8" customWidth="1"/>
    <col min="16" max="16" width="5.7109375" style="8" customWidth="1"/>
    <col min="17" max="19" width="6.7109375" style="8" customWidth="1"/>
    <col min="20" max="20" width="2.7109375" style="8" customWidth="1"/>
    <col min="21" max="23" width="6.7109375" style="8" customWidth="1"/>
    <col min="24" max="24" width="2.7109375" style="8" customWidth="1"/>
    <col min="25" max="27" width="6.7109375" style="8" customWidth="1"/>
    <col min="28" max="28" width="2.7109375" style="8" customWidth="1"/>
    <col min="29" max="31" width="6.7109375" style="8" customWidth="1"/>
    <col min="32" max="32" width="5.7109375" style="8" customWidth="1"/>
    <col min="33" max="35" width="6.7109375" style="8" customWidth="1"/>
    <col min="36" max="36" width="2.7109375" style="8" customWidth="1"/>
    <col min="37" max="39" width="6.7109375" style="8" customWidth="1"/>
    <col min="40" max="40" width="2.7109375" style="8" customWidth="1"/>
    <col min="41" max="43" width="6.7109375" style="8" customWidth="1"/>
    <col min="44" max="44" width="2.7109375" style="8" customWidth="1"/>
    <col min="45" max="47" width="6.7109375" style="8" customWidth="1"/>
    <col min="48" max="16384" width="11.42578125" style="8"/>
  </cols>
  <sheetData>
    <row r="1" spans="1:47" x14ac:dyDescent="0.25">
      <c r="A1" s="749" t="s">
        <v>162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O1" s="749"/>
      <c r="Q1" s="750" t="s">
        <v>163</v>
      </c>
      <c r="R1" s="750"/>
      <c r="S1" s="750"/>
      <c r="T1" s="750"/>
      <c r="U1" s="750"/>
      <c r="V1" s="750"/>
      <c r="W1" s="750"/>
      <c r="X1" s="750"/>
      <c r="Y1" s="750"/>
      <c r="Z1" s="750"/>
      <c r="AA1" s="750"/>
      <c r="AB1" s="750"/>
      <c r="AC1" s="750"/>
      <c r="AD1" s="750"/>
      <c r="AE1" s="750"/>
      <c r="AG1" s="751" t="s">
        <v>164</v>
      </c>
      <c r="AH1" s="751"/>
      <c r="AI1" s="751"/>
      <c r="AJ1" s="751"/>
      <c r="AK1" s="751"/>
      <c r="AL1" s="751"/>
      <c r="AM1" s="751"/>
      <c r="AN1" s="751"/>
      <c r="AO1" s="751"/>
      <c r="AP1" s="751"/>
      <c r="AQ1" s="751"/>
      <c r="AR1" s="751"/>
      <c r="AS1" s="751"/>
      <c r="AT1" s="751"/>
      <c r="AU1" s="751"/>
    </row>
    <row r="2" spans="1:47" x14ac:dyDescent="0.25">
      <c r="A2" s="1" t="s">
        <v>9</v>
      </c>
      <c r="B2" s="2"/>
      <c r="C2" s="2"/>
      <c r="D2" s="2"/>
      <c r="E2" s="1" t="s">
        <v>11</v>
      </c>
      <c r="F2" s="2"/>
      <c r="G2" s="2"/>
      <c r="H2" s="2"/>
      <c r="I2" s="1" t="s">
        <v>23</v>
      </c>
      <c r="J2" s="2"/>
      <c r="K2" s="2"/>
      <c r="L2" s="2"/>
      <c r="M2" s="1" t="s">
        <v>12</v>
      </c>
      <c r="N2" s="2"/>
      <c r="O2" s="2"/>
      <c r="Q2" s="4" t="s">
        <v>9</v>
      </c>
      <c r="R2" s="47"/>
      <c r="S2" s="47"/>
      <c r="T2" s="47"/>
      <c r="U2" s="4" t="s">
        <v>11</v>
      </c>
      <c r="V2" s="47"/>
      <c r="W2" s="47"/>
      <c r="X2" s="47"/>
      <c r="Y2" s="4" t="s">
        <v>23</v>
      </c>
      <c r="Z2" s="47"/>
      <c r="AA2" s="47"/>
      <c r="AB2" s="47"/>
      <c r="AC2" s="4" t="s">
        <v>12</v>
      </c>
      <c r="AD2" s="47"/>
      <c r="AE2" s="47"/>
      <c r="AG2" s="5" t="s">
        <v>9</v>
      </c>
      <c r="AH2" s="48"/>
      <c r="AI2" s="48"/>
      <c r="AJ2" s="48"/>
      <c r="AK2" s="5" t="s">
        <v>11</v>
      </c>
      <c r="AL2" s="48"/>
      <c r="AM2" s="48"/>
      <c r="AN2" s="48"/>
      <c r="AO2" s="5" t="s">
        <v>23</v>
      </c>
      <c r="AP2" s="48"/>
      <c r="AQ2" s="48"/>
      <c r="AR2" s="48"/>
      <c r="AS2" s="5" t="s">
        <v>12</v>
      </c>
      <c r="AT2" s="48"/>
      <c r="AU2" s="48"/>
    </row>
    <row r="4" spans="1:47" x14ac:dyDescent="0.25">
      <c r="B4" s="8">
        <f>SUM(B7:B100)</f>
        <v>70</v>
      </c>
      <c r="C4" s="55">
        <f>SUM(C7:C100)</f>
        <v>1</v>
      </c>
      <c r="F4" s="8">
        <f>SUM(F7:F100)</f>
        <v>70</v>
      </c>
      <c r="G4" s="55">
        <f>SUM(G7:G100)</f>
        <v>0.99999999999999978</v>
      </c>
      <c r="J4" s="8">
        <f>SUM(J7:J8)</f>
        <v>70</v>
      </c>
      <c r="K4" s="55">
        <f>SUM(K7:K8)</f>
        <v>1</v>
      </c>
      <c r="N4" s="8">
        <f>SUM(N7:N8)</f>
        <v>70</v>
      </c>
      <c r="O4" s="55">
        <f>SUM(O7:O8)</f>
        <v>1</v>
      </c>
      <c r="R4" s="8">
        <f>SUM(R7:R100)</f>
        <v>41</v>
      </c>
      <c r="S4" s="55">
        <f>SUM(S7:S100)</f>
        <v>1</v>
      </c>
      <c r="V4" s="8">
        <f>SUM(V7:V100)</f>
        <v>41</v>
      </c>
      <c r="W4" s="55">
        <f>SUM(W7:W100)</f>
        <v>1</v>
      </c>
      <c r="Z4" s="8">
        <f>SUM(Z7:Z8)</f>
        <v>41</v>
      </c>
      <c r="AA4" s="55">
        <f>SUM(AA7:AA8)</f>
        <v>1</v>
      </c>
      <c r="AD4" s="8">
        <f>SUM(AD7:AD8)</f>
        <v>41</v>
      </c>
      <c r="AE4" s="55">
        <f>SUM(AE7:AE8)</f>
        <v>1</v>
      </c>
      <c r="AH4" s="8">
        <f>SUM(AH7:AH100)</f>
        <v>29</v>
      </c>
      <c r="AI4" s="55">
        <f>SUM(AI7:AI100)</f>
        <v>1</v>
      </c>
      <c r="AL4" s="8">
        <f>SUM(AL7:AL100)</f>
        <v>29</v>
      </c>
      <c r="AM4" s="55">
        <f>SUM(AM7:AM100)</f>
        <v>1</v>
      </c>
      <c r="AP4" s="8">
        <f>SUM(AP7:AP8)</f>
        <v>29</v>
      </c>
      <c r="AQ4" s="55">
        <f>SUM(AQ7:AQ8)</f>
        <v>1</v>
      </c>
      <c r="AR4" s="55"/>
      <c r="AT4" s="8">
        <f>SUM(AT7:AT8)</f>
        <v>29</v>
      </c>
      <c r="AU4" s="55">
        <f>SUM(AU7:AU8)</f>
        <v>1</v>
      </c>
    </row>
    <row r="6" spans="1:47" ht="18" x14ac:dyDescent="0.35">
      <c r="A6" s="35" t="s">
        <v>2</v>
      </c>
      <c r="B6" s="36" t="s">
        <v>3</v>
      </c>
      <c r="C6" s="37" t="s">
        <v>4</v>
      </c>
      <c r="E6" s="35" t="s">
        <v>13</v>
      </c>
      <c r="F6" s="36" t="s">
        <v>3</v>
      </c>
      <c r="G6" s="37" t="s">
        <v>4</v>
      </c>
      <c r="I6" s="35" t="s">
        <v>14</v>
      </c>
      <c r="J6" s="36" t="s">
        <v>3</v>
      </c>
      <c r="K6" s="37" t="s">
        <v>4</v>
      </c>
      <c r="M6" s="35" t="s">
        <v>15</v>
      </c>
      <c r="N6" s="36" t="s">
        <v>3</v>
      </c>
      <c r="O6" s="37" t="s">
        <v>4</v>
      </c>
      <c r="Q6" s="35" t="s">
        <v>2</v>
      </c>
      <c r="R6" s="36" t="s">
        <v>3</v>
      </c>
      <c r="S6" s="37" t="s">
        <v>4</v>
      </c>
      <c r="U6" s="35" t="s">
        <v>13</v>
      </c>
      <c r="V6" s="36" t="s">
        <v>3</v>
      </c>
      <c r="W6" s="37" t="s">
        <v>4</v>
      </c>
      <c r="Y6" s="35" t="s">
        <v>14</v>
      </c>
      <c r="Z6" s="36" t="s">
        <v>3</v>
      </c>
      <c r="AA6" s="37" t="s">
        <v>4</v>
      </c>
      <c r="AC6" s="35" t="s">
        <v>15</v>
      </c>
      <c r="AD6" s="36" t="s">
        <v>3</v>
      </c>
      <c r="AE6" s="37" t="s">
        <v>4</v>
      </c>
      <c r="AG6" s="35" t="s">
        <v>2</v>
      </c>
      <c r="AH6" s="36" t="s">
        <v>3</v>
      </c>
      <c r="AI6" s="37" t="s">
        <v>4</v>
      </c>
      <c r="AK6" s="35" t="s">
        <v>13</v>
      </c>
      <c r="AL6" s="36" t="s">
        <v>3</v>
      </c>
      <c r="AM6" s="37" t="s">
        <v>4</v>
      </c>
      <c r="AO6" s="35" t="s">
        <v>14</v>
      </c>
      <c r="AP6" s="36" t="s">
        <v>3</v>
      </c>
      <c r="AQ6" s="37" t="s">
        <v>4</v>
      </c>
      <c r="AS6" s="35" t="s">
        <v>15</v>
      </c>
      <c r="AT6" s="36" t="s">
        <v>3</v>
      </c>
      <c r="AU6" s="37" t="s">
        <v>4</v>
      </c>
    </row>
    <row r="7" spans="1:47" x14ac:dyDescent="0.25">
      <c r="A7" s="49">
        <v>18</v>
      </c>
      <c r="B7" s="50">
        <f>COUNTIF(Urlisten!$C$15:$EL$15,A7)</f>
        <v>0</v>
      </c>
      <c r="C7" s="440">
        <f t="shared" ref="C7:C8" si="0">B7/$B$4</f>
        <v>0</v>
      </c>
      <c r="E7" s="49">
        <v>155</v>
      </c>
      <c r="F7" s="50">
        <f>COUNTIF(Urlisten!$C$16:$EL$16,E7)</f>
        <v>1</v>
      </c>
      <c r="G7" s="440">
        <f>F7/$F$4</f>
        <v>1.4285714285714285E-2</v>
      </c>
      <c r="I7" s="39" t="s">
        <v>18</v>
      </c>
      <c r="J7" s="50">
        <f>COUNTIF(Urlisten!$C$17:$EL$17,I7)</f>
        <v>17</v>
      </c>
      <c r="K7" s="51">
        <f>J7/$J$4</f>
        <v>0.24285714285714285</v>
      </c>
      <c r="M7" s="39" t="s">
        <v>17</v>
      </c>
      <c r="N7" s="50">
        <f>COUNTIF(Urlisten!$C$18:$EL$18,M7)</f>
        <v>47</v>
      </c>
      <c r="O7" s="51">
        <f>N7/$N$4</f>
        <v>0.67142857142857137</v>
      </c>
      <c r="Q7" s="49">
        <f>A7</f>
        <v>18</v>
      </c>
      <c r="R7" s="50">
        <f>COUNTIF(Urlisten!$C$25:$BT$25,Q7)</f>
        <v>0</v>
      </c>
      <c r="S7" s="442">
        <f t="shared" ref="S7:S8" si="1">R7/R$4</f>
        <v>0</v>
      </c>
      <c r="U7" s="49">
        <f>E7</f>
        <v>155</v>
      </c>
      <c r="V7" s="50">
        <f>COUNTIF(Urlisten!$C$26:$BT$26,U7)</f>
        <v>0</v>
      </c>
      <c r="W7" s="442">
        <f>V7/V$4</f>
        <v>0</v>
      </c>
      <c r="Y7" s="39" t="s">
        <v>18</v>
      </c>
      <c r="Z7" s="50">
        <f>COUNTIF(Urlisten!$C$27:$BT$27,Y7)</f>
        <v>9</v>
      </c>
      <c r="AA7" s="51">
        <f>Z7/Z$4</f>
        <v>0.21951219512195122</v>
      </c>
      <c r="AC7" s="39" t="s">
        <v>17</v>
      </c>
      <c r="AD7" s="50">
        <f>COUNTIF(Urlisten!$C$28:$BT$28,AC7)</f>
        <v>27</v>
      </c>
      <c r="AE7" s="51">
        <f>AD7/AD$4</f>
        <v>0.65853658536585369</v>
      </c>
      <c r="AG7" s="49">
        <f>A7</f>
        <v>18</v>
      </c>
      <c r="AH7" s="50">
        <f>COUNTIF(Urlisten!$C$33:$BT$33,AG7)</f>
        <v>0</v>
      </c>
      <c r="AI7" s="443">
        <f t="shared" ref="AI7" si="2">AH7/AH$4</f>
        <v>0</v>
      </c>
      <c r="AK7" s="49">
        <f>E7</f>
        <v>155</v>
      </c>
      <c r="AL7" s="50">
        <f>COUNTIF(Urlisten!$C$34:$BT$34,AK7)</f>
        <v>1</v>
      </c>
      <c r="AM7" s="443">
        <f>AL7/AL$4</f>
        <v>3.4482758620689655E-2</v>
      </c>
      <c r="AO7" s="39" t="s">
        <v>18</v>
      </c>
      <c r="AP7" s="50">
        <f>COUNTIF(Urlisten!$C$35:$BT$35,AO7)</f>
        <v>8</v>
      </c>
      <c r="AQ7" s="51">
        <f>AP7/AP$4</f>
        <v>0.27586206896551724</v>
      </c>
      <c r="AS7" s="39" t="s">
        <v>17</v>
      </c>
      <c r="AT7" s="50">
        <f>COUNTIF(Urlisten!$C$36:$BT$36,AS7)</f>
        <v>20</v>
      </c>
      <c r="AU7" s="51">
        <f>AT7/AT$4</f>
        <v>0.68965517241379315</v>
      </c>
    </row>
    <row r="8" spans="1:47" x14ac:dyDescent="0.25">
      <c r="A8" s="49">
        <f>A7+1</f>
        <v>19</v>
      </c>
      <c r="B8" s="50">
        <f>COUNTIF(Urlisten!$C$15:$EL$15,A8)</f>
        <v>3</v>
      </c>
      <c r="C8" s="440">
        <f t="shared" si="0"/>
        <v>4.2857142857142858E-2</v>
      </c>
      <c r="E8" s="49">
        <f>E7+1</f>
        <v>156</v>
      </c>
      <c r="F8" s="50">
        <f>COUNTIF(Urlisten!$C$16:$EL$16,E8)</f>
        <v>0</v>
      </c>
      <c r="G8" s="440">
        <f t="shared" ref="G8:G35" si="3">F8/$F$4</f>
        <v>0</v>
      </c>
      <c r="I8" s="43" t="s">
        <v>16</v>
      </c>
      <c r="J8" s="52">
        <f>COUNTIF(Urlisten!$C$17:$EL$17,I8)</f>
        <v>53</v>
      </c>
      <c r="K8" s="53">
        <f>J8/$J$4</f>
        <v>0.75714285714285712</v>
      </c>
      <c r="M8" s="43" t="s">
        <v>19</v>
      </c>
      <c r="N8" s="52">
        <f>COUNTIF(Urlisten!$C$18:$EL$18,M8)</f>
        <v>23</v>
      </c>
      <c r="O8" s="53">
        <f>N8/$N$4</f>
        <v>0.32857142857142857</v>
      </c>
      <c r="Q8" s="49">
        <f>Q7+1</f>
        <v>19</v>
      </c>
      <c r="R8" s="50">
        <f>COUNTIF(Urlisten!$C$25:$BT$25,Q8)</f>
        <v>2</v>
      </c>
      <c r="S8" s="442">
        <f t="shared" si="1"/>
        <v>4.878048780487805E-2</v>
      </c>
      <c r="U8" s="49">
        <f>U7+1</f>
        <v>156</v>
      </c>
      <c r="V8" s="50">
        <f>COUNTIF(Urlisten!$C$26:$BT$26,U8)</f>
        <v>0</v>
      </c>
      <c r="W8" s="442">
        <f t="shared" ref="W8" si="4">V8/V$4</f>
        <v>0</v>
      </c>
      <c r="Y8" s="43" t="s">
        <v>16</v>
      </c>
      <c r="Z8" s="52">
        <f>COUNTIF(Urlisten!$C$27:$BT$27,Y8)</f>
        <v>32</v>
      </c>
      <c r="AA8" s="53">
        <f>Z8/Z$4</f>
        <v>0.78048780487804881</v>
      </c>
      <c r="AC8" s="43" t="s">
        <v>19</v>
      </c>
      <c r="AD8" s="52">
        <f>COUNTIF(Urlisten!$C$28:$BT$28,AC8)</f>
        <v>14</v>
      </c>
      <c r="AE8" s="53">
        <f>AD8/AD$4</f>
        <v>0.34146341463414637</v>
      </c>
      <c r="AG8" s="49">
        <f>AG7+1</f>
        <v>19</v>
      </c>
      <c r="AH8" s="50">
        <f>COUNTIF(Urlisten!$C$33:$BT$33,AG8)</f>
        <v>1</v>
      </c>
      <c r="AI8" s="443">
        <f t="shared" ref="AI8" si="5">AH8/AH$4</f>
        <v>3.4482758620689655E-2</v>
      </c>
      <c r="AK8" s="49">
        <f>AK7+1</f>
        <v>156</v>
      </c>
      <c r="AL8" s="50">
        <f>COUNTIF(Urlisten!$C$34:$BT$34,AK8)</f>
        <v>0</v>
      </c>
      <c r="AM8" s="443">
        <f t="shared" ref="AM8" si="6">AL8/AL$4</f>
        <v>0</v>
      </c>
      <c r="AO8" s="43" t="s">
        <v>16</v>
      </c>
      <c r="AP8" s="52">
        <f>COUNTIF(Urlisten!$C$35:$BT$35,AO8)</f>
        <v>21</v>
      </c>
      <c r="AQ8" s="53">
        <f>AP8/AP$4</f>
        <v>0.72413793103448276</v>
      </c>
      <c r="AS8" s="43" t="s">
        <v>19</v>
      </c>
      <c r="AT8" s="52">
        <f>COUNTIF(Urlisten!$C$36:$BT$36,AS8)</f>
        <v>9</v>
      </c>
      <c r="AU8" s="53">
        <f>AT8/AT$4</f>
        <v>0.31034482758620691</v>
      </c>
    </row>
    <row r="9" spans="1:47" x14ac:dyDescent="0.25">
      <c r="A9" s="49">
        <f t="shared" ref="A9:A23" si="7">A8+1</f>
        <v>20</v>
      </c>
      <c r="B9" s="50">
        <f>COUNTIF(Urlisten!$C$15:$EL$15,A9)</f>
        <v>10</v>
      </c>
      <c r="C9" s="440">
        <f t="shared" ref="C9:C24" si="8">B9/$B$4</f>
        <v>0.14285714285714285</v>
      </c>
      <c r="E9" s="49">
        <f t="shared" ref="E9:E35" si="9">E8+1</f>
        <v>157</v>
      </c>
      <c r="F9" s="50">
        <f>COUNTIF(Urlisten!$C$16:$EL$16,E9)</f>
        <v>0</v>
      </c>
      <c r="G9" s="440">
        <f t="shared" si="3"/>
        <v>0</v>
      </c>
      <c r="Q9" s="49">
        <f t="shared" ref="Q9:Q30" si="10">Q8+1</f>
        <v>20</v>
      </c>
      <c r="R9" s="50">
        <f>COUNTIF(Urlisten!$C$25:$BT$25,Q9)</f>
        <v>6</v>
      </c>
      <c r="S9" s="442">
        <f t="shared" ref="S9:S31" si="11">R9/R$4</f>
        <v>0.14634146341463414</v>
      </c>
      <c r="U9" s="49">
        <f t="shared" ref="U9:U51" si="12">U8+1</f>
        <v>157</v>
      </c>
      <c r="V9" s="50">
        <f>COUNTIF(Urlisten!$C$26:$BT$26,U9)</f>
        <v>0</v>
      </c>
      <c r="W9" s="442">
        <f t="shared" ref="W9:W51" si="13">V9/V$4</f>
        <v>0</v>
      </c>
      <c r="AG9" s="49">
        <f t="shared" ref="AG9:AG31" si="14">AG8+1</f>
        <v>20</v>
      </c>
      <c r="AH9" s="50">
        <f>COUNTIF(Urlisten!$C$33:$BT$33,AG9)</f>
        <v>4</v>
      </c>
      <c r="AI9" s="443">
        <f t="shared" ref="AI9:AI31" si="15">AH9/AH$4</f>
        <v>0.13793103448275862</v>
      </c>
      <c r="AK9" s="49">
        <f t="shared" ref="AK9:AK51" si="16">AK8+1</f>
        <v>157</v>
      </c>
      <c r="AL9" s="50">
        <f>COUNTIF(Urlisten!$C$34:$BT$34,AK9)</f>
        <v>0</v>
      </c>
      <c r="AM9" s="443">
        <f t="shared" ref="AM9:AM51" si="17">AL9/AL$4</f>
        <v>0</v>
      </c>
    </row>
    <row r="10" spans="1:47" x14ac:dyDescent="0.25">
      <c r="A10" s="49">
        <f t="shared" si="7"/>
        <v>21</v>
      </c>
      <c r="B10" s="50">
        <f>COUNTIF(Urlisten!$C$15:$EL$15,A10)</f>
        <v>11</v>
      </c>
      <c r="C10" s="440">
        <f t="shared" si="8"/>
        <v>0.15714285714285714</v>
      </c>
      <c r="E10" s="49">
        <f t="shared" si="9"/>
        <v>158</v>
      </c>
      <c r="F10" s="50">
        <f>COUNTIF(Urlisten!$C$16:$EL$16,E10)</f>
        <v>0</v>
      </c>
      <c r="G10" s="440">
        <f t="shared" si="3"/>
        <v>0</v>
      </c>
      <c r="Q10" s="49">
        <f t="shared" si="10"/>
        <v>21</v>
      </c>
      <c r="R10" s="50">
        <f>COUNTIF(Urlisten!$C$25:$BT$25,Q10)</f>
        <v>9</v>
      </c>
      <c r="S10" s="442">
        <f t="shared" si="11"/>
        <v>0.21951219512195122</v>
      </c>
      <c r="U10" s="49">
        <f t="shared" si="12"/>
        <v>158</v>
      </c>
      <c r="V10" s="50">
        <f>COUNTIF(Urlisten!$C$26:$BT$26,U10)</f>
        <v>0</v>
      </c>
      <c r="W10" s="442">
        <f t="shared" si="13"/>
        <v>0</v>
      </c>
      <c r="AG10" s="49">
        <f t="shared" si="14"/>
        <v>21</v>
      </c>
      <c r="AH10" s="50">
        <f>COUNTIF(Urlisten!$C$33:$BT$33,AG10)</f>
        <v>2</v>
      </c>
      <c r="AI10" s="443">
        <f t="shared" si="15"/>
        <v>6.8965517241379309E-2</v>
      </c>
      <c r="AK10" s="49">
        <f t="shared" si="16"/>
        <v>158</v>
      </c>
      <c r="AL10" s="50">
        <f>COUNTIF(Urlisten!$C$34:$BT$34,AK10)</f>
        <v>0</v>
      </c>
      <c r="AM10" s="443">
        <f t="shared" si="17"/>
        <v>0</v>
      </c>
    </row>
    <row r="11" spans="1:47" x14ac:dyDescent="0.25">
      <c r="A11" s="49">
        <f t="shared" si="7"/>
        <v>22</v>
      </c>
      <c r="B11" s="50">
        <f>COUNTIF(Urlisten!$C$15:$EL$15,A11)</f>
        <v>14</v>
      </c>
      <c r="C11" s="440">
        <f t="shared" si="8"/>
        <v>0.2</v>
      </c>
      <c r="E11" s="49">
        <f t="shared" si="9"/>
        <v>159</v>
      </c>
      <c r="F11" s="50">
        <f>COUNTIF(Urlisten!$C$16:$EL$16,E11)</f>
        <v>0</v>
      </c>
      <c r="G11" s="440">
        <f t="shared" si="3"/>
        <v>0</v>
      </c>
      <c r="Q11" s="49">
        <f t="shared" si="10"/>
        <v>22</v>
      </c>
      <c r="R11" s="50">
        <f>COUNTIF(Urlisten!$C$25:$BT$25,Q11)</f>
        <v>8</v>
      </c>
      <c r="S11" s="442">
        <f t="shared" si="11"/>
        <v>0.1951219512195122</v>
      </c>
      <c r="U11" s="49">
        <f t="shared" si="12"/>
        <v>159</v>
      </c>
      <c r="V11" s="50">
        <f>COUNTIF(Urlisten!$C$26:$BT$26,U11)</f>
        <v>0</v>
      </c>
      <c r="W11" s="442">
        <f t="shared" si="13"/>
        <v>0</v>
      </c>
      <c r="AG11" s="49">
        <f t="shared" si="14"/>
        <v>22</v>
      </c>
      <c r="AH11" s="50">
        <f>COUNTIF(Urlisten!$C$33:$BT$33,AG11)</f>
        <v>6</v>
      </c>
      <c r="AI11" s="443">
        <f t="shared" si="15"/>
        <v>0.20689655172413793</v>
      </c>
      <c r="AK11" s="49">
        <f t="shared" si="16"/>
        <v>159</v>
      </c>
      <c r="AL11" s="50">
        <f>COUNTIF(Urlisten!$C$34:$BT$34,AK11)</f>
        <v>0</v>
      </c>
      <c r="AM11" s="443">
        <f t="shared" si="17"/>
        <v>0</v>
      </c>
    </row>
    <row r="12" spans="1:47" x14ac:dyDescent="0.25">
      <c r="A12" s="49">
        <f t="shared" si="7"/>
        <v>23</v>
      </c>
      <c r="B12" s="50">
        <f>COUNTIF(Urlisten!$C$15:$EL$15,A12)</f>
        <v>9</v>
      </c>
      <c r="C12" s="440">
        <f t="shared" si="8"/>
        <v>0.12857142857142856</v>
      </c>
      <c r="E12" s="49">
        <f t="shared" si="9"/>
        <v>160</v>
      </c>
      <c r="F12" s="50">
        <f>COUNTIF(Urlisten!$C$16:$EL$16,E12)</f>
        <v>5</v>
      </c>
      <c r="G12" s="440">
        <f t="shared" si="3"/>
        <v>7.1428571428571425E-2</v>
      </c>
      <c r="Q12" s="49">
        <f t="shared" si="10"/>
        <v>23</v>
      </c>
      <c r="R12" s="50">
        <f>COUNTIF(Urlisten!$C$25:$BT$25,Q12)</f>
        <v>3</v>
      </c>
      <c r="S12" s="442">
        <f t="shared" si="11"/>
        <v>7.3170731707317069E-2</v>
      </c>
      <c r="U12" s="49">
        <f t="shared" si="12"/>
        <v>160</v>
      </c>
      <c r="V12" s="50">
        <f>COUNTIF(Urlisten!$C$26:$BT$26,U12)</f>
        <v>3</v>
      </c>
      <c r="W12" s="442">
        <f t="shared" si="13"/>
        <v>7.3170731707317069E-2</v>
      </c>
      <c r="AG12" s="49">
        <f t="shared" si="14"/>
        <v>23</v>
      </c>
      <c r="AH12" s="50">
        <f>COUNTIF(Urlisten!$C$33:$BT$33,AG12)</f>
        <v>6</v>
      </c>
      <c r="AI12" s="443">
        <f t="shared" si="15"/>
        <v>0.20689655172413793</v>
      </c>
      <c r="AK12" s="49">
        <f t="shared" si="16"/>
        <v>160</v>
      </c>
      <c r="AL12" s="50">
        <f>COUNTIF(Urlisten!$C$34:$BT$34,AK12)</f>
        <v>2</v>
      </c>
      <c r="AM12" s="443">
        <f t="shared" si="17"/>
        <v>6.8965517241379309E-2</v>
      </c>
    </row>
    <row r="13" spans="1:47" x14ac:dyDescent="0.25">
      <c r="A13" s="49">
        <f t="shared" si="7"/>
        <v>24</v>
      </c>
      <c r="B13" s="50">
        <f>COUNTIF(Urlisten!$C$15:$EL$15,A13)</f>
        <v>6</v>
      </c>
      <c r="C13" s="440">
        <f t="shared" si="8"/>
        <v>8.5714285714285715E-2</v>
      </c>
      <c r="E13" s="49">
        <f t="shared" si="9"/>
        <v>161</v>
      </c>
      <c r="F13" s="50">
        <f>COUNTIF(Urlisten!$C$16:$EL$16,E13)</f>
        <v>1</v>
      </c>
      <c r="G13" s="440">
        <f t="shared" si="3"/>
        <v>1.4285714285714285E-2</v>
      </c>
      <c r="Q13" s="49">
        <f t="shared" si="10"/>
        <v>24</v>
      </c>
      <c r="R13" s="50">
        <f>COUNTIF(Urlisten!$C$25:$BT$25,Q13)</f>
        <v>5</v>
      </c>
      <c r="S13" s="442">
        <f t="shared" si="11"/>
        <v>0.12195121951219512</v>
      </c>
      <c r="U13" s="49">
        <f t="shared" si="12"/>
        <v>161</v>
      </c>
      <c r="V13" s="50">
        <f>COUNTIF(Urlisten!$C$26:$BT$26,U13)</f>
        <v>1</v>
      </c>
      <c r="W13" s="442">
        <f t="shared" si="13"/>
        <v>2.4390243902439025E-2</v>
      </c>
      <c r="AG13" s="49">
        <f t="shared" si="14"/>
        <v>24</v>
      </c>
      <c r="AH13" s="50">
        <f>COUNTIF(Urlisten!$C$33:$BT$33,AG13)</f>
        <v>1</v>
      </c>
      <c r="AI13" s="443">
        <f t="shared" si="15"/>
        <v>3.4482758620689655E-2</v>
      </c>
      <c r="AK13" s="49">
        <f t="shared" si="16"/>
        <v>161</v>
      </c>
      <c r="AL13" s="50">
        <f>COUNTIF(Urlisten!$C$34:$BT$34,AK13)</f>
        <v>0</v>
      </c>
      <c r="AM13" s="443">
        <f t="shared" si="17"/>
        <v>0</v>
      </c>
    </row>
    <row r="14" spans="1:47" x14ac:dyDescent="0.25">
      <c r="A14" s="49">
        <f t="shared" si="7"/>
        <v>25</v>
      </c>
      <c r="B14" s="50">
        <f>COUNTIF(Urlisten!$C$15:$EL$15,A14)</f>
        <v>8</v>
      </c>
      <c r="C14" s="440">
        <f t="shared" si="8"/>
        <v>0.11428571428571428</v>
      </c>
      <c r="E14" s="49">
        <f t="shared" si="9"/>
        <v>162</v>
      </c>
      <c r="F14" s="50">
        <f>COUNTIF(Urlisten!$C$16:$EL$16,E14)</f>
        <v>0</v>
      </c>
      <c r="G14" s="440">
        <f t="shared" si="3"/>
        <v>0</v>
      </c>
      <c r="Q14" s="49">
        <f t="shared" si="10"/>
        <v>25</v>
      </c>
      <c r="R14" s="50">
        <f>COUNTIF(Urlisten!$C$25:$BT$25,Q14)</f>
        <v>3</v>
      </c>
      <c r="S14" s="442">
        <f t="shared" si="11"/>
        <v>7.3170731707317069E-2</v>
      </c>
      <c r="U14" s="49">
        <f t="shared" si="12"/>
        <v>162</v>
      </c>
      <c r="V14" s="50">
        <f>COUNTIF(Urlisten!$C$26:$BT$26,U14)</f>
        <v>0</v>
      </c>
      <c r="W14" s="442">
        <f t="shared" si="13"/>
        <v>0</v>
      </c>
      <c r="AG14" s="49">
        <f t="shared" si="14"/>
        <v>25</v>
      </c>
      <c r="AH14" s="50">
        <f>COUNTIF(Urlisten!$C$33:$BT$33,AG14)</f>
        <v>5</v>
      </c>
      <c r="AI14" s="443">
        <f t="shared" si="15"/>
        <v>0.17241379310344829</v>
      </c>
      <c r="AK14" s="49">
        <f t="shared" si="16"/>
        <v>162</v>
      </c>
      <c r="AL14" s="50">
        <f>COUNTIF(Urlisten!$C$34:$BT$34,AK14)</f>
        <v>0</v>
      </c>
      <c r="AM14" s="443">
        <f t="shared" si="17"/>
        <v>0</v>
      </c>
    </row>
    <row r="15" spans="1:47" x14ac:dyDescent="0.25">
      <c r="A15" s="49">
        <f t="shared" si="7"/>
        <v>26</v>
      </c>
      <c r="B15" s="50">
        <f>COUNTIF(Urlisten!$C$15:$EL$15,A15)</f>
        <v>6</v>
      </c>
      <c r="C15" s="440">
        <f t="shared" si="8"/>
        <v>8.5714285714285715E-2</v>
      </c>
      <c r="E15" s="49">
        <f t="shared" si="9"/>
        <v>163</v>
      </c>
      <c r="F15" s="50">
        <f>COUNTIF(Urlisten!$C$16:$EL$16,E15)</f>
        <v>3</v>
      </c>
      <c r="G15" s="440">
        <f t="shared" si="3"/>
        <v>4.2857142857142858E-2</v>
      </c>
      <c r="Q15" s="49">
        <f t="shared" si="10"/>
        <v>26</v>
      </c>
      <c r="R15" s="50">
        <f>COUNTIF(Urlisten!$C$25:$BT$25,Q15)</f>
        <v>2</v>
      </c>
      <c r="S15" s="442">
        <f t="shared" si="11"/>
        <v>4.878048780487805E-2</v>
      </c>
      <c r="U15" s="49">
        <f t="shared" si="12"/>
        <v>163</v>
      </c>
      <c r="V15" s="50">
        <f>COUNTIF(Urlisten!$C$26:$BT$26,U15)</f>
        <v>3</v>
      </c>
      <c r="W15" s="442">
        <f t="shared" si="13"/>
        <v>7.3170731707317069E-2</v>
      </c>
      <c r="AG15" s="49">
        <f t="shared" si="14"/>
        <v>26</v>
      </c>
      <c r="AH15" s="50">
        <f>COUNTIF(Urlisten!$C$33:$BT$33,AG15)</f>
        <v>4</v>
      </c>
      <c r="AI15" s="443">
        <f t="shared" si="15"/>
        <v>0.13793103448275862</v>
      </c>
      <c r="AK15" s="49">
        <f t="shared" si="16"/>
        <v>163</v>
      </c>
      <c r="AL15" s="50">
        <f>COUNTIF(Urlisten!$C$34:$BT$34,AK15)</f>
        <v>0</v>
      </c>
      <c r="AM15" s="443">
        <f t="shared" si="17"/>
        <v>0</v>
      </c>
    </row>
    <row r="16" spans="1:47" x14ac:dyDescent="0.25">
      <c r="A16" s="49">
        <f t="shared" si="7"/>
        <v>27</v>
      </c>
      <c r="B16" s="50">
        <f>COUNTIF(Urlisten!$C$15:$EL$15,A16)</f>
        <v>1</v>
      </c>
      <c r="C16" s="440">
        <f t="shared" si="8"/>
        <v>1.4285714285714285E-2</v>
      </c>
      <c r="E16" s="49">
        <f t="shared" si="9"/>
        <v>164</v>
      </c>
      <c r="F16" s="50">
        <f>COUNTIF(Urlisten!$C$16:$EL$16,E16)</f>
        <v>1</v>
      </c>
      <c r="G16" s="440">
        <f t="shared" si="3"/>
        <v>1.4285714285714285E-2</v>
      </c>
      <c r="Q16" s="49">
        <f t="shared" si="10"/>
        <v>27</v>
      </c>
      <c r="R16" s="50">
        <f>COUNTIF(Urlisten!$C$25:$BT$25,Q16)</f>
        <v>1</v>
      </c>
      <c r="S16" s="442">
        <f t="shared" si="11"/>
        <v>2.4390243902439025E-2</v>
      </c>
      <c r="U16" s="49">
        <f t="shared" si="12"/>
        <v>164</v>
      </c>
      <c r="V16" s="50">
        <f>COUNTIF(Urlisten!$C$26:$BT$26,U16)</f>
        <v>1</v>
      </c>
      <c r="W16" s="442">
        <f t="shared" si="13"/>
        <v>2.4390243902439025E-2</v>
      </c>
      <c r="AG16" s="49">
        <f t="shared" si="14"/>
        <v>27</v>
      </c>
      <c r="AH16" s="50">
        <f>COUNTIF(Urlisten!$C$33:$BT$33,AG16)</f>
        <v>0</v>
      </c>
      <c r="AI16" s="443">
        <f t="shared" si="15"/>
        <v>0</v>
      </c>
      <c r="AK16" s="49">
        <f t="shared" si="16"/>
        <v>164</v>
      </c>
      <c r="AL16" s="50">
        <f>COUNTIF(Urlisten!$C$34:$BT$34,AK16)</f>
        <v>0</v>
      </c>
      <c r="AM16" s="443">
        <f t="shared" si="17"/>
        <v>0</v>
      </c>
    </row>
    <row r="17" spans="1:39" x14ac:dyDescent="0.25">
      <c r="A17" s="49">
        <f t="shared" si="7"/>
        <v>28</v>
      </c>
      <c r="B17" s="50">
        <f>COUNTIF(Urlisten!$C$15:$EL$15,A17)</f>
        <v>2</v>
      </c>
      <c r="C17" s="440">
        <f t="shared" si="8"/>
        <v>2.8571428571428571E-2</v>
      </c>
      <c r="E17" s="49">
        <f t="shared" si="9"/>
        <v>165</v>
      </c>
      <c r="F17" s="50">
        <f>COUNTIF(Urlisten!$C$16:$EL$16,E17)</f>
        <v>3</v>
      </c>
      <c r="G17" s="440">
        <f t="shared" si="3"/>
        <v>4.2857142857142858E-2</v>
      </c>
      <c r="Q17" s="49">
        <f t="shared" si="10"/>
        <v>28</v>
      </c>
      <c r="R17" s="50">
        <f>COUNTIF(Urlisten!$C$25:$BT$25,Q17)</f>
        <v>2</v>
      </c>
      <c r="S17" s="442">
        <f t="shared" si="11"/>
        <v>4.878048780487805E-2</v>
      </c>
      <c r="U17" s="49">
        <f t="shared" si="12"/>
        <v>165</v>
      </c>
      <c r="V17" s="50">
        <f>COUNTIF(Urlisten!$C$26:$BT$26,U17)</f>
        <v>1</v>
      </c>
      <c r="W17" s="442">
        <f t="shared" si="13"/>
        <v>2.4390243902439025E-2</v>
      </c>
      <c r="AG17" s="49">
        <f t="shared" si="14"/>
        <v>28</v>
      </c>
      <c r="AH17" s="50">
        <f>COUNTIF(Urlisten!$C$33:$BT$33,AG17)</f>
        <v>0</v>
      </c>
      <c r="AI17" s="443">
        <f t="shared" si="15"/>
        <v>0</v>
      </c>
      <c r="AK17" s="49">
        <f t="shared" si="16"/>
        <v>165</v>
      </c>
      <c r="AL17" s="50">
        <f>COUNTIF(Urlisten!$C$34:$BT$34,AK17)</f>
        <v>2</v>
      </c>
      <c r="AM17" s="443">
        <f t="shared" si="17"/>
        <v>6.8965517241379309E-2</v>
      </c>
    </row>
    <row r="18" spans="1:39" x14ac:dyDescent="0.25">
      <c r="A18" s="49">
        <f t="shared" si="7"/>
        <v>29</v>
      </c>
      <c r="B18" s="50">
        <f>COUNTIF(Urlisten!$C$15:$EL$15,A18)</f>
        <v>0</v>
      </c>
      <c r="C18" s="440">
        <f t="shared" si="8"/>
        <v>0</v>
      </c>
      <c r="E18" s="49">
        <f t="shared" si="9"/>
        <v>166</v>
      </c>
      <c r="F18" s="50">
        <f>COUNTIF(Urlisten!$C$16:$EL$16,E18)</f>
        <v>0</v>
      </c>
      <c r="G18" s="440">
        <f t="shared" si="3"/>
        <v>0</v>
      </c>
      <c r="Q18" s="49">
        <f t="shared" si="10"/>
        <v>29</v>
      </c>
      <c r="R18" s="50">
        <f>COUNTIF(Urlisten!$C$25:$BT$25,Q18)</f>
        <v>0</v>
      </c>
      <c r="S18" s="442">
        <f t="shared" si="11"/>
        <v>0</v>
      </c>
      <c r="U18" s="49">
        <f t="shared" si="12"/>
        <v>166</v>
      </c>
      <c r="V18" s="50">
        <f>COUNTIF(Urlisten!$C$26:$BT$26,U18)</f>
        <v>0</v>
      </c>
      <c r="W18" s="442">
        <f t="shared" si="13"/>
        <v>0</v>
      </c>
      <c r="AG18" s="49">
        <f t="shared" si="14"/>
        <v>29</v>
      </c>
      <c r="AH18" s="50">
        <f>COUNTIF(Urlisten!$C$33:$BT$33,AG18)</f>
        <v>0</v>
      </c>
      <c r="AI18" s="443">
        <f t="shared" si="15"/>
        <v>0</v>
      </c>
      <c r="AK18" s="49">
        <f t="shared" si="16"/>
        <v>166</v>
      </c>
      <c r="AL18" s="50">
        <f>COUNTIF(Urlisten!$C$34:$BT$34,AK18)</f>
        <v>0</v>
      </c>
      <c r="AM18" s="443">
        <f t="shared" si="17"/>
        <v>0</v>
      </c>
    </row>
    <row r="19" spans="1:39" x14ac:dyDescent="0.25">
      <c r="A19" s="49">
        <f t="shared" si="7"/>
        <v>30</v>
      </c>
      <c r="B19" s="50">
        <f>COUNTIF(Urlisten!$C$15:$EL$15,A19)</f>
        <v>0</v>
      </c>
      <c r="C19" s="440">
        <f t="shared" si="8"/>
        <v>0</v>
      </c>
      <c r="E19" s="49">
        <f t="shared" si="9"/>
        <v>167</v>
      </c>
      <c r="F19" s="50">
        <f>COUNTIF(Urlisten!$C$16:$EL$16,E19)</f>
        <v>0</v>
      </c>
      <c r="G19" s="440">
        <f t="shared" si="3"/>
        <v>0</v>
      </c>
      <c r="Q19" s="49">
        <f t="shared" si="10"/>
        <v>30</v>
      </c>
      <c r="R19" s="50">
        <f>COUNTIF(Urlisten!$C$25:$BT$25,Q19)</f>
        <v>0</v>
      </c>
      <c r="S19" s="442">
        <f t="shared" si="11"/>
        <v>0</v>
      </c>
      <c r="U19" s="49">
        <f t="shared" si="12"/>
        <v>167</v>
      </c>
      <c r="V19" s="50">
        <f>COUNTIF(Urlisten!$C$26:$BT$26,U19)</f>
        <v>0</v>
      </c>
      <c r="W19" s="442">
        <f t="shared" si="13"/>
        <v>0</v>
      </c>
      <c r="AG19" s="49">
        <f t="shared" si="14"/>
        <v>30</v>
      </c>
      <c r="AH19" s="50">
        <f>COUNTIF(Urlisten!$C$33:$BT$33,AG19)</f>
        <v>0</v>
      </c>
      <c r="AI19" s="443">
        <f t="shared" si="15"/>
        <v>0</v>
      </c>
      <c r="AK19" s="49">
        <f t="shared" si="16"/>
        <v>167</v>
      </c>
      <c r="AL19" s="50">
        <f>COUNTIF(Urlisten!$C$34:$BT$34,AK19)</f>
        <v>0</v>
      </c>
      <c r="AM19" s="443">
        <f t="shared" si="17"/>
        <v>0</v>
      </c>
    </row>
    <row r="20" spans="1:39" x14ac:dyDescent="0.25">
      <c r="A20" s="49">
        <f t="shared" si="7"/>
        <v>31</v>
      </c>
      <c r="B20" s="50">
        <f>COUNTIF(Urlisten!$C$15:$EL$15,A20)</f>
        <v>0</v>
      </c>
      <c r="C20" s="440">
        <f t="shared" si="8"/>
        <v>0</v>
      </c>
      <c r="E20" s="49">
        <f t="shared" si="9"/>
        <v>168</v>
      </c>
      <c r="F20" s="50">
        <f>COUNTIF(Urlisten!$C$16:$EL$16,E20)</f>
        <v>1</v>
      </c>
      <c r="G20" s="440">
        <f t="shared" si="3"/>
        <v>1.4285714285714285E-2</v>
      </c>
      <c r="Q20" s="49">
        <f t="shared" si="10"/>
        <v>31</v>
      </c>
      <c r="R20" s="50">
        <f>COUNTIF(Urlisten!$C$25:$BT$25,Q20)</f>
        <v>0</v>
      </c>
      <c r="S20" s="442">
        <f t="shared" si="11"/>
        <v>0</v>
      </c>
      <c r="U20" s="49">
        <f t="shared" si="12"/>
        <v>168</v>
      </c>
      <c r="V20" s="50">
        <f>COUNTIF(Urlisten!$C$26:$BT$26,U20)</f>
        <v>1</v>
      </c>
      <c r="W20" s="442">
        <f t="shared" si="13"/>
        <v>2.4390243902439025E-2</v>
      </c>
      <c r="AG20" s="49">
        <f t="shared" si="14"/>
        <v>31</v>
      </c>
      <c r="AH20" s="50">
        <f>COUNTIF(Urlisten!$C$33:$BT$33,AG20)</f>
        <v>0</v>
      </c>
      <c r="AI20" s="443">
        <f t="shared" si="15"/>
        <v>0</v>
      </c>
      <c r="AK20" s="49">
        <f t="shared" si="16"/>
        <v>168</v>
      </c>
      <c r="AL20" s="50">
        <f>COUNTIF(Urlisten!$C$34:$BT$34,AK20)</f>
        <v>0</v>
      </c>
      <c r="AM20" s="443">
        <f t="shared" si="17"/>
        <v>0</v>
      </c>
    </row>
    <row r="21" spans="1:39" x14ac:dyDescent="0.25">
      <c r="A21" s="49">
        <f t="shared" si="7"/>
        <v>32</v>
      </c>
      <c r="B21" s="50">
        <f>COUNTIF(Urlisten!$C$15:$EL$15,A21)</f>
        <v>0</v>
      </c>
      <c r="C21" s="440">
        <f t="shared" si="8"/>
        <v>0</v>
      </c>
      <c r="E21" s="49">
        <f t="shared" si="9"/>
        <v>169</v>
      </c>
      <c r="F21" s="50">
        <f>COUNTIF(Urlisten!$C$16:$EL$16,E21)</f>
        <v>1</v>
      </c>
      <c r="G21" s="440">
        <f t="shared" si="3"/>
        <v>1.4285714285714285E-2</v>
      </c>
      <c r="Q21" s="49">
        <f t="shared" si="10"/>
        <v>32</v>
      </c>
      <c r="R21" s="50">
        <f>COUNTIF(Urlisten!$C$25:$BT$25,Q21)</f>
        <v>0</v>
      </c>
      <c r="S21" s="442">
        <f t="shared" si="11"/>
        <v>0</v>
      </c>
      <c r="U21" s="49">
        <f t="shared" si="12"/>
        <v>169</v>
      </c>
      <c r="V21" s="50">
        <f>COUNTIF(Urlisten!$C$26:$BT$26,U21)</f>
        <v>1</v>
      </c>
      <c r="W21" s="442">
        <f t="shared" si="13"/>
        <v>2.4390243902439025E-2</v>
      </c>
      <c r="AG21" s="49">
        <f t="shared" si="14"/>
        <v>32</v>
      </c>
      <c r="AH21" s="50">
        <f>COUNTIF(Urlisten!$C$33:$BT$33,AG21)</f>
        <v>0</v>
      </c>
      <c r="AI21" s="443">
        <f t="shared" si="15"/>
        <v>0</v>
      </c>
      <c r="AK21" s="49">
        <f t="shared" si="16"/>
        <v>169</v>
      </c>
      <c r="AL21" s="50">
        <f>COUNTIF(Urlisten!$C$34:$BT$34,AK21)</f>
        <v>0</v>
      </c>
      <c r="AM21" s="443">
        <f t="shared" si="17"/>
        <v>0</v>
      </c>
    </row>
    <row r="22" spans="1:39" x14ac:dyDescent="0.25">
      <c r="A22" s="49">
        <f t="shared" si="7"/>
        <v>33</v>
      </c>
      <c r="B22" s="50">
        <f>COUNTIF(Urlisten!$C$15:$EL$15,A22)</f>
        <v>0</v>
      </c>
      <c r="C22" s="440">
        <f t="shared" si="8"/>
        <v>0</v>
      </c>
      <c r="E22" s="49">
        <f t="shared" si="9"/>
        <v>170</v>
      </c>
      <c r="F22" s="50">
        <f>COUNTIF(Urlisten!$C$16:$EL$16,E22)</f>
        <v>7</v>
      </c>
      <c r="G22" s="440">
        <f t="shared" si="3"/>
        <v>0.1</v>
      </c>
      <c r="Q22" s="49">
        <f t="shared" si="10"/>
        <v>33</v>
      </c>
      <c r="R22" s="50">
        <f>COUNTIF(Urlisten!$C$25:$BT$25,Q22)</f>
        <v>0</v>
      </c>
      <c r="S22" s="442">
        <f t="shared" si="11"/>
        <v>0</v>
      </c>
      <c r="U22" s="49">
        <f t="shared" si="12"/>
        <v>170</v>
      </c>
      <c r="V22" s="50">
        <f>COUNTIF(Urlisten!$C$26:$BT$26,U22)</f>
        <v>5</v>
      </c>
      <c r="W22" s="442">
        <f t="shared" si="13"/>
        <v>0.12195121951219512</v>
      </c>
      <c r="AG22" s="49">
        <f t="shared" si="14"/>
        <v>33</v>
      </c>
      <c r="AH22" s="50">
        <f>COUNTIF(Urlisten!$C$33:$BT$33,AG22)</f>
        <v>0</v>
      </c>
      <c r="AI22" s="443">
        <f t="shared" si="15"/>
        <v>0</v>
      </c>
      <c r="AK22" s="49">
        <f t="shared" si="16"/>
        <v>170</v>
      </c>
      <c r="AL22" s="50">
        <f>COUNTIF(Urlisten!$C$34:$BT$34,AK22)</f>
        <v>2</v>
      </c>
      <c r="AM22" s="443">
        <f t="shared" si="17"/>
        <v>6.8965517241379309E-2</v>
      </c>
    </row>
    <row r="23" spans="1:39" x14ac:dyDescent="0.25">
      <c r="A23" s="49">
        <f t="shared" si="7"/>
        <v>34</v>
      </c>
      <c r="B23" s="50">
        <f>COUNTIF(Urlisten!$C$15:$EL$15,A23)</f>
        <v>0</v>
      </c>
      <c r="C23" s="440">
        <f t="shared" si="8"/>
        <v>0</v>
      </c>
      <c r="E23" s="49">
        <f t="shared" si="9"/>
        <v>171</v>
      </c>
      <c r="F23" s="50">
        <f>COUNTIF(Urlisten!$C$16:$EL$16,E23)</f>
        <v>1</v>
      </c>
      <c r="G23" s="440">
        <f t="shared" si="3"/>
        <v>1.4285714285714285E-2</v>
      </c>
      <c r="Q23" s="49">
        <f t="shared" si="10"/>
        <v>34</v>
      </c>
      <c r="R23" s="50">
        <f>COUNTIF(Urlisten!$C$25:$BT$25,Q23)</f>
        <v>0</v>
      </c>
      <c r="S23" s="442">
        <f t="shared" si="11"/>
        <v>0</v>
      </c>
      <c r="U23" s="49">
        <f t="shared" si="12"/>
        <v>171</v>
      </c>
      <c r="V23" s="50">
        <f>COUNTIF(Urlisten!$C$26:$BT$26,U23)</f>
        <v>1</v>
      </c>
      <c r="W23" s="442">
        <f t="shared" si="13"/>
        <v>2.4390243902439025E-2</v>
      </c>
      <c r="AG23" s="49">
        <f t="shared" si="14"/>
        <v>34</v>
      </c>
      <c r="AH23" s="50">
        <f>COUNTIF(Urlisten!$C$33:$BT$33,AG23)</f>
        <v>0</v>
      </c>
      <c r="AI23" s="443">
        <f t="shared" si="15"/>
        <v>0</v>
      </c>
      <c r="AK23" s="49">
        <f t="shared" si="16"/>
        <v>171</v>
      </c>
      <c r="AL23" s="50">
        <f>COUNTIF(Urlisten!$C$34:$BT$34,AK23)</f>
        <v>0</v>
      </c>
      <c r="AM23" s="443">
        <f t="shared" si="17"/>
        <v>0</v>
      </c>
    </row>
    <row r="24" spans="1:39" x14ac:dyDescent="0.25">
      <c r="A24" s="49">
        <f>A23+1</f>
        <v>35</v>
      </c>
      <c r="B24" s="50">
        <f>COUNTIF(Urlisten!$C$15:$EL$15,A24)</f>
        <v>0</v>
      </c>
      <c r="C24" s="440">
        <f t="shared" si="8"/>
        <v>0</v>
      </c>
      <c r="E24" s="49">
        <f t="shared" si="9"/>
        <v>172</v>
      </c>
      <c r="F24" s="50">
        <f>COUNTIF(Urlisten!$C$16:$EL$16,E24)</f>
        <v>1</v>
      </c>
      <c r="G24" s="440">
        <f t="shared" si="3"/>
        <v>1.4285714285714285E-2</v>
      </c>
      <c r="Q24" s="49">
        <f t="shared" si="10"/>
        <v>35</v>
      </c>
      <c r="R24" s="50">
        <f>COUNTIF(Urlisten!$C$25:$BT$25,Q24)</f>
        <v>0</v>
      </c>
      <c r="S24" s="442">
        <f t="shared" si="11"/>
        <v>0</v>
      </c>
      <c r="U24" s="49">
        <f t="shared" si="12"/>
        <v>172</v>
      </c>
      <c r="V24" s="50">
        <f>COUNTIF(Urlisten!$C$26:$BT$26,U24)</f>
        <v>1</v>
      </c>
      <c r="W24" s="442">
        <f t="shared" si="13"/>
        <v>2.4390243902439025E-2</v>
      </c>
      <c r="AG24" s="49">
        <f t="shared" si="14"/>
        <v>35</v>
      </c>
      <c r="AH24" s="50">
        <f>COUNTIF(Urlisten!$C$33:$BT$33,AG24)</f>
        <v>0</v>
      </c>
      <c r="AI24" s="443">
        <f t="shared" si="15"/>
        <v>0</v>
      </c>
      <c r="AK24" s="49">
        <f t="shared" si="16"/>
        <v>172</v>
      </c>
      <c r="AL24" s="50">
        <f>COUNTIF(Urlisten!$C$34:$BT$34,AK24)</f>
        <v>0</v>
      </c>
      <c r="AM24" s="443">
        <f t="shared" si="17"/>
        <v>0</v>
      </c>
    </row>
    <row r="25" spans="1:39" x14ac:dyDescent="0.25">
      <c r="A25" s="49">
        <f t="shared" ref="A25:A30" si="18">A24+1</f>
        <v>36</v>
      </c>
      <c r="B25" s="50">
        <f>COUNTIF(Urlisten!$C$15:$EL$15,A25)</f>
        <v>0</v>
      </c>
      <c r="C25" s="440">
        <f t="shared" ref="C25:C30" si="19">B25/$B$4</f>
        <v>0</v>
      </c>
      <c r="E25" s="49">
        <f t="shared" si="9"/>
        <v>173</v>
      </c>
      <c r="F25" s="50">
        <f>COUNTIF(Urlisten!$C$16:$EL$16,E25)</f>
        <v>1</v>
      </c>
      <c r="G25" s="440">
        <f t="shared" si="3"/>
        <v>1.4285714285714285E-2</v>
      </c>
      <c r="Q25" s="49">
        <f t="shared" si="10"/>
        <v>36</v>
      </c>
      <c r="R25" s="50">
        <f>COUNTIF(Urlisten!$C$25:$BT$25,Q25)</f>
        <v>0</v>
      </c>
      <c r="S25" s="442">
        <f t="shared" si="11"/>
        <v>0</v>
      </c>
      <c r="U25" s="49">
        <f t="shared" si="12"/>
        <v>173</v>
      </c>
      <c r="V25" s="50">
        <f>COUNTIF(Urlisten!$C$26:$BT$26,U25)</f>
        <v>1</v>
      </c>
      <c r="W25" s="442">
        <f t="shared" si="13"/>
        <v>2.4390243902439025E-2</v>
      </c>
      <c r="AG25" s="49">
        <f t="shared" si="14"/>
        <v>36</v>
      </c>
      <c r="AH25" s="50">
        <f>COUNTIF(Urlisten!$C$33:$BT$33,AG25)</f>
        <v>0</v>
      </c>
      <c r="AI25" s="443">
        <f t="shared" si="15"/>
        <v>0</v>
      </c>
      <c r="AK25" s="49">
        <f t="shared" si="16"/>
        <v>173</v>
      </c>
      <c r="AL25" s="50">
        <f>COUNTIF(Urlisten!$C$34:$BT$34,AK25)</f>
        <v>0</v>
      </c>
      <c r="AM25" s="443">
        <f t="shared" si="17"/>
        <v>0</v>
      </c>
    </row>
    <row r="26" spans="1:39" x14ac:dyDescent="0.25">
      <c r="A26" s="49">
        <f t="shared" si="18"/>
        <v>37</v>
      </c>
      <c r="B26" s="50">
        <f>COUNTIF(Urlisten!$C$15:$EL$15,A26)</f>
        <v>0</v>
      </c>
      <c r="C26" s="440">
        <f t="shared" si="19"/>
        <v>0</v>
      </c>
      <c r="E26" s="49">
        <f t="shared" si="9"/>
        <v>174</v>
      </c>
      <c r="F26" s="50">
        <f>COUNTIF(Urlisten!$C$16:$EL$16,E26)</f>
        <v>3</v>
      </c>
      <c r="G26" s="440">
        <f t="shared" si="3"/>
        <v>4.2857142857142858E-2</v>
      </c>
      <c r="Q26" s="49">
        <f t="shared" si="10"/>
        <v>37</v>
      </c>
      <c r="R26" s="50">
        <f>COUNTIF(Urlisten!$C$25:$BT$25,Q26)</f>
        <v>0</v>
      </c>
      <c r="S26" s="442">
        <f t="shared" si="11"/>
        <v>0</v>
      </c>
      <c r="U26" s="49">
        <f t="shared" si="12"/>
        <v>174</v>
      </c>
      <c r="V26" s="50">
        <f>COUNTIF(Urlisten!$C$26:$BT$26,U26)</f>
        <v>2</v>
      </c>
      <c r="W26" s="442">
        <f t="shared" si="13"/>
        <v>4.878048780487805E-2</v>
      </c>
      <c r="AG26" s="49">
        <f t="shared" si="14"/>
        <v>37</v>
      </c>
      <c r="AH26" s="50">
        <f>COUNTIF(Urlisten!$C$33:$BT$33,AG26)</f>
        <v>0</v>
      </c>
      <c r="AI26" s="443">
        <f t="shared" si="15"/>
        <v>0</v>
      </c>
      <c r="AK26" s="49">
        <f t="shared" si="16"/>
        <v>174</v>
      </c>
      <c r="AL26" s="50">
        <f>COUNTIF(Urlisten!$C$34:$BT$34,AK26)</f>
        <v>1</v>
      </c>
      <c r="AM26" s="443">
        <f t="shared" si="17"/>
        <v>3.4482758620689655E-2</v>
      </c>
    </row>
    <row r="27" spans="1:39" x14ac:dyDescent="0.25">
      <c r="A27" s="49">
        <f t="shared" si="18"/>
        <v>38</v>
      </c>
      <c r="B27" s="50">
        <f>COUNTIF(Urlisten!$C$15:$EL$15,A27)</f>
        <v>0</v>
      </c>
      <c r="C27" s="440">
        <f t="shared" si="19"/>
        <v>0</v>
      </c>
      <c r="E27" s="49">
        <f t="shared" si="9"/>
        <v>175</v>
      </c>
      <c r="F27" s="50">
        <f>COUNTIF(Urlisten!$C$16:$EL$16,E27)</f>
        <v>1</v>
      </c>
      <c r="G27" s="440">
        <f t="shared" si="3"/>
        <v>1.4285714285714285E-2</v>
      </c>
      <c r="Q27" s="49">
        <f t="shared" si="10"/>
        <v>38</v>
      </c>
      <c r="R27" s="50">
        <f>COUNTIF(Urlisten!$C$25:$BT$25,Q27)</f>
        <v>0</v>
      </c>
      <c r="S27" s="442">
        <f t="shared" si="11"/>
        <v>0</v>
      </c>
      <c r="U27" s="49">
        <f t="shared" si="12"/>
        <v>175</v>
      </c>
      <c r="V27" s="50">
        <f>COUNTIF(Urlisten!$C$26:$BT$26,U27)</f>
        <v>0</v>
      </c>
      <c r="W27" s="442">
        <f t="shared" si="13"/>
        <v>0</v>
      </c>
      <c r="AG27" s="49">
        <f t="shared" si="14"/>
        <v>38</v>
      </c>
      <c r="AH27" s="50">
        <f>COUNTIF(Urlisten!$C$33:$BT$33,AG27)</f>
        <v>0</v>
      </c>
      <c r="AI27" s="443">
        <f t="shared" si="15"/>
        <v>0</v>
      </c>
      <c r="AK27" s="49">
        <f t="shared" si="16"/>
        <v>175</v>
      </c>
      <c r="AL27" s="50">
        <f>COUNTIF(Urlisten!$C$34:$BT$34,AK27)</f>
        <v>1</v>
      </c>
      <c r="AM27" s="443">
        <f t="shared" si="17"/>
        <v>3.4482758620689655E-2</v>
      </c>
    </row>
    <row r="28" spans="1:39" x14ac:dyDescent="0.25">
      <c r="A28" s="49">
        <f t="shared" si="18"/>
        <v>39</v>
      </c>
      <c r="B28" s="50">
        <f>COUNTIF(Urlisten!$C$15:$EL$15,A28)</f>
        <v>0</v>
      </c>
      <c r="C28" s="440">
        <f t="shared" si="19"/>
        <v>0</v>
      </c>
      <c r="E28" s="49">
        <f t="shared" si="9"/>
        <v>176</v>
      </c>
      <c r="F28" s="50">
        <f>COUNTIF(Urlisten!$C$16:$EL$16,E28)</f>
        <v>6</v>
      </c>
      <c r="G28" s="440">
        <f t="shared" si="3"/>
        <v>8.5714285714285715E-2</v>
      </c>
      <c r="Q28" s="49">
        <f t="shared" si="10"/>
        <v>39</v>
      </c>
      <c r="R28" s="50">
        <f>COUNTIF(Urlisten!$C$25:$BT$25,Q28)</f>
        <v>0</v>
      </c>
      <c r="S28" s="442">
        <f t="shared" si="11"/>
        <v>0</v>
      </c>
      <c r="U28" s="49">
        <f t="shared" si="12"/>
        <v>176</v>
      </c>
      <c r="V28" s="50">
        <f>COUNTIF(Urlisten!$C$26:$BT$26,U28)</f>
        <v>1</v>
      </c>
      <c r="W28" s="442">
        <f t="shared" si="13"/>
        <v>2.4390243902439025E-2</v>
      </c>
      <c r="AG28" s="49">
        <f t="shared" si="14"/>
        <v>39</v>
      </c>
      <c r="AH28" s="50">
        <f>COUNTIF(Urlisten!$C$33:$BT$33,AG28)</f>
        <v>0</v>
      </c>
      <c r="AI28" s="443">
        <f t="shared" si="15"/>
        <v>0</v>
      </c>
      <c r="AK28" s="49">
        <f t="shared" si="16"/>
        <v>176</v>
      </c>
      <c r="AL28" s="50">
        <f>COUNTIF(Urlisten!$C$34:$BT$34,AK28)</f>
        <v>5</v>
      </c>
      <c r="AM28" s="443">
        <f t="shared" si="17"/>
        <v>0.17241379310344829</v>
      </c>
    </row>
    <row r="29" spans="1:39" x14ac:dyDescent="0.25">
      <c r="A29" s="49">
        <f t="shared" si="18"/>
        <v>40</v>
      </c>
      <c r="B29" s="50">
        <f>COUNTIF(Urlisten!$C$15:$EL$15,A29)</f>
        <v>0</v>
      </c>
      <c r="C29" s="440">
        <f t="shared" si="19"/>
        <v>0</v>
      </c>
      <c r="E29" s="49">
        <f t="shared" si="9"/>
        <v>177</v>
      </c>
      <c r="F29" s="50">
        <f>COUNTIF(Urlisten!$C$16:$EL$16,E29)</f>
        <v>0</v>
      </c>
      <c r="G29" s="440">
        <f t="shared" si="3"/>
        <v>0</v>
      </c>
      <c r="Q29" s="49">
        <f t="shared" si="10"/>
        <v>40</v>
      </c>
      <c r="R29" s="50">
        <f>COUNTIF(Urlisten!$C$25:$BT$25,Q29)</f>
        <v>0</v>
      </c>
      <c r="S29" s="442">
        <f t="shared" si="11"/>
        <v>0</v>
      </c>
      <c r="U29" s="49">
        <f t="shared" si="12"/>
        <v>177</v>
      </c>
      <c r="V29" s="50">
        <f>COUNTIF(Urlisten!$C$26:$BT$26,U29)</f>
        <v>0</v>
      </c>
      <c r="W29" s="442">
        <f t="shared" si="13"/>
        <v>0</v>
      </c>
      <c r="AG29" s="49">
        <f t="shared" si="14"/>
        <v>40</v>
      </c>
      <c r="AH29" s="50">
        <f>COUNTIF(Urlisten!$C$33:$BT$33,AG29)</f>
        <v>0</v>
      </c>
      <c r="AI29" s="443">
        <f t="shared" si="15"/>
        <v>0</v>
      </c>
      <c r="AK29" s="49">
        <f t="shared" si="16"/>
        <v>177</v>
      </c>
      <c r="AL29" s="50">
        <f>COUNTIF(Urlisten!$C$34:$BT$34,AK29)</f>
        <v>0</v>
      </c>
      <c r="AM29" s="443">
        <f t="shared" si="17"/>
        <v>0</v>
      </c>
    </row>
    <row r="30" spans="1:39" x14ac:dyDescent="0.25">
      <c r="A30" s="49">
        <f t="shared" si="18"/>
        <v>41</v>
      </c>
      <c r="B30" s="50">
        <f>COUNTIF(Urlisten!$C$15:$EL$15,A30)</f>
        <v>0</v>
      </c>
      <c r="C30" s="440">
        <f t="shared" si="19"/>
        <v>0</v>
      </c>
      <c r="E30" s="49">
        <f t="shared" si="9"/>
        <v>178</v>
      </c>
      <c r="F30" s="50">
        <f>COUNTIF(Urlisten!$C$16:$EL$16,E30)</f>
        <v>3</v>
      </c>
      <c r="G30" s="440">
        <f t="shared" si="3"/>
        <v>4.2857142857142858E-2</v>
      </c>
      <c r="Q30" s="49">
        <f t="shared" si="10"/>
        <v>41</v>
      </c>
      <c r="R30" s="50">
        <f>COUNTIF(Urlisten!$C$25:$BT$25,Q30)</f>
        <v>0</v>
      </c>
      <c r="S30" s="442">
        <f t="shared" si="11"/>
        <v>0</v>
      </c>
      <c r="U30" s="49">
        <f t="shared" si="12"/>
        <v>178</v>
      </c>
      <c r="V30" s="50">
        <f>COUNTIF(Urlisten!$C$26:$BT$26,U30)</f>
        <v>1</v>
      </c>
      <c r="W30" s="442">
        <f t="shared" si="13"/>
        <v>2.4390243902439025E-2</v>
      </c>
      <c r="AG30" s="49">
        <f t="shared" si="14"/>
        <v>41</v>
      </c>
      <c r="AH30" s="50">
        <f>COUNTIF(Urlisten!$C$33:$BT$33,AG30)</f>
        <v>0</v>
      </c>
      <c r="AI30" s="443">
        <f t="shared" si="15"/>
        <v>0</v>
      </c>
      <c r="AK30" s="49">
        <f t="shared" si="16"/>
        <v>178</v>
      </c>
      <c r="AL30" s="50">
        <f>COUNTIF(Urlisten!$C$34:$BT$34,AK30)</f>
        <v>2</v>
      </c>
      <c r="AM30" s="443">
        <f t="shared" si="17"/>
        <v>6.8965517241379309E-2</v>
      </c>
    </row>
    <row r="31" spans="1:39" x14ac:dyDescent="0.25">
      <c r="A31" s="49">
        <f t="shared" ref="A31" si="20">A30+1</f>
        <v>42</v>
      </c>
      <c r="B31" s="50">
        <f>COUNTIF(Urlisten!$C$15:$EL$15,A31)</f>
        <v>0</v>
      </c>
      <c r="C31" s="440">
        <f t="shared" ref="C31" si="21">B31/$B$4</f>
        <v>0</v>
      </c>
      <c r="E31" s="49">
        <f t="shared" si="9"/>
        <v>179</v>
      </c>
      <c r="F31" s="50">
        <f>COUNTIF(Urlisten!$C$16:$EL$16,E31)</f>
        <v>0</v>
      </c>
      <c r="G31" s="440">
        <f t="shared" si="3"/>
        <v>0</v>
      </c>
      <c r="Q31" s="49">
        <f>Q30+1</f>
        <v>42</v>
      </c>
      <c r="R31" s="50">
        <f>COUNTIF(Urlisten!$C$25:$BT$25,Q31)</f>
        <v>0</v>
      </c>
      <c r="S31" s="442">
        <f t="shared" si="11"/>
        <v>0</v>
      </c>
      <c r="U31" s="49">
        <f t="shared" si="12"/>
        <v>179</v>
      </c>
      <c r="V31" s="50">
        <f>COUNTIF(Urlisten!$C$26:$BT$26,U31)</f>
        <v>0</v>
      </c>
      <c r="W31" s="442">
        <f t="shared" si="13"/>
        <v>0</v>
      </c>
      <c r="AG31" s="49">
        <f t="shared" si="14"/>
        <v>42</v>
      </c>
      <c r="AH31" s="50">
        <f>COUNTIF(Urlisten!$C$33:$BT$33,AG31)</f>
        <v>0</v>
      </c>
      <c r="AI31" s="443">
        <f t="shared" si="15"/>
        <v>0</v>
      </c>
      <c r="AK31" s="49">
        <f t="shared" si="16"/>
        <v>179</v>
      </c>
      <c r="AL31" s="50">
        <f>COUNTIF(Urlisten!$C$34:$BT$34,AK31)</f>
        <v>0</v>
      </c>
      <c r="AM31" s="443">
        <f t="shared" si="17"/>
        <v>0</v>
      </c>
    </row>
    <row r="32" spans="1:39" x14ac:dyDescent="0.25">
      <c r="E32" s="49">
        <f t="shared" si="9"/>
        <v>180</v>
      </c>
      <c r="F32" s="50">
        <f>COUNTIF(Urlisten!$C$16:$EL$16,E32)</f>
        <v>4</v>
      </c>
      <c r="G32" s="440">
        <f t="shared" si="3"/>
        <v>5.7142857142857141E-2</v>
      </c>
      <c r="U32" s="49">
        <f t="shared" si="12"/>
        <v>180</v>
      </c>
      <c r="V32" s="50">
        <f>COUNTIF(Urlisten!$C$26:$BT$26,U32)</f>
        <v>3</v>
      </c>
      <c r="W32" s="442">
        <f t="shared" si="13"/>
        <v>7.3170731707317069E-2</v>
      </c>
      <c r="AK32" s="49">
        <f t="shared" si="16"/>
        <v>180</v>
      </c>
      <c r="AL32" s="50">
        <f>COUNTIF(Urlisten!$C$34:$BT$34,AK32)</f>
        <v>1</v>
      </c>
      <c r="AM32" s="443">
        <f t="shared" si="17"/>
        <v>3.4482758620689655E-2</v>
      </c>
    </row>
    <row r="33" spans="5:39" x14ac:dyDescent="0.25">
      <c r="E33" s="49">
        <f t="shared" si="9"/>
        <v>181</v>
      </c>
      <c r="F33" s="50">
        <f>COUNTIF(Urlisten!$C$16:$EL$16,E33)</f>
        <v>0</v>
      </c>
      <c r="G33" s="440">
        <f t="shared" si="3"/>
        <v>0</v>
      </c>
      <c r="U33" s="49">
        <f t="shared" si="12"/>
        <v>181</v>
      </c>
      <c r="V33" s="50">
        <f>COUNTIF(Urlisten!$C$26:$BT$26,U33)</f>
        <v>0</v>
      </c>
      <c r="W33" s="442">
        <f t="shared" si="13"/>
        <v>0</v>
      </c>
      <c r="AK33" s="49">
        <f t="shared" si="16"/>
        <v>181</v>
      </c>
      <c r="AL33" s="50">
        <f>COUNTIF(Urlisten!$C$34:$BT$34,AK33)</f>
        <v>0</v>
      </c>
      <c r="AM33" s="443">
        <f t="shared" si="17"/>
        <v>0</v>
      </c>
    </row>
    <row r="34" spans="5:39" x14ac:dyDescent="0.25">
      <c r="E34" s="49">
        <f t="shared" si="9"/>
        <v>182</v>
      </c>
      <c r="F34" s="50">
        <f>COUNTIF(Urlisten!$C$16:$EL$16,E34)</f>
        <v>5</v>
      </c>
      <c r="G34" s="440">
        <f t="shared" si="3"/>
        <v>7.1428571428571425E-2</v>
      </c>
      <c r="U34" s="49">
        <f t="shared" si="12"/>
        <v>182</v>
      </c>
      <c r="V34" s="50">
        <f>COUNTIF(Urlisten!$C$26:$BT$26,U34)</f>
        <v>3</v>
      </c>
      <c r="W34" s="442">
        <f t="shared" si="13"/>
        <v>7.3170731707317069E-2</v>
      </c>
      <c r="AK34" s="49">
        <f t="shared" si="16"/>
        <v>182</v>
      </c>
      <c r="AL34" s="50">
        <f>COUNTIF(Urlisten!$C$34:$BT$34,AK34)</f>
        <v>2</v>
      </c>
      <c r="AM34" s="443">
        <f t="shared" si="17"/>
        <v>6.8965517241379309E-2</v>
      </c>
    </row>
    <row r="35" spans="5:39" x14ac:dyDescent="0.25">
      <c r="E35" s="49">
        <f t="shared" si="9"/>
        <v>183</v>
      </c>
      <c r="F35" s="52">
        <f>COUNTIF(Urlisten!$C$16:$EL$16,E35)</f>
        <v>4</v>
      </c>
      <c r="G35" s="441">
        <f t="shared" si="3"/>
        <v>5.7142857142857141E-2</v>
      </c>
      <c r="U35" s="49">
        <f t="shared" si="12"/>
        <v>183</v>
      </c>
      <c r="V35" s="50">
        <f>COUNTIF(Urlisten!$C$26:$BT$26,U35)</f>
        <v>2</v>
      </c>
      <c r="W35" s="442">
        <f t="shared" si="13"/>
        <v>4.878048780487805E-2</v>
      </c>
      <c r="AK35" s="49">
        <f t="shared" si="16"/>
        <v>183</v>
      </c>
      <c r="AL35" s="50">
        <f>COUNTIF(Urlisten!$C$34:$BT$34,AK35)</f>
        <v>2</v>
      </c>
      <c r="AM35" s="443">
        <f t="shared" si="17"/>
        <v>6.8965517241379309E-2</v>
      </c>
    </row>
    <row r="36" spans="5:39" x14ac:dyDescent="0.25">
      <c r="E36" s="49">
        <f t="shared" ref="E36:E51" si="22">E35+1</f>
        <v>184</v>
      </c>
      <c r="F36" s="50">
        <f>COUNTIF(Urlisten!$C$16:$EL$16,E36)</f>
        <v>3</v>
      </c>
      <c r="G36" s="440">
        <f t="shared" ref="G36:G51" si="23">F36/$F$4</f>
        <v>4.2857142857142858E-2</v>
      </c>
      <c r="U36" s="49">
        <f t="shared" si="12"/>
        <v>184</v>
      </c>
      <c r="V36" s="50">
        <f>COUNTIF(Urlisten!$C$26:$BT$26,U36)</f>
        <v>1</v>
      </c>
      <c r="W36" s="442">
        <f t="shared" si="13"/>
        <v>2.4390243902439025E-2</v>
      </c>
      <c r="AK36" s="49">
        <f t="shared" si="16"/>
        <v>184</v>
      </c>
      <c r="AL36" s="50">
        <f>COUNTIF(Urlisten!$C$34:$BT$34,AK36)</f>
        <v>2</v>
      </c>
      <c r="AM36" s="443">
        <f t="shared" si="17"/>
        <v>6.8965517241379309E-2</v>
      </c>
    </row>
    <row r="37" spans="5:39" x14ac:dyDescent="0.25">
      <c r="E37" s="49">
        <f t="shared" si="22"/>
        <v>185</v>
      </c>
      <c r="F37" s="50">
        <f>COUNTIF(Urlisten!$C$16:$EL$16,E37)</f>
        <v>7</v>
      </c>
      <c r="G37" s="440">
        <f t="shared" si="23"/>
        <v>0.1</v>
      </c>
      <c r="U37" s="49">
        <f t="shared" si="12"/>
        <v>185</v>
      </c>
      <c r="V37" s="50">
        <f>COUNTIF(Urlisten!$C$26:$BT$26,U37)</f>
        <v>3</v>
      </c>
      <c r="W37" s="442">
        <f t="shared" si="13"/>
        <v>7.3170731707317069E-2</v>
      </c>
      <c r="AK37" s="49">
        <f t="shared" si="16"/>
        <v>185</v>
      </c>
      <c r="AL37" s="50">
        <f>COUNTIF(Urlisten!$C$34:$BT$34,AK37)</f>
        <v>4</v>
      </c>
      <c r="AM37" s="443">
        <f t="shared" si="17"/>
        <v>0.13793103448275862</v>
      </c>
    </row>
    <row r="38" spans="5:39" x14ac:dyDescent="0.25">
      <c r="E38" s="49">
        <f t="shared" si="22"/>
        <v>186</v>
      </c>
      <c r="F38" s="50">
        <f>COUNTIF(Urlisten!$C$16:$EL$16,E38)</f>
        <v>0</v>
      </c>
      <c r="G38" s="440">
        <f t="shared" si="23"/>
        <v>0</v>
      </c>
      <c r="U38" s="49">
        <f t="shared" si="12"/>
        <v>186</v>
      </c>
      <c r="V38" s="50">
        <f>COUNTIF(Urlisten!$C$26:$BT$26,U38)</f>
        <v>0</v>
      </c>
      <c r="W38" s="442">
        <f t="shared" si="13"/>
        <v>0</v>
      </c>
      <c r="AK38" s="49">
        <f t="shared" si="16"/>
        <v>186</v>
      </c>
      <c r="AL38" s="50">
        <f>COUNTIF(Urlisten!$C$34:$BT$34,AK38)</f>
        <v>0</v>
      </c>
      <c r="AM38" s="443">
        <f t="shared" si="17"/>
        <v>0</v>
      </c>
    </row>
    <row r="39" spans="5:39" x14ac:dyDescent="0.25">
      <c r="E39" s="49">
        <f t="shared" si="22"/>
        <v>187</v>
      </c>
      <c r="F39" s="50">
        <f>COUNTIF(Urlisten!$C$16:$EL$16,E39)</f>
        <v>2</v>
      </c>
      <c r="G39" s="440">
        <f t="shared" si="23"/>
        <v>2.8571428571428571E-2</v>
      </c>
      <c r="U39" s="49">
        <f t="shared" si="12"/>
        <v>187</v>
      </c>
      <c r="V39" s="50">
        <f>COUNTIF(Urlisten!$C$26:$BT$26,U39)</f>
        <v>2</v>
      </c>
      <c r="W39" s="442">
        <f t="shared" si="13"/>
        <v>4.878048780487805E-2</v>
      </c>
      <c r="AK39" s="49">
        <f t="shared" si="16"/>
        <v>187</v>
      </c>
      <c r="AL39" s="50">
        <f>COUNTIF(Urlisten!$C$34:$BT$34,AK39)</f>
        <v>0</v>
      </c>
      <c r="AM39" s="443">
        <f t="shared" si="17"/>
        <v>0</v>
      </c>
    </row>
    <row r="40" spans="5:39" x14ac:dyDescent="0.25">
      <c r="E40" s="49">
        <f t="shared" si="22"/>
        <v>188</v>
      </c>
      <c r="F40" s="50">
        <f>COUNTIF(Urlisten!$C$16:$EL$16,E40)</f>
        <v>1</v>
      </c>
      <c r="G40" s="440">
        <f t="shared" si="23"/>
        <v>1.4285714285714285E-2</v>
      </c>
      <c r="U40" s="49">
        <f t="shared" si="12"/>
        <v>188</v>
      </c>
      <c r="V40" s="50">
        <f>COUNTIF(Urlisten!$C$26:$BT$26,U40)</f>
        <v>0</v>
      </c>
      <c r="W40" s="442">
        <f t="shared" si="13"/>
        <v>0</v>
      </c>
      <c r="AK40" s="49">
        <f t="shared" si="16"/>
        <v>188</v>
      </c>
      <c r="AL40" s="50">
        <f>COUNTIF(Urlisten!$C$34:$BT$34,AK40)</f>
        <v>1</v>
      </c>
      <c r="AM40" s="443">
        <f t="shared" si="17"/>
        <v>3.4482758620689655E-2</v>
      </c>
    </row>
    <row r="41" spans="5:39" x14ac:dyDescent="0.25">
      <c r="E41" s="49">
        <f t="shared" si="22"/>
        <v>189</v>
      </c>
      <c r="F41" s="50">
        <f>COUNTIF(Urlisten!$C$16:$EL$16,E41)</f>
        <v>1</v>
      </c>
      <c r="G41" s="440">
        <f t="shared" si="23"/>
        <v>1.4285714285714285E-2</v>
      </c>
      <c r="U41" s="49">
        <f t="shared" si="12"/>
        <v>189</v>
      </c>
      <c r="V41" s="50">
        <f>COUNTIF(Urlisten!$C$26:$BT$26,U41)</f>
        <v>1</v>
      </c>
      <c r="W41" s="442">
        <f t="shared" si="13"/>
        <v>2.4390243902439025E-2</v>
      </c>
      <c r="AK41" s="49">
        <f t="shared" si="16"/>
        <v>189</v>
      </c>
      <c r="AL41" s="50">
        <f>COUNTIF(Urlisten!$C$34:$BT$34,AK41)</f>
        <v>0</v>
      </c>
      <c r="AM41" s="443">
        <f t="shared" si="17"/>
        <v>0</v>
      </c>
    </row>
    <row r="42" spans="5:39" x14ac:dyDescent="0.25">
      <c r="E42" s="49">
        <f t="shared" si="22"/>
        <v>190</v>
      </c>
      <c r="F42" s="50">
        <f>COUNTIF(Urlisten!$C$16:$EL$16,E42)</f>
        <v>1</v>
      </c>
      <c r="G42" s="440">
        <f t="shared" si="23"/>
        <v>1.4285714285714285E-2</v>
      </c>
      <c r="U42" s="49">
        <f t="shared" si="12"/>
        <v>190</v>
      </c>
      <c r="V42" s="50">
        <f>COUNTIF(Urlisten!$C$26:$BT$26,U42)</f>
        <v>1</v>
      </c>
      <c r="W42" s="442">
        <f t="shared" si="13"/>
        <v>2.4390243902439025E-2</v>
      </c>
      <c r="AK42" s="49">
        <f t="shared" si="16"/>
        <v>190</v>
      </c>
      <c r="AL42" s="50">
        <f>COUNTIF(Urlisten!$C$34:$BT$34,AK42)</f>
        <v>0</v>
      </c>
      <c r="AM42" s="443">
        <f t="shared" si="17"/>
        <v>0</v>
      </c>
    </row>
    <row r="43" spans="5:39" x14ac:dyDescent="0.25">
      <c r="E43" s="49">
        <f t="shared" si="22"/>
        <v>191</v>
      </c>
      <c r="F43" s="52">
        <f>COUNTIF(Urlisten!$C$16:$EL$16,E43)</f>
        <v>0</v>
      </c>
      <c r="G43" s="441">
        <f t="shared" si="23"/>
        <v>0</v>
      </c>
      <c r="U43" s="49">
        <f t="shared" si="12"/>
        <v>191</v>
      </c>
      <c r="V43" s="50">
        <f>COUNTIF(Urlisten!$C$26:$BT$26,U43)</f>
        <v>0</v>
      </c>
      <c r="W43" s="442">
        <f t="shared" si="13"/>
        <v>0</v>
      </c>
      <c r="AK43" s="49">
        <f t="shared" si="16"/>
        <v>191</v>
      </c>
      <c r="AL43" s="50">
        <f>COUNTIF(Urlisten!$C$34:$BT$34,AK43)</f>
        <v>0</v>
      </c>
      <c r="AM43" s="443">
        <f t="shared" si="17"/>
        <v>0</v>
      </c>
    </row>
    <row r="44" spans="5:39" x14ac:dyDescent="0.25">
      <c r="E44" s="49">
        <f t="shared" si="22"/>
        <v>192</v>
      </c>
      <c r="F44" s="50">
        <f>COUNTIF(Urlisten!$C$16:$EL$16,E44)</f>
        <v>0</v>
      </c>
      <c r="G44" s="440">
        <f t="shared" si="23"/>
        <v>0</v>
      </c>
      <c r="U44" s="49">
        <f t="shared" si="12"/>
        <v>192</v>
      </c>
      <c r="V44" s="50">
        <f>COUNTIF(Urlisten!$C$26:$BT$26,U44)</f>
        <v>0</v>
      </c>
      <c r="W44" s="442">
        <f t="shared" si="13"/>
        <v>0</v>
      </c>
      <c r="AK44" s="49">
        <f t="shared" si="16"/>
        <v>192</v>
      </c>
      <c r="AL44" s="50">
        <f>COUNTIF(Urlisten!$C$34:$BT$34,AK44)</f>
        <v>0</v>
      </c>
      <c r="AM44" s="443">
        <f t="shared" si="17"/>
        <v>0</v>
      </c>
    </row>
    <row r="45" spans="5:39" x14ac:dyDescent="0.25">
      <c r="E45" s="49">
        <f t="shared" si="22"/>
        <v>193</v>
      </c>
      <c r="F45" s="50">
        <f>COUNTIF(Urlisten!$C$16:$EL$16,E45)</f>
        <v>2</v>
      </c>
      <c r="G45" s="440">
        <f t="shared" si="23"/>
        <v>2.8571428571428571E-2</v>
      </c>
      <c r="U45" s="49">
        <f t="shared" si="12"/>
        <v>193</v>
      </c>
      <c r="V45" s="50">
        <f>COUNTIF(Urlisten!$C$26:$BT$26,U45)</f>
        <v>2</v>
      </c>
      <c r="W45" s="442">
        <f t="shared" si="13"/>
        <v>4.878048780487805E-2</v>
      </c>
      <c r="AK45" s="49">
        <f t="shared" si="16"/>
        <v>193</v>
      </c>
      <c r="AL45" s="50">
        <f>COUNTIF(Urlisten!$C$34:$BT$34,AK45)</f>
        <v>0</v>
      </c>
      <c r="AM45" s="443">
        <f t="shared" si="17"/>
        <v>0</v>
      </c>
    </row>
    <row r="46" spans="5:39" x14ac:dyDescent="0.25">
      <c r="E46" s="49">
        <f t="shared" si="22"/>
        <v>194</v>
      </c>
      <c r="F46" s="50">
        <f>COUNTIF(Urlisten!$C$16:$EL$16,E46)</f>
        <v>0</v>
      </c>
      <c r="G46" s="440">
        <f t="shared" si="23"/>
        <v>0</v>
      </c>
      <c r="U46" s="49">
        <f t="shared" si="12"/>
        <v>194</v>
      </c>
      <c r="V46" s="50">
        <f>COUNTIF(Urlisten!$C$26:$BT$26,U46)</f>
        <v>0</v>
      </c>
      <c r="W46" s="442">
        <f t="shared" si="13"/>
        <v>0</v>
      </c>
      <c r="AK46" s="49">
        <f t="shared" si="16"/>
        <v>194</v>
      </c>
      <c r="AL46" s="50">
        <f>COUNTIF(Urlisten!$C$34:$BT$34,AK46)</f>
        <v>0</v>
      </c>
      <c r="AM46" s="443">
        <f t="shared" si="17"/>
        <v>0</v>
      </c>
    </row>
    <row r="47" spans="5:39" x14ac:dyDescent="0.25">
      <c r="E47" s="49">
        <f t="shared" si="22"/>
        <v>195</v>
      </c>
      <c r="F47" s="50">
        <f>COUNTIF(Urlisten!$C$16:$EL$16,E47)</f>
        <v>1</v>
      </c>
      <c r="G47" s="440">
        <f t="shared" si="23"/>
        <v>1.4285714285714285E-2</v>
      </c>
      <c r="U47" s="49">
        <f t="shared" si="12"/>
        <v>195</v>
      </c>
      <c r="V47" s="50">
        <f>COUNTIF(Urlisten!$C$26:$BT$26,U47)</f>
        <v>0</v>
      </c>
      <c r="W47" s="442">
        <f t="shared" si="13"/>
        <v>0</v>
      </c>
      <c r="AK47" s="49">
        <f t="shared" si="16"/>
        <v>195</v>
      </c>
      <c r="AL47" s="50">
        <f>COUNTIF(Urlisten!$C$34:$BT$34,AK47)</f>
        <v>1</v>
      </c>
      <c r="AM47" s="443">
        <f t="shared" si="17"/>
        <v>3.4482758620689655E-2</v>
      </c>
    </row>
    <row r="48" spans="5:39" x14ac:dyDescent="0.25">
      <c r="E48" s="49">
        <f t="shared" si="22"/>
        <v>196</v>
      </c>
      <c r="F48" s="50">
        <f>COUNTIF(Urlisten!$C$16:$EL$16,E48)</f>
        <v>0</v>
      </c>
      <c r="G48" s="440">
        <f t="shared" si="23"/>
        <v>0</v>
      </c>
      <c r="U48" s="49">
        <f t="shared" si="12"/>
        <v>196</v>
      </c>
      <c r="V48" s="50">
        <f>COUNTIF(Urlisten!$C$26:$BT$26,U48)</f>
        <v>0</v>
      </c>
      <c r="W48" s="442">
        <f t="shared" si="13"/>
        <v>0</v>
      </c>
      <c r="AK48" s="49">
        <f t="shared" si="16"/>
        <v>196</v>
      </c>
      <c r="AL48" s="50">
        <f>COUNTIF(Urlisten!$C$34:$BT$34,AK48)</f>
        <v>0</v>
      </c>
      <c r="AM48" s="443">
        <f t="shared" si="17"/>
        <v>0</v>
      </c>
    </row>
    <row r="49" spans="5:39" x14ac:dyDescent="0.25">
      <c r="E49" s="49">
        <f t="shared" si="22"/>
        <v>197</v>
      </c>
      <c r="F49" s="50">
        <f>COUNTIF(Urlisten!$C$16:$EL$16,E49)</f>
        <v>0</v>
      </c>
      <c r="G49" s="440">
        <f t="shared" si="23"/>
        <v>0</v>
      </c>
      <c r="U49" s="49">
        <f t="shared" si="12"/>
        <v>197</v>
      </c>
      <c r="V49" s="50">
        <f>COUNTIF(Urlisten!$C$26:$BT$26,U49)</f>
        <v>0</v>
      </c>
      <c r="W49" s="442">
        <f t="shared" si="13"/>
        <v>0</v>
      </c>
      <c r="AK49" s="49">
        <f t="shared" si="16"/>
        <v>197</v>
      </c>
      <c r="AL49" s="50">
        <f>COUNTIF(Urlisten!$C$34:$BT$34,AK49)</f>
        <v>0</v>
      </c>
      <c r="AM49" s="443">
        <f t="shared" si="17"/>
        <v>0</v>
      </c>
    </row>
    <row r="50" spans="5:39" x14ac:dyDescent="0.25">
      <c r="E50" s="49">
        <f t="shared" si="22"/>
        <v>198</v>
      </c>
      <c r="F50" s="50">
        <f>COUNTIF(Urlisten!$C$16:$EL$16,E50)</f>
        <v>0</v>
      </c>
      <c r="G50" s="440">
        <f t="shared" si="23"/>
        <v>0</v>
      </c>
      <c r="U50" s="49">
        <f t="shared" si="12"/>
        <v>198</v>
      </c>
      <c r="V50" s="50">
        <f>COUNTIF(Urlisten!$C$26:$BT$26,U50)</f>
        <v>0</v>
      </c>
      <c r="W50" s="442">
        <f t="shared" si="13"/>
        <v>0</v>
      </c>
      <c r="AK50" s="49">
        <f t="shared" si="16"/>
        <v>198</v>
      </c>
      <c r="AL50" s="50">
        <f>COUNTIF(Urlisten!$C$34:$BT$34,AK50)</f>
        <v>0</v>
      </c>
      <c r="AM50" s="443">
        <f t="shared" si="17"/>
        <v>0</v>
      </c>
    </row>
    <row r="51" spans="5:39" x14ac:dyDescent="0.25">
      <c r="E51" s="49">
        <f t="shared" si="22"/>
        <v>199</v>
      </c>
      <c r="F51" s="50">
        <f>COUNTIF(Urlisten!$C$16:$EL$16,E51)</f>
        <v>0</v>
      </c>
      <c r="G51" s="440">
        <f t="shared" si="23"/>
        <v>0</v>
      </c>
      <c r="U51" s="49">
        <f t="shared" si="12"/>
        <v>199</v>
      </c>
      <c r="V51" s="50">
        <f>COUNTIF(Urlisten!$C$26:$BT$26,U51)</f>
        <v>0</v>
      </c>
      <c r="W51" s="442">
        <f t="shared" si="13"/>
        <v>0</v>
      </c>
      <c r="AK51" s="49">
        <f t="shared" si="16"/>
        <v>199</v>
      </c>
      <c r="AL51" s="50">
        <f>COUNTIF(Urlisten!$C$34:$BT$34,AK51)</f>
        <v>0</v>
      </c>
      <c r="AM51" s="443">
        <f t="shared" si="17"/>
        <v>0</v>
      </c>
    </row>
  </sheetData>
  <mergeCells count="3">
    <mergeCell ref="A1:O1"/>
    <mergeCell ref="Q1:AE1"/>
    <mergeCell ref="AG1:AU1"/>
  </mergeCells>
  <pageMargins left="0" right="0" top="0" bottom="0" header="0" footer="0"/>
  <pageSetup paperSize="9" scale="5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36"/>
  <sheetViews>
    <sheetView workbookViewId="0">
      <selection activeCell="E7" sqref="E7:G33"/>
    </sheetView>
  </sheetViews>
  <sheetFormatPr baseColWidth="10" defaultColWidth="11.42578125" defaultRowHeight="15" x14ac:dyDescent="0.25"/>
  <cols>
    <col min="1" max="2" width="3.7109375" style="8" customWidth="1"/>
    <col min="3" max="3" width="5.7109375" style="8" customWidth="1"/>
    <col min="4" max="4" width="2.7109375" style="8" customWidth="1"/>
    <col min="5" max="5" width="3.7109375" style="8" customWidth="1"/>
    <col min="6" max="7" width="5.7109375" style="8" customWidth="1"/>
    <col min="8" max="8" width="2.7109375" style="8" customWidth="1"/>
    <col min="9" max="10" width="3.7109375" style="8" customWidth="1"/>
    <col min="11" max="11" width="5.7109375" style="8" customWidth="1"/>
    <col min="12" max="12" width="2.7109375" style="8" customWidth="1"/>
    <col min="13" max="14" width="3.7109375" style="8" customWidth="1"/>
    <col min="15" max="15" width="5.7109375" style="8" customWidth="1"/>
    <col min="16" max="16" width="2.7109375" style="8" customWidth="1"/>
    <col min="17" max="18" width="3.7109375" style="8" customWidth="1"/>
    <col min="19" max="19" width="5.7109375" style="8" customWidth="1"/>
    <col min="20" max="20" width="2.7109375" style="8" customWidth="1"/>
    <col min="21" max="22" width="3.7109375" style="8" customWidth="1"/>
    <col min="23" max="23" width="5.7109375" style="8" customWidth="1"/>
    <col min="24" max="24" width="2.7109375" style="8" customWidth="1"/>
    <col min="25" max="26" width="3.7109375" style="8" customWidth="1"/>
    <col min="27" max="27" width="5.7109375" style="8" customWidth="1"/>
    <col min="28" max="28" width="2.7109375" style="8" customWidth="1"/>
    <col min="29" max="30" width="3.7109375" style="8" customWidth="1"/>
    <col min="31" max="31" width="5.7109375" style="8" customWidth="1"/>
    <col min="32" max="32" width="2.7109375" style="8" customWidth="1"/>
    <col min="33" max="34" width="3.7109375" style="8" customWidth="1"/>
    <col min="35" max="35" width="5.7109375" style="8" customWidth="1"/>
    <col min="36" max="36" width="2.7109375" style="8" customWidth="1"/>
    <col min="37" max="38" width="3.7109375" style="8" customWidth="1"/>
    <col min="39" max="39" width="5.7109375" style="8" customWidth="1"/>
    <col min="40" max="40" width="2.7109375" style="8" customWidth="1"/>
    <col min="41" max="42" width="3.7109375" style="8" customWidth="1"/>
    <col min="43" max="43" width="5.7109375" style="8" customWidth="1"/>
    <col min="44" max="44" width="2.7109375" style="8" customWidth="1"/>
    <col min="45" max="46" width="3.7109375" style="8" customWidth="1"/>
    <col min="47" max="47" width="5.7109375" style="8" customWidth="1"/>
    <col min="48" max="16384" width="11.42578125" style="8"/>
  </cols>
  <sheetData>
    <row r="1" spans="1:47" x14ac:dyDescent="0.25">
      <c r="A1" s="749" t="s">
        <v>162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O1" s="749"/>
      <c r="Q1" s="750" t="s">
        <v>163</v>
      </c>
      <c r="R1" s="750"/>
      <c r="S1" s="750"/>
      <c r="T1" s="750"/>
      <c r="U1" s="750"/>
      <c r="V1" s="750"/>
      <c r="W1" s="750"/>
      <c r="X1" s="750"/>
      <c r="Y1" s="750"/>
      <c r="Z1" s="750"/>
      <c r="AA1" s="750"/>
      <c r="AB1" s="750"/>
      <c r="AC1" s="750"/>
      <c r="AD1" s="750"/>
      <c r="AE1" s="750"/>
      <c r="AG1" s="751" t="s">
        <v>164</v>
      </c>
      <c r="AH1" s="751"/>
      <c r="AI1" s="751"/>
      <c r="AJ1" s="751"/>
      <c r="AK1" s="751"/>
      <c r="AL1" s="751"/>
      <c r="AM1" s="751"/>
      <c r="AN1" s="751"/>
      <c r="AO1" s="751"/>
      <c r="AP1" s="751"/>
      <c r="AQ1" s="751"/>
      <c r="AR1" s="751"/>
      <c r="AS1" s="751"/>
      <c r="AT1" s="751"/>
      <c r="AU1" s="751"/>
    </row>
    <row r="2" spans="1:47" x14ac:dyDescent="0.25">
      <c r="A2" s="1" t="s">
        <v>9</v>
      </c>
      <c r="B2" s="2"/>
      <c r="C2" s="2"/>
      <c r="D2" s="2"/>
      <c r="E2" s="1" t="s">
        <v>11</v>
      </c>
      <c r="F2" s="2"/>
      <c r="G2" s="2"/>
      <c r="H2" s="2"/>
      <c r="I2" s="1" t="s">
        <v>23</v>
      </c>
      <c r="J2" s="2"/>
      <c r="K2" s="2"/>
      <c r="L2" s="2"/>
      <c r="M2" s="1" t="s">
        <v>12</v>
      </c>
      <c r="N2" s="2"/>
      <c r="O2" s="2"/>
      <c r="Q2" s="4" t="s">
        <v>9</v>
      </c>
      <c r="R2" s="47"/>
      <c r="S2" s="47"/>
      <c r="T2" s="47"/>
      <c r="U2" s="4" t="s">
        <v>11</v>
      </c>
      <c r="V2" s="47"/>
      <c r="W2" s="47"/>
      <c r="X2" s="47"/>
      <c r="Y2" s="4" t="s">
        <v>23</v>
      </c>
      <c r="Z2" s="47"/>
      <c r="AA2" s="47"/>
      <c r="AB2" s="47"/>
      <c r="AC2" s="4" t="s">
        <v>12</v>
      </c>
      <c r="AD2" s="47"/>
      <c r="AE2" s="47"/>
      <c r="AG2" s="5" t="s">
        <v>9</v>
      </c>
      <c r="AH2" s="48"/>
      <c r="AI2" s="48"/>
      <c r="AJ2" s="48"/>
      <c r="AK2" s="5" t="s">
        <v>11</v>
      </c>
      <c r="AL2" s="48"/>
      <c r="AM2" s="48"/>
      <c r="AN2" s="48"/>
      <c r="AO2" s="5" t="s">
        <v>23</v>
      </c>
      <c r="AP2" s="48"/>
      <c r="AQ2" s="48"/>
      <c r="AR2" s="48"/>
      <c r="AS2" s="5" t="s">
        <v>12</v>
      </c>
      <c r="AT2" s="48"/>
      <c r="AU2" s="48"/>
    </row>
    <row r="4" spans="1:47" x14ac:dyDescent="0.25">
      <c r="B4" s="8">
        <f>SUM(B7:B85)</f>
        <v>70</v>
      </c>
      <c r="C4" s="55">
        <f>SUM(C7:C85)</f>
        <v>1</v>
      </c>
      <c r="F4" s="8">
        <f>SUM(F7:F82)</f>
        <v>70</v>
      </c>
      <c r="G4" s="55">
        <f>SUM(G7:G82)</f>
        <v>0.99999999999999978</v>
      </c>
      <c r="J4" s="8">
        <f>SUM(J7:J8)</f>
        <v>70</v>
      </c>
      <c r="K4" s="55">
        <f>SUM(K7:K8)</f>
        <v>1</v>
      </c>
      <c r="N4" s="8">
        <f>SUM(N7:N8)</f>
        <v>70</v>
      </c>
      <c r="O4" s="55">
        <f>SUM(O7:O8)</f>
        <v>1</v>
      </c>
      <c r="R4" s="8">
        <f>SUM(R7:R85)</f>
        <v>41</v>
      </c>
      <c r="S4" s="55">
        <f>SUM(S7:S85)</f>
        <v>1</v>
      </c>
      <c r="V4" s="8">
        <f>SUM(V7:V78)</f>
        <v>41</v>
      </c>
      <c r="W4" s="55">
        <f>SUM(W7:W78)</f>
        <v>1</v>
      </c>
      <c r="Z4" s="8">
        <f>SUM(Z7:Z8)</f>
        <v>41</v>
      </c>
      <c r="AA4" s="55">
        <f>SUM(AA7:AA8)</f>
        <v>1</v>
      </c>
      <c r="AD4" s="8">
        <f>SUM(AD7:AD8)</f>
        <v>41</v>
      </c>
      <c r="AE4" s="55">
        <f>SUM(AE7:AE8)</f>
        <v>1</v>
      </c>
      <c r="AH4" s="8">
        <f>SUM(AH7:AH83)</f>
        <v>29</v>
      </c>
      <c r="AI4" s="55">
        <f>SUM(AI7:AI83)</f>
        <v>1</v>
      </c>
      <c r="AL4" s="8">
        <f>SUM(AL7:AL70)</f>
        <v>29</v>
      </c>
      <c r="AM4" s="55">
        <f>SUM(AM7:AM70)</f>
        <v>1</v>
      </c>
      <c r="AP4" s="8">
        <f>SUM(AP7:AP8)</f>
        <v>29</v>
      </c>
      <c r="AQ4" s="55">
        <f>SUM(AQ7:AQ8)</f>
        <v>1</v>
      </c>
      <c r="AR4" s="55"/>
      <c r="AT4" s="8">
        <f>SUM(AT7:AT8)</f>
        <v>29</v>
      </c>
      <c r="AU4" s="55">
        <f>SUM(AU7:AU8)</f>
        <v>1</v>
      </c>
    </row>
    <row r="6" spans="1:47" ht="18" x14ac:dyDescent="0.35">
      <c r="A6" s="35" t="s">
        <v>2</v>
      </c>
      <c r="B6" s="36" t="s">
        <v>3</v>
      </c>
      <c r="C6" s="37" t="s">
        <v>4</v>
      </c>
      <c r="E6" s="35" t="s">
        <v>13</v>
      </c>
      <c r="F6" s="36" t="s">
        <v>3</v>
      </c>
      <c r="G6" s="37" t="s">
        <v>4</v>
      </c>
      <c r="I6" s="35" t="s">
        <v>14</v>
      </c>
      <c r="J6" s="36" t="s">
        <v>3</v>
      </c>
      <c r="K6" s="37" t="s">
        <v>4</v>
      </c>
      <c r="M6" s="35" t="s">
        <v>15</v>
      </c>
      <c r="N6" s="36" t="s">
        <v>3</v>
      </c>
      <c r="O6" s="37" t="s">
        <v>4</v>
      </c>
      <c r="Q6" s="35" t="s">
        <v>2</v>
      </c>
      <c r="R6" s="36" t="s">
        <v>3</v>
      </c>
      <c r="S6" s="37" t="s">
        <v>4</v>
      </c>
      <c r="U6" s="35" t="s">
        <v>13</v>
      </c>
      <c r="V6" s="36" t="s">
        <v>3</v>
      </c>
      <c r="W6" s="37" t="s">
        <v>4</v>
      </c>
      <c r="Y6" s="35" t="s">
        <v>14</v>
      </c>
      <c r="Z6" s="36" t="s">
        <v>3</v>
      </c>
      <c r="AA6" s="37" t="s">
        <v>4</v>
      </c>
      <c r="AC6" s="35" t="s">
        <v>15</v>
      </c>
      <c r="AD6" s="36" t="s">
        <v>3</v>
      </c>
      <c r="AE6" s="37" t="s">
        <v>4</v>
      </c>
      <c r="AG6" s="35" t="s">
        <v>2</v>
      </c>
      <c r="AH6" s="36" t="s">
        <v>3</v>
      </c>
      <c r="AI6" s="37" t="s">
        <v>4</v>
      </c>
      <c r="AK6" s="35" t="s">
        <v>13</v>
      </c>
      <c r="AL6" s="36" t="s">
        <v>3</v>
      </c>
      <c r="AM6" s="37" t="s">
        <v>4</v>
      </c>
      <c r="AO6" s="35" t="s">
        <v>14</v>
      </c>
      <c r="AP6" s="36" t="s">
        <v>3</v>
      </c>
      <c r="AQ6" s="37" t="s">
        <v>4</v>
      </c>
      <c r="AS6" s="35" t="s">
        <v>15</v>
      </c>
      <c r="AT6" s="36" t="s">
        <v>3</v>
      </c>
      <c r="AU6" s="37" t="s">
        <v>4</v>
      </c>
    </row>
    <row r="7" spans="1:47" x14ac:dyDescent="0.25">
      <c r="A7" s="49">
        <v>19</v>
      </c>
      <c r="B7" s="50">
        <v>3</v>
      </c>
      <c r="C7" s="524">
        <v>4.2857142857142858E-2</v>
      </c>
      <c r="E7" s="49">
        <v>155</v>
      </c>
      <c r="F7" s="50">
        <v>1</v>
      </c>
      <c r="G7" s="524">
        <v>1.4285714285714285E-2</v>
      </c>
      <c r="I7" s="39" t="s">
        <v>18</v>
      </c>
      <c r="J7" s="50">
        <v>17</v>
      </c>
      <c r="K7" s="524">
        <v>0.24285714285714285</v>
      </c>
      <c r="M7" s="39" t="s">
        <v>17</v>
      </c>
      <c r="N7" s="50">
        <v>47</v>
      </c>
      <c r="O7" s="524">
        <v>0.67142857142857137</v>
      </c>
      <c r="Q7" s="49">
        <v>19</v>
      </c>
      <c r="R7" s="50">
        <v>2</v>
      </c>
      <c r="S7" s="526">
        <v>4.878048780487805E-2</v>
      </c>
      <c r="U7" s="49">
        <v>160</v>
      </c>
      <c r="V7" s="50">
        <v>3</v>
      </c>
      <c r="W7" s="526">
        <v>7.3170731707317069E-2</v>
      </c>
      <c r="Y7" s="39" t="s">
        <v>18</v>
      </c>
      <c r="Z7" s="50">
        <v>9</v>
      </c>
      <c r="AA7" s="526">
        <v>0.21951219512195122</v>
      </c>
      <c r="AC7" s="39" t="s">
        <v>17</v>
      </c>
      <c r="AD7" s="50">
        <v>27</v>
      </c>
      <c r="AE7" s="526">
        <v>0.65853658536585369</v>
      </c>
      <c r="AG7" s="49">
        <v>19</v>
      </c>
      <c r="AH7" s="50">
        <v>1</v>
      </c>
      <c r="AI7" s="528">
        <v>3.4482758620689655E-2</v>
      </c>
      <c r="AK7" s="49">
        <v>155</v>
      </c>
      <c r="AL7" s="50">
        <v>1</v>
      </c>
      <c r="AM7" s="528">
        <v>3.4482758620689655E-2</v>
      </c>
      <c r="AO7" s="39" t="s">
        <v>18</v>
      </c>
      <c r="AP7" s="50">
        <v>8</v>
      </c>
      <c r="AQ7" s="528">
        <v>0.27586206896551724</v>
      </c>
      <c r="AS7" s="39" t="s">
        <v>17</v>
      </c>
      <c r="AT7" s="50">
        <v>20</v>
      </c>
      <c r="AU7" s="528">
        <v>0.68965517241379315</v>
      </c>
    </row>
    <row r="8" spans="1:47" x14ac:dyDescent="0.25">
      <c r="A8" s="49">
        <v>20</v>
      </c>
      <c r="B8" s="50">
        <v>10</v>
      </c>
      <c r="C8" s="524">
        <v>0.14285714285714285</v>
      </c>
      <c r="E8" s="49">
        <v>160</v>
      </c>
      <c r="F8" s="50">
        <v>5</v>
      </c>
      <c r="G8" s="524">
        <v>7.1428571428571425E-2</v>
      </c>
      <c r="I8" s="43" t="s">
        <v>16</v>
      </c>
      <c r="J8" s="52">
        <v>53</v>
      </c>
      <c r="K8" s="525">
        <v>0.75714285714285712</v>
      </c>
      <c r="M8" s="43" t="s">
        <v>19</v>
      </c>
      <c r="N8" s="52">
        <v>23</v>
      </c>
      <c r="O8" s="525">
        <v>0.32857142857142857</v>
      </c>
      <c r="Q8" s="49">
        <v>20</v>
      </c>
      <c r="R8" s="50">
        <v>6</v>
      </c>
      <c r="S8" s="526">
        <v>0.14634146341463414</v>
      </c>
      <c r="U8" s="49">
        <v>161</v>
      </c>
      <c r="V8" s="50">
        <v>1</v>
      </c>
      <c r="W8" s="526">
        <v>2.4390243902439025E-2</v>
      </c>
      <c r="Y8" s="43" t="s">
        <v>16</v>
      </c>
      <c r="Z8" s="52">
        <v>32</v>
      </c>
      <c r="AA8" s="527">
        <v>0.78048780487804881</v>
      </c>
      <c r="AC8" s="43" t="s">
        <v>19</v>
      </c>
      <c r="AD8" s="52">
        <v>14</v>
      </c>
      <c r="AE8" s="527">
        <v>0.34146341463414637</v>
      </c>
      <c r="AG8" s="49">
        <v>20</v>
      </c>
      <c r="AH8" s="50">
        <v>4</v>
      </c>
      <c r="AI8" s="528">
        <v>0.13793103448275862</v>
      </c>
      <c r="AK8" s="49">
        <v>160</v>
      </c>
      <c r="AL8" s="50">
        <v>2</v>
      </c>
      <c r="AM8" s="528">
        <v>6.8965517241379309E-2</v>
      </c>
      <c r="AO8" s="43" t="s">
        <v>16</v>
      </c>
      <c r="AP8" s="52">
        <v>21</v>
      </c>
      <c r="AQ8" s="529">
        <v>0.72413793103448276</v>
      </c>
      <c r="AS8" s="43" t="s">
        <v>19</v>
      </c>
      <c r="AT8" s="52">
        <v>9</v>
      </c>
      <c r="AU8" s="529">
        <v>0.31034482758620691</v>
      </c>
    </row>
    <row r="9" spans="1:47" x14ac:dyDescent="0.25">
      <c r="A9" s="49">
        <v>21</v>
      </c>
      <c r="B9" s="50">
        <v>11</v>
      </c>
      <c r="C9" s="524">
        <v>0.15714285714285714</v>
      </c>
      <c r="E9" s="49">
        <v>161</v>
      </c>
      <c r="F9" s="50">
        <v>1</v>
      </c>
      <c r="G9" s="524">
        <v>1.4285714285714285E-2</v>
      </c>
      <c r="Q9" s="49">
        <v>21</v>
      </c>
      <c r="R9" s="50">
        <v>9</v>
      </c>
      <c r="S9" s="526">
        <v>0.21951219512195122</v>
      </c>
      <c r="U9" s="49">
        <v>163</v>
      </c>
      <c r="V9" s="50">
        <v>3</v>
      </c>
      <c r="W9" s="526">
        <v>7.3170731707317069E-2</v>
      </c>
      <c r="AG9" s="49">
        <v>21</v>
      </c>
      <c r="AH9" s="50">
        <v>2</v>
      </c>
      <c r="AI9" s="528">
        <v>6.8965517241379309E-2</v>
      </c>
      <c r="AK9" s="49">
        <v>165</v>
      </c>
      <c r="AL9" s="50">
        <v>2</v>
      </c>
      <c r="AM9" s="528">
        <v>6.8965517241379309E-2</v>
      </c>
    </row>
    <row r="10" spans="1:47" x14ac:dyDescent="0.25">
      <c r="A10" s="49">
        <v>22</v>
      </c>
      <c r="B10" s="50">
        <v>14</v>
      </c>
      <c r="C10" s="524">
        <v>0.2</v>
      </c>
      <c r="E10" s="49">
        <v>163</v>
      </c>
      <c r="F10" s="50">
        <v>3</v>
      </c>
      <c r="G10" s="524">
        <v>4.2857142857142858E-2</v>
      </c>
      <c r="Q10" s="49">
        <v>22</v>
      </c>
      <c r="R10" s="50">
        <v>8</v>
      </c>
      <c r="S10" s="526">
        <v>0.1951219512195122</v>
      </c>
      <c r="U10" s="49">
        <v>164</v>
      </c>
      <c r="V10" s="50">
        <v>1</v>
      </c>
      <c r="W10" s="526">
        <v>2.4390243902439025E-2</v>
      </c>
      <c r="AG10" s="49">
        <v>22</v>
      </c>
      <c r="AH10" s="50">
        <v>6</v>
      </c>
      <c r="AI10" s="528">
        <v>0.20689655172413793</v>
      </c>
      <c r="AK10" s="49">
        <v>170</v>
      </c>
      <c r="AL10" s="50">
        <v>2</v>
      </c>
      <c r="AM10" s="528">
        <v>6.8965517241379309E-2</v>
      </c>
    </row>
    <row r="11" spans="1:47" x14ac:dyDescent="0.25">
      <c r="A11" s="49">
        <v>23</v>
      </c>
      <c r="B11" s="50">
        <v>9</v>
      </c>
      <c r="C11" s="524">
        <v>0.12857142857142856</v>
      </c>
      <c r="E11" s="49">
        <v>164</v>
      </c>
      <c r="F11" s="50">
        <v>1</v>
      </c>
      <c r="G11" s="524">
        <v>1.4285714285714285E-2</v>
      </c>
      <c r="Q11" s="49">
        <v>23</v>
      </c>
      <c r="R11" s="50">
        <v>3</v>
      </c>
      <c r="S11" s="526">
        <v>7.3170731707317069E-2</v>
      </c>
      <c r="U11" s="49">
        <v>165</v>
      </c>
      <c r="V11" s="50">
        <v>1</v>
      </c>
      <c r="W11" s="526">
        <v>2.4390243902439025E-2</v>
      </c>
      <c r="AG11" s="49">
        <v>23</v>
      </c>
      <c r="AH11" s="50">
        <v>6</v>
      </c>
      <c r="AI11" s="528">
        <v>0.20689655172413793</v>
      </c>
      <c r="AK11" s="49">
        <v>174</v>
      </c>
      <c r="AL11" s="50">
        <v>1</v>
      </c>
      <c r="AM11" s="528">
        <v>3.4482758620689655E-2</v>
      </c>
    </row>
    <row r="12" spans="1:47" x14ac:dyDescent="0.25">
      <c r="A12" s="49">
        <v>24</v>
      </c>
      <c r="B12" s="50">
        <v>6</v>
      </c>
      <c r="C12" s="524">
        <v>8.5714285714285715E-2</v>
      </c>
      <c r="E12" s="49">
        <v>165</v>
      </c>
      <c r="F12" s="50">
        <v>3</v>
      </c>
      <c r="G12" s="524">
        <v>4.2857142857142858E-2</v>
      </c>
      <c r="Q12" s="49">
        <v>24</v>
      </c>
      <c r="R12" s="50">
        <v>5</v>
      </c>
      <c r="S12" s="526">
        <v>0.12195121951219512</v>
      </c>
      <c r="U12" s="49">
        <v>168</v>
      </c>
      <c r="V12" s="50">
        <v>1</v>
      </c>
      <c r="W12" s="526">
        <v>2.4390243902439025E-2</v>
      </c>
      <c r="AG12" s="49">
        <v>24</v>
      </c>
      <c r="AH12" s="50">
        <v>1</v>
      </c>
      <c r="AI12" s="528">
        <v>3.4482758620689655E-2</v>
      </c>
      <c r="AK12" s="49">
        <v>175</v>
      </c>
      <c r="AL12" s="50">
        <v>1</v>
      </c>
      <c r="AM12" s="528">
        <v>3.4482758620689655E-2</v>
      </c>
    </row>
    <row r="13" spans="1:47" x14ac:dyDescent="0.25">
      <c r="A13" s="49">
        <v>25</v>
      </c>
      <c r="B13" s="50">
        <v>8</v>
      </c>
      <c r="C13" s="524">
        <v>0.11428571428571428</v>
      </c>
      <c r="E13" s="49">
        <v>168</v>
      </c>
      <c r="F13" s="50">
        <v>1</v>
      </c>
      <c r="G13" s="524">
        <v>1.4285714285714285E-2</v>
      </c>
      <c r="Q13" s="49">
        <v>25</v>
      </c>
      <c r="R13" s="50">
        <v>3</v>
      </c>
      <c r="S13" s="526">
        <v>7.3170731707317069E-2</v>
      </c>
      <c r="U13" s="49">
        <v>169</v>
      </c>
      <c r="V13" s="50">
        <v>1</v>
      </c>
      <c r="W13" s="526">
        <v>2.4390243902439025E-2</v>
      </c>
      <c r="AG13" s="49">
        <v>25</v>
      </c>
      <c r="AH13" s="50">
        <v>5</v>
      </c>
      <c r="AI13" s="528">
        <v>0.17241379310344829</v>
      </c>
      <c r="AK13" s="49">
        <v>176</v>
      </c>
      <c r="AL13" s="50">
        <v>5</v>
      </c>
      <c r="AM13" s="528">
        <v>0.17241379310344829</v>
      </c>
    </row>
    <row r="14" spans="1:47" x14ac:dyDescent="0.25">
      <c r="A14" s="49">
        <v>26</v>
      </c>
      <c r="B14" s="50">
        <v>6</v>
      </c>
      <c r="C14" s="524">
        <v>8.5714285714285715E-2</v>
      </c>
      <c r="E14" s="49">
        <v>169</v>
      </c>
      <c r="F14" s="50">
        <v>1</v>
      </c>
      <c r="G14" s="524">
        <v>1.4285714285714285E-2</v>
      </c>
      <c r="Q14" s="49">
        <v>26</v>
      </c>
      <c r="R14" s="50">
        <v>2</v>
      </c>
      <c r="S14" s="526">
        <v>4.878048780487805E-2</v>
      </c>
      <c r="U14" s="49">
        <v>170</v>
      </c>
      <c r="V14" s="50">
        <v>5</v>
      </c>
      <c r="W14" s="526">
        <v>0.12195121951219512</v>
      </c>
      <c r="AG14" s="49">
        <v>26</v>
      </c>
      <c r="AH14" s="50">
        <v>4</v>
      </c>
      <c r="AI14" s="528">
        <v>0.13793103448275862</v>
      </c>
      <c r="AK14" s="49">
        <v>178</v>
      </c>
      <c r="AL14" s="50">
        <v>2</v>
      </c>
      <c r="AM14" s="528">
        <v>6.8965517241379309E-2</v>
      </c>
    </row>
    <row r="15" spans="1:47" x14ac:dyDescent="0.25">
      <c r="A15" s="49">
        <v>27</v>
      </c>
      <c r="B15" s="50">
        <v>1</v>
      </c>
      <c r="C15" s="524">
        <v>1.4285714285714285E-2</v>
      </c>
      <c r="E15" s="49">
        <v>170</v>
      </c>
      <c r="F15" s="50">
        <v>7</v>
      </c>
      <c r="G15" s="524">
        <v>0.1</v>
      </c>
      <c r="Q15" s="49">
        <v>27</v>
      </c>
      <c r="R15" s="50">
        <v>1</v>
      </c>
      <c r="S15" s="526">
        <v>2.4390243902439025E-2</v>
      </c>
      <c r="U15" s="49">
        <v>171</v>
      </c>
      <c r="V15" s="50">
        <v>1</v>
      </c>
      <c r="W15" s="526">
        <v>2.4390243902439025E-2</v>
      </c>
      <c r="AK15" s="49">
        <v>180</v>
      </c>
      <c r="AL15" s="50">
        <v>1</v>
      </c>
      <c r="AM15" s="528">
        <v>3.4482758620689655E-2</v>
      </c>
    </row>
    <row r="16" spans="1:47" x14ac:dyDescent="0.25">
      <c r="A16" s="49">
        <v>28</v>
      </c>
      <c r="B16" s="50">
        <v>2</v>
      </c>
      <c r="C16" s="524">
        <v>2.8571428571428571E-2</v>
      </c>
      <c r="E16" s="49">
        <v>171</v>
      </c>
      <c r="F16" s="50">
        <v>1</v>
      </c>
      <c r="G16" s="524">
        <v>1.4285714285714285E-2</v>
      </c>
      <c r="Q16" s="49">
        <v>28</v>
      </c>
      <c r="R16" s="50">
        <v>2</v>
      </c>
      <c r="S16" s="526">
        <v>4.878048780487805E-2</v>
      </c>
      <c r="U16" s="49">
        <v>172</v>
      </c>
      <c r="V16" s="50">
        <v>1</v>
      </c>
      <c r="W16" s="526">
        <v>2.4390243902439025E-2</v>
      </c>
      <c r="AK16" s="49">
        <v>182</v>
      </c>
      <c r="AL16" s="50">
        <v>2</v>
      </c>
      <c r="AM16" s="528">
        <v>6.8965517241379309E-2</v>
      </c>
    </row>
    <row r="17" spans="5:39" x14ac:dyDescent="0.25">
      <c r="E17" s="49">
        <v>172</v>
      </c>
      <c r="F17" s="50">
        <v>1</v>
      </c>
      <c r="G17" s="524">
        <v>1.4285714285714285E-2</v>
      </c>
      <c r="U17" s="49">
        <v>173</v>
      </c>
      <c r="V17" s="50">
        <v>1</v>
      </c>
      <c r="W17" s="526">
        <v>2.4390243902439025E-2</v>
      </c>
      <c r="AK17" s="49">
        <v>183</v>
      </c>
      <c r="AL17" s="50">
        <v>2</v>
      </c>
      <c r="AM17" s="528">
        <v>6.8965517241379309E-2</v>
      </c>
    </row>
    <row r="18" spans="5:39" x14ac:dyDescent="0.25">
      <c r="E18" s="49">
        <v>173</v>
      </c>
      <c r="F18" s="50">
        <v>1</v>
      </c>
      <c r="G18" s="524">
        <v>1.4285714285714285E-2</v>
      </c>
      <c r="U18" s="49">
        <v>174</v>
      </c>
      <c r="V18" s="50">
        <v>2</v>
      </c>
      <c r="W18" s="526">
        <v>4.878048780487805E-2</v>
      </c>
      <c r="AK18" s="49">
        <v>184</v>
      </c>
      <c r="AL18" s="50">
        <v>2</v>
      </c>
      <c r="AM18" s="528">
        <v>6.8965517241379309E-2</v>
      </c>
    </row>
    <row r="19" spans="5:39" x14ac:dyDescent="0.25">
      <c r="E19" s="49">
        <v>174</v>
      </c>
      <c r="F19" s="50">
        <v>3</v>
      </c>
      <c r="G19" s="524">
        <v>4.2857142857142858E-2</v>
      </c>
      <c r="U19" s="49">
        <v>176</v>
      </c>
      <c r="V19" s="50">
        <v>1</v>
      </c>
      <c r="W19" s="526">
        <v>2.4390243902439025E-2</v>
      </c>
      <c r="AK19" s="49">
        <v>185</v>
      </c>
      <c r="AL19" s="50">
        <v>4</v>
      </c>
      <c r="AM19" s="528">
        <v>0.13793103448275862</v>
      </c>
    </row>
    <row r="20" spans="5:39" x14ac:dyDescent="0.25">
      <c r="E20" s="49">
        <v>175</v>
      </c>
      <c r="F20" s="50">
        <v>1</v>
      </c>
      <c r="G20" s="524">
        <v>1.4285714285714285E-2</v>
      </c>
      <c r="U20" s="49">
        <v>178</v>
      </c>
      <c r="V20" s="50">
        <v>1</v>
      </c>
      <c r="W20" s="526">
        <v>2.4390243902439025E-2</v>
      </c>
      <c r="AK20" s="49">
        <v>188</v>
      </c>
      <c r="AL20" s="50">
        <v>1</v>
      </c>
      <c r="AM20" s="528">
        <v>3.4482758620689655E-2</v>
      </c>
    </row>
    <row r="21" spans="5:39" x14ac:dyDescent="0.25">
      <c r="E21" s="49">
        <v>176</v>
      </c>
      <c r="F21" s="50">
        <v>6</v>
      </c>
      <c r="G21" s="524">
        <v>8.5714285714285715E-2</v>
      </c>
      <c r="U21" s="49">
        <v>180</v>
      </c>
      <c r="V21" s="50">
        <v>3</v>
      </c>
      <c r="W21" s="526">
        <v>7.3170731707317069E-2</v>
      </c>
      <c r="AK21" s="49">
        <v>195</v>
      </c>
      <c r="AL21" s="50">
        <v>1</v>
      </c>
      <c r="AM21" s="528">
        <v>3.4482758620689655E-2</v>
      </c>
    </row>
    <row r="22" spans="5:39" x14ac:dyDescent="0.25">
      <c r="E22" s="49">
        <v>178</v>
      </c>
      <c r="F22" s="50">
        <v>3</v>
      </c>
      <c r="G22" s="524">
        <v>4.2857142857142858E-2</v>
      </c>
      <c r="U22" s="49">
        <v>182</v>
      </c>
      <c r="V22" s="50">
        <v>3</v>
      </c>
      <c r="W22" s="526">
        <v>7.3170731707317069E-2</v>
      </c>
    </row>
    <row r="23" spans="5:39" x14ac:dyDescent="0.25">
      <c r="E23" s="49">
        <v>180</v>
      </c>
      <c r="F23" s="50">
        <v>4</v>
      </c>
      <c r="G23" s="524">
        <v>5.7142857142857141E-2</v>
      </c>
      <c r="U23" s="49">
        <v>183</v>
      </c>
      <c r="V23" s="50">
        <v>2</v>
      </c>
      <c r="W23" s="526">
        <v>4.878048780487805E-2</v>
      </c>
    </row>
    <row r="24" spans="5:39" x14ac:dyDescent="0.25">
      <c r="E24" s="49">
        <v>182</v>
      </c>
      <c r="F24" s="50">
        <v>5</v>
      </c>
      <c r="G24" s="524">
        <v>7.1428571428571425E-2</v>
      </c>
      <c r="U24" s="49">
        <v>184</v>
      </c>
      <c r="V24" s="50">
        <v>1</v>
      </c>
      <c r="W24" s="526">
        <v>2.4390243902439025E-2</v>
      </c>
    </row>
    <row r="25" spans="5:39" x14ac:dyDescent="0.25">
      <c r="E25" s="49">
        <v>183</v>
      </c>
      <c r="F25" s="52">
        <v>4</v>
      </c>
      <c r="G25" s="525">
        <v>5.7142857142857141E-2</v>
      </c>
      <c r="U25" s="49">
        <v>185</v>
      </c>
      <c r="V25" s="50">
        <v>3</v>
      </c>
      <c r="W25" s="526">
        <v>7.3170731707317069E-2</v>
      </c>
    </row>
    <row r="26" spans="5:39" x14ac:dyDescent="0.25">
      <c r="E26" s="49">
        <v>184</v>
      </c>
      <c r="F26" s="50">
        <v>3</v>
      </c>
      <c r="G26" s="524">
        <v>4.2857142857142858E-2</v>
      </c>
      <c r="U26" s="49">
        <v>187</v>
      </c>
      <c r="V26" s="50">
        <v>2</v>
      </c>
      <c r="W26" s="526">
        <v>4.878048780487805E-2</v>
      </c>
    </row>
    <row r="27" spans="5:39" x14ac:dyDescent="0.25">
      <c r="E27" s="49">
        <v>185</v>
      </c>
      <c r="F27" s="50">
        <v>7</v>
      </c>
      <c r="G27" s="524">
        <v>0.1</v>
      </c>
      <c r="U27" s="49">
        <v>189</v>
      </c>
      <c r="V27" s="50">
        <v>1</v>
      </c>
      <c r="W27" s="526">
        <v>2.4390243902439025E-2</v>
      </c>
    </row>
    <row r="28" spans="5:39" x14ac:dyDescent="0.25">
      <c r="E28" s="49">
        <v>187</v>
      </c>
      <c r="F28" s="50">
        <v>2</v>
      </c>
      <c r="G28" s="524">
        <v>2.8571428571428571E-2</v>
      </c>
      <c r="U28" s="49">
        <v>190</v>
      </c>
      <c r="V28" s="50">
        <v>1</v>
      </c>
      <c r="W28" s="526">
        <v>2.4390243902439025E-2</v>
      </c>
    </row>
    <row r="29" spans="5:39" x14ac:dyDescent="0.25">
      <c r="E29" s="49">
        <v>188</v>
      </c>
      <c r="F29" s="50">
        <v>1</v>
      </c>
      <c r="G29" s="524">
        <v>1.4285714285714285E-2</v>
      </c>
      <c r="U29" s="49">
        <v>193</v>
      </c>
      <c r="V29" s="50">
        <v>2</v>
      </c>
      <c r="W29" s="526">
        <v>4.878048780487805E-2</v>
      </c>
    </row>
    <row r="30" spans="5:39" x14ac:dyDescent="0.25">
      <c r="E30" s="49">
        <v>189</v>
      </c>
      <c r="F30" s="50">
        <v>1</v>
      </c>
      <c r="G30" s="524">
        <v>1.4285714285714285E-2</v>
      </c>
    </row>
    <row r="31" spans="5:39" x14ac:dyDescent="0.25">
      <c r="E31" s="49">
        <v>190</v>
      </c>
      <c r="F31" s="50">
        <v>1</v>
      </c>
      <c r="G31" s="524">
        <v>1.4285714285714285E-2</v>
      </c>
    </row>
    <row r="32" spans="5:39" x14ac:dyDescent="0.25">
      <c r="E32" s="49">
        <v>193</v>
      </c>
      <c r="F32" s="50">
        <v>2</v>
      </c>
      <c r="G32" s="524">
        <v>2.8571428571428571E-2</v>
      </c>
    </row>
    <row r="33" spans="5:7" x14ac:dyDescent="0.25">
      <c r="E33" s="49">
        <v>195</v>
      </c>
      <c r="F33" s="50">
        <v>1</v>
      </c>
      <c r="G33" s="524">
        <v>1.4285714285714285E-2</v>
      </c>
    </row>
    <row r="36" spans="5:7" x14ac:dyDescent="0.25">
      <c r="E36" s="8">
        <f>COUNT(E7:E33)</f>
        <v>27</v>
      </c>
    </row>
  </sheetData>
  <mergeCells count="3">
    <mergeCell ref="A1:O1"/>
    <mergeCell ref="Q1:AE1"/>
    <mergeCell ref="AG1:AU1"/>
  </mergeCells>
  <pageMargins left="0.70866141732283472" right="0.70866141732283472" top="0.78740157480314965" bottom="0.78740157480314965" header="0.31496062992125984" footer="0.31496062992125984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62"/>
  <sheetViews>
    <sheetView topLeftCell="A19" workbookViewId="0">
      <selection activeCell="D41" sqref="D41"/>
    </sheetView>
  </sheetViews>
  <sheetFormatPr baseColWidth="10" defaultRowHeight="15" x14ac:dyDescent="0.25"/>
  <cols>
    <col min="1" max="1" width="6.7109375" customWidth="1"/>
    <col min="2" max="2" width="7.5703125" customWidth="1"/>
    <col min="3" max="3" width="6.7109375" customWidth="1"/>
    <col min="4" max="4" width="6.140625" customWidth="1"/>
    <col min="5" max="5" width="11.7109375" customWidth="1"/>
    <col min="6" max="6" width="16" customWidth="1"/>
    <col min="7" max="7" width="12.7109375" customWidth="1"/>
    <col min="14" max="23" width="6.7109375" customWidth="1"/>
  </cols>
  <sheetData>
    <row r="3" spans="1:23" ht="27" thickBot="1" x14ac:dyDescent="0.5">
      <c r="A3" s="450" t="s">
        <v>178</v>
      </c>
      <c r="B3" s="451" t="s">
        <v>205</v>
      </c>
      <c r="C3" s="452" t="s">
        <v>206</v>
      </c>
      <c r="D3" s="450" t="s">
        <v>215</v>
      </c>
      <c r="E3" s="450" t="s">
        <v>216</v>
      </c>
      <c r="F3" s="450" t="s">
        <v>214</v>
      </c>
      <c r="G3" s="452" t="s">
        <v>211</v>
      </c>
    </row>
    <row r="4" spans="1:23" ht="24" thickBot="1" x14ac:dyDescent="0.4">
      <c r="A4" s="455">
        <v>0</v>
      </c>
      <c r="B4" s="455">
        <v>18</v>
      </c>
      <c r="C4" s="455"/>
      <c r="D4" s="455"/>
      <c r="E4" s="455"/>
      <c r="F4" s="455"/>
      <c r="G4" s="456">
        <v>0</v>
      </c>
      <c r="I4" s="2">
        <v>19</v>
      </c>
      <c r="J4" s="2">
        <v>3</v>
      </c>
      <c r="K4" s="2">
        <v>4.2857142857142858E-2</v>
      </c>
      <c r="N4" s="465">
        <v>19</v>
      </c>
      <c r="O4" s="465">
        <v>20</v>
      </c>
      <c r="P4" s="466">
        <v>21</v>
      </c>
      <c r="Q4" s="467">
        <v>22</v>
      </c>
      <c r="R4" s="468">
        <v>23</v>
      </c>
      <c r="S4" s="468">
        <v>24</v>
      </c>
      <c r="T4" s="469">
        <v>25</v>
      </c>
      <c r="U4" s="469">
        <v>26</v>
      </c>
      <c r="V4" s="469">
        <v>27</v>
      </c>
      <c r="W4" s="469">
        <v>28</v>
      </c>
    </row>
    <row r="5" spans="1:23" ht="23.25" x14ac:dyDescent="0.35">
      <c r="A5" s="470">
        <v>1</v>
      </c>
      <c r="B5" s="470">
        <v>20</v>
      </c>
      <c r="C5" s="470">
        <f>B5-B4</f>
        <v>2</v>
      </c>
      <c r="D5" s="470">
        <f>J4+J5</f>
        <v>13</v>
      </c>
      <c r="E5" s="471">
        <f>K4+K5</f>
        <v>0.18571428571428572</v>
      </c>
      <c r="F5" s="473">
        <f>ROUND(SUMPRODUCT(I4:I5,J4:J5)/SUM(J4:J5),3)</f>
        <v>19.768999999999998</v>
      </c>
      <c r="G5" s="473">
        <f>G4+E5</f>
        <v>0.18571428571428572</v>
      </c>
      <c r="I5" s="2">
        <v>20</v>
      </c>
      <c r="J5" s="2">
        <v>10</v>
      </c>
      <c r="K5" s="2">
        <v>0.14285714285714285</v>
      </c>
      <c r="N5" s="460">
        <v>3</v>
      </c>
      <c r="O5" s="460">
        <v>10</v>
      </c>
      <c r="P5" s="461">
        <v>11</v>
      </c>
      <c r="Q5" s="462">
        <v>14</v>
      </c>
      <c r="R5" s="463">
        <v>9</v>
      </c>
      <c r="S5" s="463">
        <v>6</v>
      </c>
      <c r="T5" s="464">
        <v>8</v>
      </c>
      <c r="U5" s="464">
        <v>6</v>
      </c>
      <c r="V5" s="464">
        <v>1</v>
      </c>
      <c r="W5" s="464">
        <v>2</v>
      </c>
    </row>
    <row r="6" spans="1:23" ht="23.25" x14ac:dyDescent="0.35">
      <c r="A6" s="474">
        <v>2</v>
      </c>
      <c r="B6" s="474">
        <v>21</v>
      </c>
      <c r="C6" s="474">
        <f t="shared" ref="C6:C9" si="0">B6-B5</f>
        <v>1</v>
      </c>
      <c r="D6" s="474">
        <f>J6</f>
        <v>11</v>
      </c>
      <c r="E6" s="475">
        <f>K6</f>
        <v>0.15714285714285714</v>
      </c>
      <c r="F6" s="477">
        <f>21</f>
        <v>21</v>
      </c>
      <c r="G6" s="477">
        <f>G5+E6</f>
        <v>0.34285714285714286</v>
      </c>
      <c r="I6" s="48">
        <v>21</v>
      </c>
      <c r="J6" s="48">
        <v>11</v>
      </c>
      <c r="K6" s="48">
        <v>0.15714285714285714</v>
      </c>
    </row>
    <row r="7" spans="1:23" ht="23.25" x14ac:dyDescent="0.35">
      <c r="A7" s="478">
        <v>3</v>
      </c>
      <c r="B7" s="478">
        <v>22</v>
      </c>
      <c r="C7" s="478">
        <f t="shared" si="0"/>
        <v>1</v>
      </c>
      <c r="D7" s="478">
        <f>J7</f>
        <v>14</v>
      </c>
      <c r="E7" s="479">
        <f>K7</f>
        <v>0.2</v>
      </c>
      <c r="F7" s="481">
        <f>22</f>
        <v>22</v>
      </c>
      <c r="G7" s="481">
        <f>G6+E7</f>
        <v>0.54285714285714293</v>
      </c>
      <c r="I7" s="436">
        <v>22</v>
      </c>
      <c r="J7" s="436">
        <v>14</v>
      </c>
      <c r="K7" s="436">
        <v>0.2</v>
      </c>
    </row>
    <row r="8" spans="1:23" ht="23.25" x14ac:dyDescent="0.35">
      <c r="A8" s="486">
        <v>4</v>
      </c>
      <c r="B8" s="486">
        <v>24</v>
      </c>
      <c r="C8" s="486">
        <f t="shared" si="0"/>
        <v>2</v>
      </c>
      <c r="D8" s="486">
        <f>J8+J9</f>
        <v>15</v>
      </c>
      <c r="E8" s="487">
        <f>K8+K9</f>
        <v>0.21428571428571427</v>
      </c>
      <c r="F8" s="489">
        <f>ROUND(SUMPRODUCT(I8:I9,J8:J9)/SUM(J8:J9),3)</f>
        <v>23.4</v>
      </c>
      <c r="G8" s="489">
        <f>G7+E8</f>
        <v>0.75714285714285723</v>
      </c>
      <c r="I8" s="437">
        <v>23</v>
      </c>
      <c r="J8" s="437">
        <v>9</v>
      </c>
      <c r="K8" s="437">
        <v>0.12857142857142856</v>
      </c>
    </row>
    <row r="9" spans="1:23" ht="23.25" x14ac:dyDescent="0.35">
      <c r="A9" s="482">
        <v>5</v>
      </c>
      <c r="B9" s="482">
        <v>30</v>
      </c>
      <c r="C9" s="482">
        <f t="shared" si="0"/>
        <v>6</v>
      </c>
      <c r="D9" s="482">
        <f>SUM(J10:J13)</f>
        <v>17</v>
      </c>
      <c r="E9" s="483">
        <f>SUM(K10:K13)</f>
        <v>0.24285714285714288</v>
      </c>
      <c r="F9" s="485">
        <f>ROUND(SUMPRODUCT(I10:I13,J10:J13)/SUM(J10:J13),3)</f>
        <v>25.824000000000002</v>
      </c>
      <c r="G9" s="485">
        <f>G8+E9</f>
        <v>1</v>
      </c>
      <c r="I9" s="437">
        <v>24</v>
      </c>
      <c r="J9" s="437">
        <v>6</v>
      </c>
      <c r="K9" s="437">
        <v>8.5714285714285715E-2</v>
      </c>
    </row>
    <row r="10" spans="1:23" ht="23.25" x14ac:dyDescent="0.35">
      <c r="A10" s="457"/>
      <c r="B10" s="449"/>
      <c r="C10" s="449"/>
      <c r="D10" s="449"/>
      <c r="E10" s="449"/>
      <c r="F10" s="449"/>
      <c r="G10" s="449"/>
      <c r="I10" s="47">
        <v>25</v>
      </c>
      <c r="J10" s="47">
        <v>8</v>
      </c>
      <c r="K10" s="47">
        <v>0.11428571428571428</v>
      </c>
    </row>
    <row r="11" spans="1:23" ht="23.25" x14ac:dyDescent="0.35">
      <c r="A11" s="449"/>
      <c r="B11" s="458" t="s">
        <v>210</v>
      </c>
      <c r="D11" s="455">
        <f>SUM(D5:D9)</f>
        <v>70</v>
      </c>
      <c r="E11" s="459">
        <f>SUM(E5:E9)</f>
        <v>1</v>
      </c>
      <c r="F11" s="449"/>
      <c r="G11" s="449"/>
      <c r="I11" s="47">
        <v>26</v>
      </c>
      <c r="J11" s="47">
        <v>6</v>
      </c>
      <c r="K11" s="47">
        <v>8.5714285714285715E-2</v>
      </c>
    </row>
    <row r="12" spans="1:23" ht="23.25" x14ac:dyDescent="0.35">
      <c r="A12" s="449"/>
      <c r="B12" s="449"/>
      <c r="C12" s="449"/>
      <c r="D12" s="449"/>
      <c r="E12" s="449"/>
      <c r="F12" s="449"/>
      <c r="G12" s="449"/>
      <c r="I12" s="47">
        <v>27</v>
      </c>
      <c r="J12" s="47">
        <v>1</v>
      </c>
      <c r="K12" s="47">
        <v>1.4285714285714285E-2</v>
      </c>
      <c r="M12">
        <f>ROUND(SUMPRODUCT(E5:E9,F5:F9),3)</f>
        <v>22.657</v>
      </c>
    </row>
    <row r="13" spans="1:23" x14ac:dyDescent="0.25">
      <c r="I13" s="47">
        <v>28</v>
      </c>
      <c r="J13" s="47">
        <v>2</v>
      </c>
      <c r="K13" s="47">
        <v>2.8571428571428571E-2</v>
      </c>
    </row>
    <row r="15" spans="1:23" x14ac:dyDescent="0.25">
      <c r="J15">
        <f>SUM(J4:J13)</f>
        <v>70</v>
      </c>
    </row>
    <row r="17" spans="2:6" x14ac:dyDescent="0.25">
      <c r="B17">
        <v>18</v>
      </c>
      <c r="C17">
        <v>0</v>
      </c>
      <c r="E17">
        <v>18</v>
      </c>
      <c r="F17">
        <f>0</f>
        <v>0</v>
      </c>
    </row>
    <row r="18" spans="2:6" x14ac:dyDescent="0.25">
      <c r="B18">
        <v>18</v>
      </c>
      <c r="C18">
        <f>F5</f>
        <v>19.768999999999998</v>
      </c>
      <c r="E18">
        <v>20</v>
      </c>
      <c r="F18" s="438">
        <f>E5+F17</f>
        <v>0.18571428571428572</v>
      </c>
    </row>
    <row r="19" spans="2:6" x14ac:dyDescent="0.25">
      <c r="B19">
        <v>20</v>
      </c>
      <c r="C19">
        <f>F5</f>
        <v>19.768999999999998</v>
      </c>
      <c r="E19">
        <v>21</v>
      </c>
      <c r="F19" s="438">
        <f t="shared" ref="F19:F22" si="1">E6+F18</f>
        <v>0.34285714285714286</v>
      </c>
    </row>
    <row r="20" spans="2:6" x14ac:dyDescent="0.25">
      <c r="B20">
        <v>20</v>
      </c>
      <c r="C20">
        <f>F6</f>
        <v>21</v>
      </c>
      <c r="E20">
        <v>22</v>
      </c>
      <c r="F20" s="438">
        <f t="shared" si="1"/>
        <v>0.54285714285714293</v>
      </c>
    </row>
    <row r="21" spans="2:6" x14ac:dyDescent="0.25">
      <c r="B21">
        <v>21</v>
      </c>
      <c r="C21">
        <f>F6</f>
        <v>21</v>
      </c>
      <c r="E21">
        <v>24</v>
      </c>
      <c r="F21" s="438">
        <f t="shared" si="1"/>
        <v>0.75714285714285723</v>
      </c>
    </row>
    <row r="22" spans="2:6" x14ac:dyDescent="0.25">
      <c r="B22">
        <v>21</v>
      </c>
      <c r="C22">
        <f>F7</f>
        <v>22</v>
      </c>
      <c r="E22">
        <v>30</v>
      </c>
      <c r="F22" s="438">
        <f t="shared" si="1"/>
        <v>1</v>
      </c>
    </row>
    <row r="23" spans="2:6" x14ac:dyDescent="0.25">
      <c r="B23">
        <v>22</v>
      </c>
      <c r="C23">
        <f>F7</f>
        <v>22</v>
      </c>
    </row>
    <row r="24" spans="2:6" x14ac:dyDescent="0.25">
      <c r="B24">
        <v>22</v>
      </c>
      <c r="C24">
        <f>F8</f>
        <v>23.4</v>
      </c>
      <c r="F24" s="438"/>
    </row>
    <row r="25" spans="2:6" x14ac:dyDescent="0.25">
      <c r="B25">
        <v>24</v>
      </c>
      <c r="C25">
        <f>F8</f>
        <v>23.4</v>
      </c>
    </row>
    <row r="26" spans="2:6" x14ac:dyDescent="0.25">
      <c r="B26">
        <v>24</v>
      </c>
      <c r="C26">
        <f>F9</f>
        <v>25.824000000000002</v>
      </c>
    </row>
    <row r="27" spans="2:6" x14ac:dyDescent="0.25">
      <c r="B27">
        <v>30</v>
      </c>
      <c r="C27">
        <f>F9</f>
        <v>25.824000000000002</v>
      </c>
    </row>
    <row r="28" spans="2:6" x14ac:dyDescent="0.25">
      <c r="B28">
        <v>30</v>
      </c>
      <c r="C28">
        <f>0</f>
        <v>0</v>
      </c>
    </row>
    <row r="35" spans="1:11" ht="27" thickBot="1" x14ac:dyDescent="0.5">
      <c r="A35" s="450" t="s">
        <v>178</v>
      </c>
      <c r="B35" s="451" t="s">
        <v>205</v>
      </c>
      <c r="C35" s="452" t="s">
        <v>206</v>
      </c>
      <c r="D35" s="450" t="s">
        <v>215</v>
      </c>
      <c r="E35" s="450" t="s">
        <v>216</v>
      </c>
      <c r="F35" s="621" t="s">
        <v>232</v>
      </c>
      <c r="G35" s="452" t="s">
        <v>233</v>
      </c>
    </row>
    <row r="36" spans="1:11" ht="23.25" x14ac:dyDescent="0.35">
      <c r="A36" s="455">
        <v>0</v>
      </c>
      <c r="B36" s="455">
        <v>155</v>
      </c>
      <c r="C36" s="455"/>
      <c r="D36" s="455"/>
      <c r="E36" s="455"/>
      <c r="F36" s="455"/>
      <c r="G36" s="456">
        <v>0</v>
      </c>
      <c r="I36" s="2">
        <v>155</v>
      </c>
      <c r="J36" s="2">
        <v>1</v>
      </c>
      <c r="K36" s="2">
        <v>1.4285714285714285E-2</v>
      </c>
    </row>
    <row r="37" spans="1:11" ht="23.25" x14ac:dyDescent="0.35">
      <c r="A37" s="470">
        <v>1</v>
      </c>
      <c r="B37" s="470">
        <v>165</v>
      </c>
      <c r="C37" s="470">
        <f>B37-B36</f>
        <v>10</v>
      </c>
      <c r="D37" s="470">
        <f>SUM(J36:J40)</f>
        <v>11</v>
      </c>
      <c r="E37" s="471">
        <f>SUM(K36:K40)</f>
        <v>0.15714285714285714</v>
      </c>
      <c r="F37" s="473">
        <f>ROUND(SUMPRODUCT(I36:I40,J36:J40)/SUM(J36:J40),3)</f>
        <v>160.81800000000001</v>
      </c>
      <c r="G37" s="473">
        <f t="shared" ref="G37:G42" si="2">G36+E37</f>
        <v>0.15714285714285714</v>
      </c>
      <c r="I37" s="2">
        <v>160</v>
      </c>
      <c r="J37" s="2">
        <v>5</v>
      </c>
      <c r="K37" s="2">
        <v>7.1428571428571425E-2</v>
      </c>
    </row>
    <row r="38" spans="1:11" ht="23.25" x14ac:dyDescent="0.35">
      <c r="A38" s="474">
        <v>2</v>
      </c>
      <c r="B38" s="474">
        <v>171</v>
      </c>
      <c r="C38" s="474">
        <f t="shared" ref="C38:C42" si="3">B38-B37</f>
        <v>6</v>
      </c>
      <c r="D38" s="474">
        <f>SUM(J41:J44)</f>
        <v>12</v>
      </c>
      <c r="E38" s="475">
        <f>SUM(K41:K44)</f>
        <v>0.17142857142857143</v>
      </c>
      <c r="F38" s="477">
        <f>ROUND(SUMPRODUCT(I41:I44,J41:J44)/SUM(J41:J44),3)</f>
        <v>168.5</v>
      </c>
      <c r="G38" s="477">
        <f t="shared" si="2"/>
        <v>0.32857142857142857</v>
      </c>
      <c r="I38" s="2">
        <v>161</v>
      </c>
      <c r="J38" s="2">
        <v>1</v>
      </c>
      <c r="K38" s="2">
        <v>1.4285714285714285E-2</v>
      </c>
    </row>
    <row r="39" spans="1:11" ht="23.25" x14ac:dyDescent="0.35">
      <c r="A39" s="478">
        <v>3</v>
      </c>
      <c r="B39" s="478">
        <v>177</v>
      </c>
      <c r="C39" s="478">
        <f t="shared" si="3"/>
        <v>6</v>
      </c>
      <c r="D39" s="478">
        <f>SUM(J45:J50)</f>
        <v>13</v>
      </c>
      <c r="E39" s="479">
        <f>SUM(K45:K50)</f>
        <v>0.18571428571428572</v>
      </c>
      <c r="F39" s="481">
        <f>ROUND(SUMPRODUCT(I45:I50,J45:J50)/SUM(J45:J50),3)</f>
        <v>174.53800000000001</v>
      </c>
      <c r="G39" s="481">
        <f t="shared" si="2"/>
        <v>0.51428571428571423</v>
      </c>
      <c r="I39" s="2">
        <v>163</v>
      </c>
      <c r="J39" s="2">
        <v>3</v>
      </c>
      <c r="K39" s="2">
        <v>4.2857142857142858E-2</v>
      </c>
    </row>
    <row r="40" spans="1:11" ht="23.25" x14ac:dyDescent="0.35">
      <c r="A40" s="486">
        <v>4</v>
      </c>
      <c r="B40" s="486">
        <v>183</v>
      </c>
      <c r="C40" s="486">
        <f t="shared" si="3"/>
        <v>6</v>
      </c>
      <c r="D40" s="486">
        <f>SUM(J51:J53)</f>
        <v>12</v>
      </c>
      <c r="E40" s="487">
        <f>SUM(K51:K53)</f>
        <v>0.17142857142857143</v>
      </c>
      <c r="F40" s="489">
        <f>ROUND(SUMPRODUCT(I51:I53,J51:J53)/SUM(J51:J53),3)</f>
        <v>180.333</v>
      </c>
      <c r="G40" s="489">
        <f t="shared" si="2"/>
        <v>0.68571428571428572</v>
      </c>
      <c r="I40" s="2">
        <v>164</v>
      </c>
      <c r="J40" s="2">
        <v>1</v>
      </c>
      <c r="K40" s="2">
        <v>1.4285714285714285E-2</v>
      </c>
    </row>
    <row r="41" spans="1:11" ht="23.25" x14ac:dyDescent="0.35">
      <c r="A41" s="482">
        <v>5</v>
      </c>
      <c r="B41" s="482">
        <v>186</v>
      </c>
      <c r="C41" s="482">
        <f t="shared" si="3"/>
        <v>3</v>
      </c>
      <c r="D41" s="482">
        <f>SUM(J54:J56)</f>
        <v>14</v>
      </c>
      <c r="E41" s="483">
        <f>SUM(K54:K56)</f>
        <v>0.2</v>
      </c>
      <c r="F41" s="485">
        <f>ROUND(SUMPRODUCT(I54:I56,J54:J56)/SUM(J54:J56),3)</f>
        <v>184.214</v>
      </c>
      <c r="G41" s="485">
        <f t="shared" si="2"/>
        <v>0.88571428571428568</v>
      </c>
      <c r="I41" s="48">
        <v>165</v>
      </c>
      <c r="J41" s="48">
        <v>3</v>
      </c>
      <c r="K41" s="48">
        <v>4.2857142857142858E-2</v>
      </c>
    </row>
    <row r="42" spans="1:11" ht="23.25" x14ac:dyDescent="0.35">
      <c r="A42" s="618">
        <v>6</v>
      </c>
      <c r="B42" s="618">
        <v>195</v>
      </c>
      <c r="C42" s="618">
        <f t="shared" si="3"/>
        <v>9</v>
      </c>
      <c r="D42" s="618">
        <f>SUM(J57:J62)</f>
        <v>8</v>
      </c>
      <c r="E42" s="619">
        <f>SUM(K57:K62)</f>
        <v>0.11428571428571428</v>
      </c>
      <c r="F42" s="620">
        <f>ROUND(SUMPRODUCT(I57:I62,J57:J62)/SUM(J57:J62),3)</f>
        <v>190.25</v>
      </c>
      <c r="G42" s="620">
        <f t="shared" si="2"/>
        <v>1</v>
      </c>
      <c r="I42" s="48">
        <v>168</v>
      </c>
      <c r="J42" s="48">
        <v>1</v>
      </c>
      <c r="K42" s="48">
        <v>1.4285714285714285E-2</v>
      </c>
    </row>
    <row r="43" spans="1:11" ht="23.25" x14ac:dyDescent="0.35">
      <c r="A43" s="457"/>
      <c r="B43" s="449"/>
      <c r="C43" s="449"/>
      <c r="D43" s="449"/>
      <c r="E43" s="449"/>
      <c r="F43" s="449"/>
      <c r="G43" s="449"/>
      <c r="I43" s="48">
        <v>169</v>
      </c>
      <c r="J43" s="48">
        <v>1</v>
      </c>
      <c r="K43" s="48">
        <v>1.4285714285714285E-2</v>
      </c>
    </row>
    <row r="44" spans="1:11" ht="23.25" x14ac:dyDescent="0.35">
      <c r="A44" s="449"/>
      <c r="B44" s="458" t="s">
        <v>210</v>
      </c>
      <c r="D44" s="455">
        <f>SUM(D37:D42)</f>
        <v>70</v>
      </c>
      <c r="E44" s="459">
        <f>SUM(E37:E42)</f>
        <v>1</v>
      </c>
      <c r="F44" s="449"/>
      <c r="G44" s="449"/>
      <c r="I44" s="48">
        <v>170</v>
      </c>
      <c r="J44" s="48">
        <v>7</v>
      </c>
      <c r="K44" s="48">
        <v>0.1</v>
      </c>
    </row>
    <row r="45" spans="1:11" x14ac:dyDescent="0.25">
      <c r="I45" s="436">
        <v>171</v>
      </c>
      <c r="J45" s="436">
        <v>1</v>
      </c>
      <c r="K45" s="436">
        <v>1.4285714285714285E-2</v>
      </c>
    </row>
    <row r="46" spans="1:11" x14ac:dyDescent="0.25">
      <c r="I46" s="436">
        <v>172</v>
      </c>
      <c r="J46" s="436">
        <v>1</v>
      </c>
      <c r="K46" s="436">
        <v>1.4285714285714285E-2</v>
      </c>
    </row>
    <row r="47" spans="1:11" x14ac:dyDescent="0.25">
      <c r="I47" s="436">
        <v>173</v>
      </c>
      <c r="J47" s="436">
        <v>1</v>
      </c>
      <c r="K47" s="436">
        <v>1.4285714285714285E-2</v>
      </c>
    </row>
    <row r="48" spans="1:11" x14ac:dyDescent="0.25">
      <c r="I48" s="436">
        <v>174</v>
      </c>
      <c r="J48" s="436">
        <v>3</v>
      </c>
      <c r="K48" s="436">
        <v>4.2857142857142858E-2</v>
      </c>
    </row>
    <row r="49" spans="9:11" x14ac:dyDescent="0.25">
      <c r="I49" s="436">
        <v>175</v>
      </c>
      <c r="J49" s="436">
        <v>1</v>
      </c>
      <c r="K49" s="436">
        <v>1.4285714285714285E-2</v>
      </c>
    </row>
    <row r="50" spans="9:11" x14ac:dyDescent="0.25">
      <c r="I50" s="436">
        <v>176</v>
      </c>
      <c r="J50" s="436">
        <v>6</v>
      </c>
      <c r="K50" s="436">
        <v>8.5714285714285715E-2</v>
      </c>
    </row>
    <row r="51" spans="9:11" x14ac:dyDescent="0.25">
      <c r="I51" s="437">
        <v>178</v>
      </c>
      <c r="J51" s="437">
        <v>3</v>
      </c>
      <c r="K51" s="437">
        <v>4.2857142857142858E-2</v>
      </c>
    </row>
    <row r="52" spans="9:11" x14ac:dyDescent="0.25">
      <c r="I52" s="437">
        <v>180</v>
      </c>
      <c r="J52" s="437">
        <v>4</v>
      </c>
      <c r="K52" s="437">
        <v>5.7142857142857141E-2</v>
      </c>
    </row>
    <row r="53" spans="9:11" x14ac:dyDescent="0.25">
      <c r="I53" s="437">
        <v>182</v>
      </c>
      <c r="J53" s="437">
        <v>5</v>
      </c>
      <c r="K53" s="437">
        <v>7.1428571428571425E-2</v>
      </c>
    </row>
    <row r="54" spans="9:11" x14ac:dyDescent="0.25">
      <c r="I54" s="47">
        <v>183</v>
      </c>
      <c r="J54" s="47">
        <v>4</v>
      </c>
      <c r="K54" s="47">
        <v>5.7142857142857141E-2</v>
      </c>
    </row>
    <row r="55" spans="9:11" x14ac:dyDescent="0.25">
      <c r="I55" s="47">
        <v>184</v>
      </c>
      <c r="J55" s="47">
        <v>3</v>
      </c>
      <c r="K55" s="47">
        <v>4.2857142857142858E-2</v>
      </c>
    </row>
    <row r="56" spans="9:11" x14ac:dyDescent="0.25">
      <c r="I56" s="47">
        <v>185</v>
      </c>
      <c r="J56" s="47">
        <v>7</v>
      </c>
      <c r="K56" s="47">
        <v>0.1</v>
      </c>
    </row>
    <row r="57" spans="9:11" x14ac:dyDescent="0.25">
      <c r="I57" s="617">
        <v>187</v>
      </c>
      <c r="J57" s="617">
        <v>2</v>
      </c>
      <c r="K57" s="617">
        <v>2.8571428571428571E-2</v>
      </c>
    </row>
    <row r="58" spans="9:11" x14ac:dyDescent="0.25">
      <c r="I58" s="617">
        <v>188</v>
      </c>
      <c r="J58" s="617">
        <v>1</v>
      </c>
      <c r="K58" s="617">
        <v>1.4285714285714285E-2</v>
      </c>
    </row>
    <row r="59" spans="9:11" x14ac:dyDescent="0.25">
      <c r="I59" s="617">
        <v>189</v>
      </c>
      <c r="J59" s="617">
        <v>1</v>
      </c>
      <c r="K59" s="617">
        <v>1.4285714285714285E-2</v>
      </c>
    </row>
    <row r="60" spans="9:11" x14ac:dyDescent="0.25">
      <c r="I60" s="617">
        <v>190</v>
      </c>
      <c r="J60" s="617">
        <v>1</v>
      </c>
      <c r="K60" s="617">
        <v>1.4285714285714285E-2</v>
      </c>
    </row>
    <row r="61" spans="9:11" x14ac:dyDescent="0.25">
      <c r="I61" s="617">
        <v>193</v>
      </c>
      <c r="J61" s="617">
        <v>2</v>
      </c>
      <c r="K61" s="617">
        <v>2.8571428571428571E-2</v>
      </c>
    </row>
    <row r="62" spans="9:11" x14ac:dyDescent="0.25">
      <c r="I62" s="617">
        <v>195</v>
      </c>
      <c r="J62" s="617">
        <v>1</v>
      </c>
      <c r="K62" s="617">
        <v>1.4285714285714285E-2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>
    <pageSetUpPr fitToPage="1"/>
  </sheetPr>
  <dimension ref="A1:W28"/>
  <sheetViews>
    <sheetView tabSelected="1" workbookViewId="0">
      <selection activeCell="W5" sqref="W5:W7"/>
    </sheetView>
  </sheetViews>
  <sheetFormatPr baseColWidth="10" defaultColWidth="11.42578125" defaultRowHeight="15" x14ac:dyDescent="0.25"/>
  <cols>
    <col min="1" max="1" width="7.7109375" style="8" customWidth="1"/>
    <col min="2" max="2" width="6.7109375" style="18" customWidth="1"/>
    <col min="3" max="3" width="11.5703125" style="8" customWidth="1"/>
    <col min="4" max="4" width="3.7109375" style="8" customWidth="1"/>
    <col min="5" max="5" width="7.7109375" style="8" customWidth="1"/>
    <col min="6" max="6" width="6.7109375" style="8" customWidth="1"/>
    <col min="7" max="7" width="18.28515625" style="8" customWidth="1"/>
    <col min="8" max="8" width="3.7109375" style="8" customWidth="1"/>
    <col min="9" max="9" width="7.7109375" style="8" customWidth="1"/>
    <col min="10" max="10" width="6.7109375" style="8" customWidth="1"/>
    <col min="11" max="11" width="7.7109375" style="8" customWidth="1"/>
    <col min="12" max="12" width="3.7109375" style="8" customWidth="1"/>
    <col min="13" max="13" width="7.7109375" style="8" customWidth="1"/>
    <col min="14" max="14" width="6.7109375" style="8" customWidth="1"/>
    <col min="15" max="15" width="7.7109375" style="8" customWidth="1"/>
    <col min="16" max="16" width="3.7109375" style="8" customWidth="1"/>
    <col min="17" max="17" width="7.7109375" style="8" customWidth="1"/>
    <col min="18" max="18" width="6.7109375" style="8" customWidth="1"/>
    <col min="19" max="19" width="7.7109375" style="8" customWidth="1"/>
    <col min="20" max="20" width="3.7109375" style="8" customWidth="1"/>
    <col min="21" max="21" width="7.7109375" style="8" customWidth="1"/>
    <col min="22" max="22" width="6.7109375" style="8" customWidth="1"/>
    <col min="23" max="23" width="7.7109375" style="8" customWidth="1"/>
    <col min="24" max="16384" width="11.42578125" style="8"/>
  </cols>
  <sheetData>
    <row r="1" spans="1:23" x14ac:dyDescent="0.25">
      <c r="A1" s="749" t="s">
        <v>184</v>
      </c>
      <c r="B1" s="749"/>
      <c r="C1" s="749"/>
      <c r="D1" s="752"/>
      <c r="E1" s="752"/>
      <c r="F1" s="752"/>
      <c r="G1" s="752"/>
      <c r="I1" s="750" t="s">
        <v>163</v>
      </c>
      <c r="J1" s="750"/>
      <c r="K1" s="750"/>
      <c r="L1" s="753"/>
      <c r="M1" s="753"/>
      <c r="N1" s="753"/>
      <c r="O1" s="753"/>
      <c r="Q1" s="751" t="s">
        <v>164</v>
      </c>
      <c r="R1" s="751"/>
      <c r="S1" s="751"/>
      <c r="T1" s="754"/>
      <c r="U1" s="754"/>
      <c r="V1" s="754"/>
      <c r="W1" s="754"/>
    </row>
    <row r="2" spans="1:23" x14ac:dyDescent="0.25">
      <c r="A2" s="56" t="s">
        <v>31</v>
      </c>
      <c r="B2" s="57">
        <f>Urlisten!F12</f>
        <v>70</v>
      </c>
      <c r="C2" s="56" t="s">
        <v>30</v>
      </c>
      <c r="D2" s="58"/>
      <c r="E2" s="58"/>
      <c r="F2" s="58"/>
      <c r="G2" s="58"/>
      <c r="I2" s="59" t="s">
        <v>31</v>
      </c>
      <c r="J2" s="60">
        <f>Urlisten!F23</f>
        <v>41</v>
      </c>
      <c r="K2" s="59" t="s">
        <v>30</v>
      </c>
      <c r="L2" s="29"/>
      <c r="M2" s="29"/>
      <c r="N2" s="29"/>
      <c r="O2" s="29"/>
      <c r="Q2" s="62" t="s">
        <v>31</v>
      </c>
      <c r="R2" s="63">
        <f>Urlisten!F31</f>
        <v>29</v>
      </c>
      <c r="S2" s="62" t="s">
        <v>30</v>
      </c>
      <c r="T2" s="30"/>
      <c r="U2" s="30"/>
      <c r="V2" s="30"/>
      <c r="W2" s="30"/>
    </row>
    <row r="3" spans="1:23" x14ac:dyDescent="0.25">
      <c r="A3" s="1" t="s">
        <v>9</v>
      </c>
      <c r="B3" s="3"/>
      <c r="C3" s="2"/>
      <c r="D3" s="2"/>
      <c r="E3" s="1" t="s">
        <v>11</v>
      </c>
      <c r="F3" s="1"/>
      <c r="G3" s="1"/>
      <c r="I3" s="4" t="s">
        <v>9</v>
      </c>
      <c r="J3" s="61"/>
      <c r="K3" s="47"/>
      <c r="L3" s="47"/>
      <c r="M3" s="4" t="s">
        <v>11</v>
      </c>
      <c r="N3" s="4"/>
      <c r="O3" s="4"/>
      <c r="Q3" s="5" t="s">
        <v>9</v>
      </c>
      <c r="R3" s="64"/>
      <c r="S3" s="48"/>
      <c r="T3" s="48"/>
      <c r="U3" s="5" t="s">
        <v>11</v>
      </c>
      <c r="V3" s="5"/>
      <c r="W3" s="5"/>
    </row>
    <row r="4" spans="1:23" x14ac:dyDescent="0.25">
      <c r="A4" s="8" t="s">
        <v>212</v>
      </c>
      <c r="B4" s="54"/>
      <c r="E4" s="8" t="s">
        <v>212</v>
      </c>
      <c r="F4" s="54"/>
      <c r="I4" s="8" t="s">
        <v>212</v>
      </c>
      <c r="J4" s="54"/>
      <c r="M4" s="8" t="s">
        <v>212</v>
      </c>
      <c r="N4" s="54"/>
      <c r="Q4" s="8" t="s">
        <v>212</v>
      </c>
      <c r="R4" s="54"/>
      <c r="U4" s="8" t="s">
        <v>212</v>
      </c>
      <c r="V4" s="54"/>
    </row>
    <row r="5" spans="1:23" x14ac:dyDescent="0.25">
      <c r="B5" s="18" t="s">
        <v>0</v>
      </c>
      <c r="C5" s="490">
        <f>SUM(Urlisten!C15:EL15)/COUNT(Urlisten!C15:EL15)</f>
        <v>22.657142857142858</v>
      </c>
      <c r="F5" s="18" t="s">
        <v>0</v>
      </c>
      <c r="G5" s="490">
        <f>SUM(Urlisten!C16:EL16)/COUNT(Urlisten!C16:EL16)</f>
        <v>176.07142857142858</v>
      </c>
      <c r="J5" s="18" t="s">
        <v>0</v>
      </c>
      <c r="K5" s="490">
        <f>SUM(Urlisten!C25:BT25)/COUNT(Urlisten!C25:BT25)</f>
        <v>22.487804878048781</v>
      </c>
      <c r="N5" s="18" t="s">
        <v>0</v>
      </c>
      <c r="O5" s="490">
        <f>SUM(Urlisten!C26:BT26)/COUNT(Urlisten!C26:BT26)</f>
        <v>175.46341463414635</v>
      </c>
      <c r="R5" s="18" t="s">
        <v>0</v>
      </c>
      <c r="S5" s="490">
        <f>SUM(Urlisten!C33:BT33)/COUNT(Urlisten!C33:BT33)</f>
        <v>22.896551724137932</v>
      </c>
      <c r="V5" s="18" t="s">
        <v>0</v>
      </c>
      <c r="W5" s="490">
        <f>SUM(Urlisten!C34:BT34)/COUNT(Urlisten!C34:BT34)</f>
        <v>176.93103448275863</v>
      </c>
    </row>
    <row r="6" spans="1:23" x14ac:dyDescent="0.25">
      <c r="B6" s="18" t="s">
        <v>26</v>
      </c>
      <c r="C6" s="490">
        <f>SUMPRODUCT(Häufigkeiten!A7:A31,Häufigkeiten!B7:B31)/Häufigkeiten!B4</f>
        <v>22.657142857142858</v>
      </c>
      <c r="F6" s="18" t="s">
        <v>26</v>
      </c>
      <c r="G6" s="490">
        <f>SUMPRODUCT(Häufigkeiten!E7:E51,Häufigkeiten!F7:F51)/Häufigkeiten!F4</f>
        <v>176.07142857142858</v>
      </c>
      <c r="J6" s="18" t="s">
        <v>26</v>
      </c>
      <c r="K6" s="490">
        <f>SUMPRODUCT(Häufigkeiten!R7:R51,Häufigkeiten!Q7:Q51)/Häufigkeiten!R4</f>
        <v>22.487804878048781</v>
      </c>
      <c r="N6" s="18" t="s">
        <v>26</v>
      </c>
      <c r="O6" s="490">
        <f>SUMPRODUCT(Häufigkeiten!V7:V51,Häufigkeiten!U7:U51)/Häufigkeiten!V4</f>
        <v>175.46341463414635</v>
      </c>
      <c r="R6" s="18" t="s">
        <v>26</v>
      </c>
      <c r="S6" s="490">
        <f>SUMPRODUCT(Häufigkeiten!AH7:AH51,Häufigkeiten!AG7:AG51)/Häufigkeiten!AH4</f>
        <v>22.896551724137932</v>
      </c>
      <c r="V6" s="18" t="s">
        <v>26</v>
      </c>
      <c r="W6" s="490">
        <f>SUMPRODUCT(Häufigkeiten!AL7:AL51,Häufigkeiten!AK7:AK51)/Häufigkeiten!AL4</f>
        <v>176.93103448275863</v>
      </c>
    </row>
    <row r="7" spans="1:23" x14ac:dyDescent="0.25">
      <c r="B7" s="18" t="s">
        <v>27</v>
      </c>
      <c r="C7" s="490">
        <f>SUMPRODUCT(Häufigkeiten!A7:A31,Häufigkeiten!C7:C31)</f>
        <v>22.657142857142858</v>
      </c>
      <c r="F7" s="18" t="s">
        <v>27</v>
      </c>
      <c r="G7" s="490">
        <f>SUMPRODUCT(Häufigkeiten!E7:E51,Häufigkeiten!G7:G51)</f>
        <v>176.07142857142856</v>
      </c>
      <c r="J7" s="18" t="s">
        <v>27</v>
      </c>
      <c r="K7" s="490">
        <f>SUMPRODUCT(Häufigkeiten!S7:S51,Häufigkeiten!Q7:Q51)</f>
        <v>22.487804878048784</v>
      </c>
      <c r="N7" s="18" t="s">
        <v>27</v>
      </c>
      <c r="O7" s="490">
        <f>SUMPRODUCT(Häufigkeiten!W7:W51,Häufigkeiten!U7:U51)</f>
        <v>175.46341463414635</v>
      </c>
      <c r="R7" s="18" t="s">
        <v>27</v>
      </c>
      <c r="S7" s="490">
        <f>SUMPRODUCT(Häufigkeiten!AI7:AI51,Häufigkeiten!AG7:AG51)</f>
        <v>22.896551724137929</v>
      </c>
      <c r="V7" s="18" t="s">
        <v>27</v>
      </c>
      <c r="W7" s="490">
        <f>SUMPRODUCT(Häufigkeiten!AM7:AM51,Häufigkeiten!AK7:AK51)</f>
        <v>176.93103448275861</v>
      </c>
    </row>
    <row r="8" spans="1:23" x14ac:dyDescent="0.25">
      <c r="J8" s="18"/>
      <c r="R8" s="18"/>
    </row>
    <row r="9" spans="1:23" x14ac:dyDescent="0.25">
      <c r="A9" s="8" t="s">
        <v>213</v>
      </c>
      <c r="B9" s="54"/>
      <c r="E9" s="8" t="s">
        <v>213</v>
      </c>
      <c r="F9" s="54"/>
      <c r="I9" s="8" t="s">
        <v>213</v>
      </c>
      <c r="J9" s="54"/>
      <c r="M9" s="8" t="s">
        <v>213</v>
      </c>
      <c r="N9" s="54"/>
      <c r="Q9" s="8" t="s">
        <v>213</v>
      </c>
      <c r="R9" s="54"/>
      <c r="U9" s="8" t="s">
        <v>213</v>
      </c>
      <c r="V9" s="54"/>
    </row>
    <row r="10" spans="1:23" x14ac:dyDescent="0.25">
      <c r="B10" s="18" t="s">
        <v>0</v>
      </c>
      <c r="C10" s="490">
        <f>SUMPRODUCT(Urlisten!C15:EL15,Urlisten!C15:EL15)/COUNT(Urlisten!C15:EL15)-(SUM(Urlisten!C15:EL15)/COUNT(Urlisten!C15:EL15))^2</f>
        <v>4.9395918367347349</v>
      </c>
      <c r="F10" s="18" t="s">
        <v>0</v>
      </c>
      <c r="G10" s="490">
        <f>SUMPRODUCT(Urlisten!C16:EL16,Urlisten!C16:EL16)/COUNT(Urlisten!C16:EL16) - (SUM(Urlisten!C16:EL16)/COUNT(Urlisten!C16:EL16))^2</f>
        <v>89.8377551020385</v>
      </c>
      <c r="J10" s="18" t="s">
        <v>0</v>
      </c>
      <c r="K10" s="490">
        <f>SUMPRODUCT(Urlisten!C25:BT25,Urlisten!C25:BT25)/COUNT(Urlisten!C25:BT25) - (SUM(Urlisten!C25:BT25)/COUNT(Urlisten!C25:BT25))^2</f>
        <v>5.3718024985127499</v>
      </c>
      <c r="N10" s="18" t="s">
        <v>0</v>
      </c>
      <c r="O10" s="490">
        <f>SUMPRODUCT(Urlisten!C26:BT26,Urlisten!C26:BT26)/COUNT(Urlisten!C26:BT26) - (SUM(Urlisten!C26:BT26)/COUNT(Urlisten!C26:BT26))^2</f>
        <v>94.004759071980516</v>
      </c>
      <c r="R10" s="18" t="s">
        <v>0</v>
      </c>
      <c r="S10" s="55">
        <f>SUMPRODUCT(Urlisten!C33:BT33,Urlisten!C33:BT33)/COUNT(Urlisten!C33:BT33) - (SUM(Urlisten!C33:BT33)/COUNT(Urlisten!C33:BT33))^2</f>
        <v>4.2306777645659395</v>
      </c>
      <c r="V10" s="18" t="s">
        <v>0</v>
      </c>
      <c r="W10" s="490">
        <f>SUMPRODUCT(Urlisten!C34:BT34,Urlisten!C34:BT34)/COUNT(Urlisten!C34:BT34) - (SUM(Urlisten!C34:BT34)/COUNT(Urlisten!C34:BT34))^2</f>
        <v>82.6848989298378</v>
      </c>
    </row>
    <row r="11" spans="1:23" x14ac:dyDescent="0.25">
      <c r="B11" s="18" t="s">
        <v>26</v>
      </c>
      <c r="C11" s="490">
        <f>SUMPRODUCT(Häufigkeiten!B7:B31,Häufigkeiten!A7:A31,Häufigkeiten!A7:A31)/SUM(Häufigkeiten!B7:B31)-(SUM(Urlisten!C15:EL15)/SUM(Häufigkeiten!B7:B31))^2</f>
        <v>4.9395918367347349</v>
      </c>
      <c r="F11" s="18" t="s">
        <v>26</v>
      </c>
      <c r="G11" s="490">
        <f>SUMPRODUCT(Häufigkeiten!F7:F51,Häufigkeiten!E7:E51,Häufigkeiten!E7:E51)/SUM(Häufigkeiten!F7:F51)-(SUM(Urlisten!C16:EL16)/SUM(Häufigkeiten!F7:F51))^2</f>
        <v>89.8377551020385</v>
      </c>
      <c r="J11" s="18" t="s">
        <v>26</v>
      </c>
      <c r="K11" s="490">
        <f>SUMPRODUCT(Häufigkeiten!R7:R51,Häufigkeiten!Q7:Q51,Häufigkeiten!Q7:Q51)/Häufigkeiten!R4-(SUM(Urlisten!C25:EL25)/SUM(Häufigkeiten!R7:R51))^2</f>
        <v>5.3718024985127499</v>
      </c>
      <c r="N11" s="18" t="s">
        <v>26</v>
      </c>
      <c r="O11" s="490">
        <f>SUMPRODUCT(Häufigkeiten!V7:V51,Häufigkeiten!U7:U51,Häufigkeiten!U7:U51)/Häufigkeiten!V4-(SUM(Urlisten!C26:EL26)/SUM(Häufigkeiten!V7:V51))^2</f>
        <v>94.004759071980516</v>
      </c>
      <c r="R11" s="18" t="s">
        <v>26</v>
      </c>
      <c r="S11" s="55">
        <f>SUMPRODUCT(Häufigkeiten!AH7:AH51,Häufigkeiten!AG7:AG51,Häufigkeiten!AG7:AG51)/Häufigkeiten!AH4-(SUM(Urlisten!C33:BT33)/SUM(Häufigkeiten!AH7:AH51))^2</f>
        <v>4.2306777645659395</v>
      </c>
      <c r="V11" s="18" t="s">
        <v>26</v>
      </c>
      <c r="W11" s="490">
        <f>SUMPRODUCT(Häufigkeiten!AL7:AL51,Häufigkeiten!AK7:AK51,Häufigkeiten!AK7:AK51)/Häufigkeiten!AL4-(SUM(Urlisten!C34:BT34)/SUM(Häufigkeiten!AL7:AL51))^2</f>
        <v>82.6848989298378</v>
      </c>
    </row>
    <row r="12" spans="1:23" x14ac:dyDescent="0.25">
      <c r="B12" s="18" t="s">
        <v>27</v>
      </c>
      <c r="C12" s="490">
        <f>SUMPRODUCT(Häufigkeiten!C7:C31,Häufigkeiten!A7:A31,Häufigkeiten!A7:A31)-(SUM(Urlisten!C15:EL15)/SUM(Häufigkeiten!B7:B31))^2</f>
        <v>4.9395918367346212</v>
      </c>
      <c r="F12" s="18" t="s">
        <v>27</v>
      </c>
      <c r="G12" s="490">
        <f>SUMPRODUCT(Häufigkeiten!G7:G51,Häufigkeiten!E7:E51,Häufigkeiten!E7:E51)-(SUM(Urlisten!C16:EL16)/SUM(Häufigkeiten!F7:F51))^2</f>
        <v>89.8377551020385</v>
      </c>
      <c r="J12" s="18" t="s">
        <v>27</v>
      </c>
      <c r="K12" s="490">
        <f>SUMPRODUCT(Häufigkeiten!S7:S51,Häufigkeiten!Q7:Q51,Häufigkeiten!Q7:Q51)-(SUM(Urlisten!C25:EL25)/SUM(Häufigkeiten!R7:R51))^2</f>
        <v>5.3718024985128068</v>
      </c>
      <c r="N12" s="18" t="s">
        <v>27</v>
      </c>
      <c r="O12" s="490">
        <f>SUMPRODUCT(Häufigkeiten!W7:W51,Häufigkeiten!U7:U51,Häufigkeiten!U7:U51)-(SUM(Urlisten!C26:EL26)/SUM(Häufigkeiten!V7:V51))^2</f>
        <v>94.004759071980516</v>
      </c>
      <c r="R12" s="18" t="s">
        <v>27</v>
      </c>
      <c r="S12" s="55">
        <f>SUMPRODUCT(Häufigkeiten!AI7:AI51,Häufigkeiten!AG7:AG51,Häufigkeiten!AG7:AG51)-(SUM(Urlisten!C33:BT33)/SUM(Häufigkeiten!AH7:AH51))^2</f>
        <v>4.2306777645660532</v>
      </c>
      <c r="V12" s="18" t="s">
        <v>27</v>
      </c>
      <c r="W12" s="490">
        <f>SUMPRODUCT(Häufigkeiten!AM7:AM51,Häufigkeiten!AK7:AK51,Häufigkeiten!AK7:AK51)-(SUM(Urlisten!C34:BT34)/SUM(Häufigkeiten!AL7:AL51))^2</f>
        <v>82.684898929841438</v>
      </c>
    </row>
    <row r="15" spans="1:23" x14ac:dyDescent="0.25">
      <c r="I15" s="755" t="s">
        <v>185</v>
      </c>
      <c r="J15" s="756"/>
      <c r="K15" s="756"/>
      <c r="L15" s="756"/>
      <c r="M15" s="756"/>
      <c r="N15" s="756"/>
      <c r="O15" s="756"/>
    </row>
    <row r="17" spans="7:15" x14ac:dyDescent="0.25">
      <c r="I17" s="31" t="s">
        <v>9</v>
      </c>
      <c r="J17" s="18"/>
      <c r="M17" s="31" t="s">
        <v>11</v>
      </c>
      <c r="N17" s="31"/>
      <c r="O17" s="31"/>
    </row>
    <row r="18" spans="7:15" x14ac:dyDescent="0.25">
      <c r="I18" s="8" t="s">
        <v>28</v>
      </c>
      <c r="J18" s="54"/>
      <c r="K18" s="491">
        <f>(J2*K5+R2*S5)/(J2+R2)</f>
        <v>22.657142857142858</v>
      </c>
      <c r="M18" s="8" t="s">
        <v>28</v>
      </c>
      <c r="N18" s="54"/>
      <c r="O18" s="491">
        <f>(J2*O5+R2*W5)/(J2+R2)</f>
        <v>176.07142857142858</v>
      </c>
    </row>
    <row r="19" spans="7:15" x14ac:dyDescent="0.25">
      <c r="J19" s="54"/>
      <c r="N19" s="54"/>
    </row>
    <row r="20" spans="7:15" x14ac:dyDescent="0.25">
      <c r="I20" s="8" t="s">
        <v>29</v>
      </c>
      <c r="J20" s="18" t="s">
        <v>32</v>
      </c>
      <c r="K20" s="490">
        <f>(J2*K10+R2*S10)/(J2+R2)</f>
        <v>4.8990508230204997</v>
      </c>
      <c r="M20" s="8" t="s">
        <v>29</v>
      </c>
      <c r="N20" s="18" t="s">
        <v>32</v>
      </c>
      <c r="O20" s="490">
        <f>(J2*O10+R2*W10)/(J2+R2)</f>
        <v>89.31510272737853</v>
      </c>
    </row>
    <row r="21" spans="7:15" x14ac:dyDescent="0.25">
      <c r="J21" s="18" t="s">
        <v>33</v>
      </c>
      <c r="K21" s="490">
        <f>(J2*(K5-C5)^2+R2*(S5-C5)^2)/(J2+R2)</f>
        <v>4.0541013714148581E-2</v>
      </c>
      <c r="N21" s="18" t="s">
        <v>33</v>
      </c>
      <c r="O21" s="490">
        <f>(J2*(O5-G5)^2+R2*(W5-G5)^2)/(J2+R2)</f>
        <v>0.52265237465886838</v>
      </c>
    </row>
    <row r="22" spans="7:15" x14ac:dyDescent="0.25">
      <c r="J22" s="17" t="s">
        <v>34</v>
      </c>
      <c r="K22" s="491">
        <f>K20+K21</f>
        <v>4.9395918367346479</v>
      </c>
      <c r="N22" s="17" t="s">
        <v>34</v>
      </c>
      <c r="O22" s="491">
        <f>O20+O21</f>
        <v>89.837755102037406</v>
      </c>
    </row>
    <row r="28" spans="7:15" x14ac:dyDescent="0.25">
      <c r="G28" s="8">
        <f>G10*4900</f>
        <v>440204.99999998865</v>
      </c>
    </row>
  </sheetData>
  <mergeCells count="4">
    <mergeCell ref="A1:G1"/>
    <mergeCell ref="I1:O1"/>
    <mergeCell ref="Q1:W1"/>
    <mergeCell ref="I15:O15"/>
  </mergeCells>
  <pageMargins left="0" right="0" top="0" bottom="0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6"/>
  <sheetViews>
    <sheetView workbookViewId="0">
      <selection activeCell="E11" sqref="E11"/>
    </sheetView>
  </sheetViews>
  <sheetFormatPr baseColWidth="10" defaultColWidth="11.42578125" defaultRowHeight="15" x14ac:dyDescent="0.25"/>
  <cols>
    <col min="1" max="3" width="6.7109375" style="8" customWidth="1"/>
    <col min="4" max="4" width="2.7109375" style="8" customWidth="1"/>
    <col min="5" max="7" width="6.7109375" style="8" customWidth="1"/>
    <col min="8" max="8" width="2.7109375" style="8" customWidth="1"/>
    <col min="9" max="11" width="6.7109375" style="8" customWidth="1"/>
    <col min="12" max="12" width="8.7109375" style="8" customWidth="1"/>
    <col min="13" max="15" width="6.7109375" style="8" customWidth="1"/>
    <col min="16" max="16" width="5.7109375" style="8" customWidth="1"/>
    <col min="17" max="19" width="6.7109375" style="8" customWidth="1"/>
    <col min="20" max="20" width="2.7109375" style="8" customWidth="1"/>
    <col min="21" max="23" width="6.7109375" style="8" customWidth="1"/>
    <col min="24" max="24" width="2.7109375" style="8" customWidth="1"/>
    <col min="25" max="27" width="6.7109375" style="8" customWidth="1"/>
    <col min="28" max="28" width="2.7109375" style="8" customWidth="1"/>
    <col min="29" max="31" width="6.7109375" style="8" customWidth="1"/>
    <col min="32" max="32" width="5.7109375" style="8" customWidth="1"/>
    <col min="33" max="35" width="6.7109375" style="8" customWidth="1"/>
    <col min="36" max="36" width="2.7109375" style="8" customWidth="1"/>
    <col min="37" max="39" width="6.7109375" style="8" customWidth="1"/>
    <col min="40" max="40" width="2.7109375" style="8" customWidth="1"/>
    <col min="41" max="43" width="6.7109375" style="8" customWidth="1"/>
    <col min="44" max="44" width="2.7109375" style="8" customWidth="1"/>
    <col min="45" max="47" width="6.7109375" style="8" customWidth="1"/>
    <col min="48" max="16384" width="11.42578125" style="8"/>
  </cols>
  <sheetData>
    <row r="1" spans="1:47" x14ac:dyDescent="0.25">
      <c r="A1" s="749" t="s">
        <v>162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O1" s="749"/>
      <c r="Q1" s="750" t="s">
        <v>163</v>
      </c>
      <c r="R1" s="750"/>
      <c r="S1" s="750"/>
      <c r="T1" s="750"/>
      <c r="U1" s="750"/>
      <c r="V1" s="750"/>
      <c r="W1" s="750"/>
      <c r="X1" s="750"/>
      <c r="Y1" s="750"/>
      <c r="Z1" s="750"/>
      <c r="AA1" s="750"/>
      <c r="AB1" s="750"/>
      <c r="AC1" s="750"/>
      <c r="AD1" s="750"/>
      <c r="AE1" s="750"/>
      <c r="AG1" s="751" t="s">
        <v>164</v>
      </c>
      <c r="AH1" s="751"/>
      <c r="AI1" s="751"/>
      <c r="AJ1" s="751"/>
      <c r="AK1" s="751"/>
      <c r="AL1" s="751"/>
      <c r="AM1" s="751"/>
      <c r="AN1" s="751"/>
      <c r="AO1" s="751"/>
      <c r="AP1" s="751"/>
      <c r="AQ1" s="751"/>
      <c r="AR1" s="751"/>
      <c r="AS1" s="751"/>
      <c r="AT1" s="751"/>
      <c r="AU1" s="751"/>
    </row>
    <row r="2" spans="1:47" x14ac:dyDescent="0.25">
      <c r="A2" s="1" t="s">
        <v>9</v>
      </c>
      <c r="B2" s="2"/>
      <c r="C2" s="2"/>
      <c r="D2" s="2"/>
      <c r="E2" s="1" t="s">
        <v>11</v>
      </c>
      <c r="F2" s="2"/>
      <c r="G2" s="2"/>
      <c r="H2" s="2"/>
      <c r="I2" s="1" t="s">
        <v>23</v>
      </c>
      <c r="J2" s="2"/>
      <c r="K2" s="2"/>
      <c r="L2" s="2"/>
      <c r="M2" s="1" t="s">
        <v>12</v>
      </c>
      <c r="N2" s="2"/>
      <c r="O2" s="2"/>
      <c r="Q2" s="4" t="s">
        <v>9</v>
      </c>
      <c r="R2" s="47"/>
      <c r="S2" s="47"/>
      <c r="T2" s="47"/>
      <c r="U2" s="4" t="s">
        <v>11</v>
      </c>
      <c r="V2" s="47"/>
      <c r="W2" s="47"/>
      <c r="X2" s="47"/>
      <c r="Y2" s="4" t="s">
        <v>23</v>
      </c>
      <c r="Z2" s="47"/>
      <c r="AA2" s="47"/>
      <c r="AB2" s="47"/>
      <c r="AC2" s="4" t="s">
        <v>12</v>
      </c>
      <c r="AD2" s="47"/>
      <c r="AE2" s="47"/>
      <c r="AG2" s="5" t="s">
        <v>9</v>
      </c>
      <c r="AH2" s="48"/>
      <c r="AI2" s="48"/>
      <c r="AJ2" s="48"/>
      <c r="AK2" s="5" t="s">
        <v>11</v>
      </c>
      <c r="AL2" s="48"/>
      <c r="AM2" s="48"/>
      <c r="AN2" s="48"/>
      <c r="AO2" s="5" t="s">
        <v>23</v>
      </c>
      <c r="AP2" s="48"/>
      <c r="AQ2" s="48"/>
      <c r="AR2" s="48"/>
      <c r="AS2" s="5" t="s">
        <v>12</v>
      </c>
      <c r="AT2" s="48"/>
      <c r="AU2" s="48"/>
    </row>
    <row r="4" spans="1:47" x14ac:dyDescent="0.25">
      <c r="B4" s="8">
        <f>SUM(B7:B31)</f>
        <v>70</v>
      </c>
      <c r="C4" s="55">
        <f>SUM(C7:C31)</f>
        <v>1</v>
      </c>
      <c r="F4" s="8">
        <f>SUM(F7:F51)</f>
        <v>70</v>
      </c>
      <c r="G4" s="55">
        <f>SUM(G7:G51)</f>
        <v>0.99999999999999978</v>
      </c>
      <c r="J4" s="8">
        <f>SUM(J7:J8)</f>
        <v>0</v>
      </c>
      <c r="K4" s="55">
        <f>SUM(K7:K8)</f>
        <v>0</v>
      </c>
      <c r="N4" s="8">
        <f>SUM(N7:N8)</f>
        <v>0</v>
      </c>
      <c r="O4" s="55">
        <f>SUM(O7:O8)</f>
        <v>0</v>
      </c>
      <c r="R4" s="8">
        <f>SUM(R7:R31)</f>
        <v>41</v>
      </c>
      <c r="S4" s="55">
        <f>SUM(S7:S31)</f>
        <v>1</v>
      </c>
      <c r="V4" s="8">
        <f>SUM(V7:V100)</f>
        <v>42.999999999999943</v>
      </c>
      <c r="W4" s="55">
        <f>SUM(W7:W51)</f>
        <v>1</v>
      </c>
      <c r="Z4" s="8">
        <f>SUM(Z7:Z8)</f>
        <v>0</v>
      </c>
      <c r="AA4" s="55">
        <f>SUM(AA7:AA8)</f>
        <v>0</v>
      </c>
      <c r="AD4" s="8">
        <f>SUM(AD7:AD8)</f>
        <v>0</v>
      </c>
      <c r="AE4" s="55">
        <f>SUM(AE7:AE8)</f>
        <v>0</v>
      </c>
      <c r="AH4" s="8">
        <f>SUM(AH7:AH31)</f>
        <v>29</v>
      </c>
      <c r="AI4" s="55">
        <f>SUM(AI7:AI31)</f>
        <v>1</v>
      </c>
      <c r="AL4" s="8">
        <f>SUM(AL7:AL100)</f>
        <v>31.000000000000028</v>
      </c>
      <c r="AM4" s="55">
        <f>SUM(AM7:AM51)</f>
        <v>1</v>
      </c>
      <c r="AP4" s="8">
        <f>SUM(AP7:AP8)</f>
        <v>0</v>
      </c>
      <c r="AQ4" s="55">
        <f>SUM(AQ7:AQ8)</f>
        <v>0</v>
      </c>
      <c r="AR4" s="55"/>
      <c r="AT4" s="8">
        <f>SUM(AT7:AT8)</f>
        <v>0</v>
      </c>
      <c r="AU4" s="55">
        <f>SUM(AU7:AU8)</f>
        <v>0</v>
      </c>
    </row>
    <row r="5" spans="1:47" x14ac:dyDescent="0.25">
      <c r="A5" s="33"/>
      <c r="B5" s="33"/>
      <c r="C5" s="33"/>
    </row>
    <row r="6" spans="1:47" ht="18" x14ac:dyDescent="0.35">
      <c r="A6" s="426" t="s">
        <v>2</v>
      </c>
      <c r="B6" s="427" t="s">
        <v>3</v>
      </c>
      <c r="C6" s="428" t="s">
        <v>4</v>
      </c>
      <c r="E6" s="426" t="s">
        <v>13</v>
      </c>
      <c r="F6" s="427" t="s">
        <v>3</v>
      </c>
      <c r="G6" s="428" t="s">
        <v>4</v>
      </c>
      <c r="I6" s="426" t="s">
        <v>14</v>
      </c>
      <c r="J6" s="427" t="s">
        <v>3</v>
      </c>
      <c r="K6" s="428" t="s">
        <v>4</v>
      </c>
      <c r="M6" s="426" t="s">
        <v>15</v>
      </c>
      <c r="N6" s="427" t="s">
        <v>3</v>
      </c>
      <c r="O6" s="428" t="s">
        <v>4</v>
      </c>
      <c r="Q6" s="426" t="s">
        <v>2</v>
      </c>
      <c r="R6" s="427" t="s">
        <v>3</v>
      </c>
      <c r="S6" s="428" t="s">
        <v>4</v>
      </c>
      <c r="U6" s="426" t="s">
        <v>13</v>
      </c>
      <c r="V6" s="427" t="s">
        <v>3</v>
      </c>
      <c r="W6" s="428" t="s">
        <v>4</v>
      </c>
      <c r="Y6" s="426" t="s">
        <v>14</v>
      </c>
      <c r="Z6" s="427" t="s">
        <v>3</v>
      </c>
      <c r="AA6" s="428" t="s">
        <v>4</v>
      </c>
      <c r="AC6" s="426" t="s">
        <v>15</v>
      </c>
      <c r="AD6" s="427" t="s">
        <v>3</v>
      </c>
      <c r="AE6" s="428" t="s">
        <v>4</v>
      </c>
      <c r="AG6" s="426" t="s">
        <v>2</v>
      </c>
      <c r="AH6" s="427" t="s">
        <v>3</v>
      </c>
      <c r="AI6" s="428" t="s">
        <v>4</v>
      </c>
      <c r="AK6" s="426" t="s">
        <v>13</v>
      </c>
      <c r="AL6" s="427" t="s">
        <v>3</v>
      </c>
      <c r="AM6" s="428" t="s">
        <v>4</v>
      </c>
      <c r="AO6" s="426" t="s">
        <v>14</v>
      </c>
      <c r="AP6" s="427" t="s">
        <v>3</v>
      </c>
      <c r="AQ6" s="428" t="s">
        <v>4</v>
      </c>
      <c r="AS6" s="426" t="s">
        <v>15</v>
      </c>
      <c r="AT6" s="427" t="s">
        <v>3</v>
      </c>
      <c r="AU6" s="428" t="s">
        <v>4</v>
      </c>
    </row>
    <row r="7" spans="1:47" s="46" customFormat="1" x14ac:dyDescent="0.25">
      <c r="A7" s="46">
        <f t="array" ref="A7">IF(ISERROR(INDEX(Häufigkeiten!B:B,SMALL(IF(Häufigkeiten!B$7:B$31&lt;&gt;0,ROW($7:$31)),ROW(B1)))),"",INDEX(Häufigkeiten!A:A,SMALL(IF(Häufigkeiten!B$7:B$31&lt;&gt;0,ROW($7:$31)),ROW(B1))))</f>
        <v>19</v>
      </c>
      <c r="B7" s="46">
        <f t="array" ref="B7">IF( ISERROR(INDEX(Häufigkeiten!B:B,SMALL(IF(Häufigkeiten!B$7:B$31&lt;&gt;0,ROW($7:$31)),ROW(B1)))),"",INDEX(Häufigkeiten!B:B,SMALL(IF(Häufigkeiten!B$7:B$31&lt;&gt;0,ROW($7:$31)),ROW(B1))))</f>
        <v>3</v>
      </c>
      <c r="C7" s="431">
        <f>IF(ISERROR(B7/$B$4),"",B7/$B$4)</f>
        <v>4.2857142857142858E-2</v>
      </c>
      <c r="D7" s="90"/>
      <c r="E7" s="46">
        <f t="array" ref="E7">IF( ISERROR(INDEX(Häufigkeiten!F:F,SMALL(IF(Häufigkeiten!F$7:F$51&lt;&gt;0,ROW($7:$51)),ROW(F1)))),"",INDEX(Häufigkeiten!E:E,SMALL(IF(Häufigkeiten!F$7:F$51&lt;&gt;0,ROW($7:$51)),ROW(F1))))</f>
        <v>155</v>
      </c>
      <c r="F7" s="46">
        <f t="array" ref="F7">IF( ISERROR(INDEX(Häufigkeiten!F:F,SMALL(IF(Häufigkeiten!F$7:F$51&lt;&gt;0,ROW($7:$51)),ROW(F1)))),"",INDEX(Häufigkeiten!F:F,SMALL(IF(Häufigkeiten!F$7:F$51&lt;&gt;0,ROW($7:$51)),ROW(F1))))</f>
        <v>1</v>
      </c>
      <c r="G7" s="431">
        <f>IF(ISERROR(F7/B$4),"",F7/B$4)</f>
        <v>1.4285714285714285E-2</v>
      </c>
      <c r="H7" s="90"/>
      <c r="I7" s="33"/>
      <c r="K7" s="429"/>
      <c r="M7" s="33"/>
      <c r="O7" s="429"/>
      <c r="Q7" s="46">
        <f t="array" ref="Q7">IF( ISERROR(INDEX(Häufigkeiten!R:R,SMALL(IF(Häufigkeiten!R$7:R$31&lt;&gt;0,ROW($7:$31)),ROW(R1)))),"",INDEX(Häufigkeiten!Q:Q,SMALL(IF(Häufigkeiten!R$7:R$31&lt;&gt;0,ROW($7:$31)),ROW(R1))))</f>
        <v>19</v>
      </c>
      <c r="R7" s="46">
        <f t="array" ref="R7">IF( ISERROR(INDEX(Häufigkeiten!R:R,SMALL(IF(Häufigkeiten!R$7:R$31&lt;&gt;0,ROW($7:$31)),ROW(R1)))),"",INDEX(Häufigkeiten!R:R,SMALL(IF(Häufigkeiten!R$7:R$31&lt;&gt;0,ROW($7:$31)),ROW(R1))))</f>
        <v>2</v>
      </c>
      <c r="S7" s="431">
        <f>IF(ISERROR(R7/$R$4),"",R7/$R$4)</f>
        <v>4.878048780487805E-2</v>
      </c>
      <c r="T7" s="112"/>
      <c r="U7" s="46">
        <f t="array" ref="U7">IF( ISERROR(INDEX(Häufigkeiten!V:V,SMALL(IF(Häufigkeiten!V$7:V$51&lt;&gt;0,ROW($7:$51)),ROW(V1)))),"",INDEX(Häufigkeiten!U:U,SMALL(IF(Häufigkeiten!V$7:V$51&lt;&gt;0,ROW($7:$51)),ROW(V1))))</f>
        <v>160</v>
      </c>
      <c r="V7" s="46">
        <f t="array" ref="V7">IF( ISERROR(INDEX(Häufigkeiten!V:V,SMALL(IF(Häufigkeiten!V$7:V$51&lt;&gt;0,ROW($7:$51)),ROW(V1)))),"",INDEX(Häufigkeiten!V:V,SMALL(IF(Häufigkeiten!V$7:V$51&lt;&gt;0,ROW($7:$51)),ROW(V1))))</f>
        <v>3</v>
      </c>
      <c r="W7" s="431">
        <f>IF(ISERROR(V7/R$4),"",V7/R$4)</f>
        <v>7.3170731707317069E-2</v>
      </c>
      <c r="X7" s="90"/>
      <c r="Y7" s="33"/>
      <c r="AA7" s="429"/>
      <c r="AC7" s="33"/>
      <c r="AE7" s="429"/>
      <c r="AG7" s="46">
        <f t="array" ref="AG7">IF( ISERROR(INDEX(Häufigkeiten!AH:AH,SMALL(IF(Häufigkeiten!AH$7:AH$31&lt;&gt;0,ROW($7:$31)),ROW(AH1)))),"",INDEX(Häufigkeiten!AG:AG,SMALL(IF(Häufigkeiten!AH$7:AH$31&lt;&gt;0,ROW($7:$31)),ROW(AH1))))</f>
        <v>19</v>
      </c>
      <c r="AH7" s="46">
        <f t="array" ref="AH7">IF( ISERROR(INDEX(Häufigkeiten!AH:AH,SMALL(IF(Häufigkeiten!AH$7:AH$31&lt;&gt;0,ROW($7:$31)),ROW(AH1)))),"",INDEX(Häufigkeiten!AH:AH,SMALL(IF(Häufigkeiten!AH$7:AH$31&lt;&gt;0,ROW($7:$31)),ROW(AH1))))</f>
        <v>1</v>
      </c>
      <c r="AI7" s="431">
        <f>IF(ISERROR(AH7/AH$4),"",AH7/AH$4)</f>
        <v>3.4482758620689655E-2</v>
      </c>
      <c r="AJ7" s="134"/>
      <c r="AK7" s="46">
        <f t="array" ref="AK7">IF( ISERROR(INDEX(Häufigkeiten!AL:AL,SMALL(IF(Häufigkeiten!AL$7:AL$51&lt;&gt;0,ROW($7:$51)),ROW(AL1)))),"",INDEX(Häufigkeiten!AK:AK,SMALL(IF(Häufigkeiten!AL$7:AL$51&lt;&gt;0,ROW($7:$51)),ROW(AL1))))</f>
        <v>155</v>
      </c>
      <c r="AL7" s="46">
        <f t="array" ref="AL7">IF( ISERROR(INDEX(Häufigkeiten!AL:AL,SMALL(IF(Häufigkeiten!AL$7:AL$51&lt;&gt;0,ROW($7:$51)),ROW(AL1)))),"",INDEX(Häufigkeiten!AL:AL,SMALL(IF(Häufigkeiten!AL$7:AL$51&lt;&gt;0,ROW($7:$51)),ROW(AL1))))</f>
        <v>1</v>
      </c>
      <c r="AM7" s="431">
        <f>IF(ISERROR(AL7/AH$4),"",AL7/AH$4)</f>
        <v>3.4482758620689655E-2</v>
      </c>
      <c r="AN7" s="90"/>
      <c r="AO7" s="33"/>
      <c r="AQ7" s="429"/>
      <c r="AS7" s="33"/>
      <c r="AU7" s="429"/>
    </row>
    <row r="8" spans="1:47" s="46" customFormat="1" x14ac:dyDescent="0.25">
      <c r="A8" s="46">
        <f t="array" ref="A8">IF( ISERROR(INDEX(Häufigkeiten!B:B,SMALL(IF(Häufigkeiten!B$7:B$31&lt;&gt;0,ROW($7:$31)),ROW(B2)))),"",INDEX(Häufigkeiten!A:A,SMALL(IF(Häufigkeiten!B$7:B$31&lt;&gt;0,ROW($7:$31)),ROW(B2))))</f>
        <v>20</v>
      </c>
      <c r="B8" s="46">
        <f t="array" ref="B8">IF( ISERROR(INDEX(Häufigkeiten!B:B,SMALL(IF(Häufigkeiten!B$7:B$31&lt;&gt;0,ROW($7:$31)),ROW(B2)))),"",INDEX(Häufigkeiten!B:B,SMALL(IF(Häufigkeiten!B$7:B$31&lt;&gt;0,ROW($7:$31)),ROW(B2))))</f>
        <v>10</v>
      </c>
      <c r="C8" s="431">
        <f t="shared" ref="C8:C31" si="0">IF(ISERROR(B8/$B$4),"",B8/$B$4)</f>
        <v>0.14285714285714285</v>
      </c>
      <c r="D8" s="90"/>
      <c r="E8" s="46">
        <f t="array" ref="E8">IF( ISERROR(INDEX(Häufigkeiten!F:F,SMALL(IF(Häufigkeiten!F$7:F$51&lt;&gt;0,ROW($7:$51)),ROW(F2)))),"",INDEX(Häufigkeiten!E:E,SMALL(IF(Häufigkeiten!F$7:F$51&lt;&gt;0,ROW($7:$51)),ROW(F2))))</f>
        <v>160</v>
      </c>
      <c r="F8" s="46">
        <f t="array" ref="F8">IF( ISERROR(INDEX(Häufigkeiten!F:F,SMALL(IF(Häufigkeiten!F$7:F$51&lt;&gt;0,ROW($7:$51)),ROW(F2)))),"",INDEX(Häufigkeiten!F:F,SMALL(IF(Häufigkeiten!F$7:F$51&lt;&gt;0,ROW($7:$51)),ROW(F2))))</f>
        <v>5</v>
      </c>
      <c r="G8" s="431">
        <f t="shared" ref="G8:G32" si="1">IF(ISERROR(F8/B$4),"",F8/B$4)</f>
        <v>7.1428571428571425E-2</v>
      </c>
      <c r="H8" s="90"/>
      <c r="I8" s="33"/>
      <c r="K8" s="429"/>
      <c r="M8" s="33"/>
      <c r="O8" s="429"/>
      <c r="Q8" s="46">
        <f t="array" ref="Q8">IF( ISERROR(INDEX(Häufigkeiten!R:R,SMALL(IF(Häufigkeiten!R$7:R$31&lt;&gt;0,ROW($7:$31)),ROW(R2)))),"",INDEX(Häufigkeiten!Q:Q,SMALL(IF(Häufigkeiten!R$7:R$31&lt;&gt;0,ROW($7:$31)),ROW(R2))))</f>
        <v>20</v>
      </c>
      <c r="R8" s="46">
        <f t="array" ref="R8">IF( ISERROR(INDEX(Häufigkeiten!R:R,SMALL(IF(Häufigkeiten!R$7:R$31&lt;&gt;0,ROW($7:$31)),ROW(R2)))),"",INDEX(Häufigkeiten!R:R,SMALL(IF(Häufigkeiten!R$7:R$31&lt;&gt;0,ROW($7:$31)),ROW(R2))))</f>
        <v>6</v>
      </c>
      <c r="S8" s="431">
        <f t="shared" ref="S8:S31" si="2">IF(ISERROR(R8/$R$4),"",R8/$R$4)</f>
        <v>0.14634146341463414</v>
      </c>
      <c r="T8" s="112"/>
      <c r="U8" s="46">
        <f t="array" ref="U8">IF( ISERROR(INDEX(Häufigkeiten!V:V,SMALL(IF(Häufigkeiten!V$7:V$51&lt;&gt;0,ROW($7:$51)),ROW(V2)))),"",INDEX(Häufigkeiten!U:U,SMALL(IF(Häufigkeiten!V$7:V$51&lt;&gt;0,ROW($7:$51)),ROW(V2))))</f>
        <v>161</v>
      </c>
      <c r="V8" s="46">
        <f t="array" ref="V8">IF( ISERROR(INDEX(Häufigkeiten!V:V,SMALL(IF(Häufigkeiten!V$7:V$51&lt;&gt;0,ROW($7:$51)),ROW(V2)))),"",INDEX(Häufigkeiten!V:V,SMALL(IF(Häufigkeiten!V$7:V$51&lt;&gt;0,ROW($7:$51)),ROW(V2))))</f>
        <v>1</v>
      </c>
      <c r="W8" s="431">
        <f t="shared" ref="W8:W51" si="3">IF(ISERROR(V8/R$4),"",V8/R$4)</f>
        <v>2.4390243902439025E-2</v>
      </c>
      <c r="X8" s="90"/>
      <c r="Y8" s="33"/>
      <c r="AA8" s="429"/>
      <c r="AC8" s="33"/>
      <c r="AE8" s="429"/>
      <c r="AG8" s="46">
        <f t="array" ref="AG8">IF( ISERROR(INDEX(Häufigkeiten!AH:AH,SMALL(IF(Häufigkeiten!AH$7:AH$31&lt;&gt;0,ROW($7:$31)),ROW(AH2)))),"",INDEX(Häufigkeiten!AG:AG,SMALL(IF(Häufigkeiten!AH$7:AH$31&lt;&gt;0,ROW($7:$31)),ROW(AH2))))</f>
        <v>20</v>
      </c>
      <c r="AH8" s="46">
        <f t="array" ref="AH8">IF( ISERROR(INDEX(Häufigkeiten!AH:AH,SMALL(IF(Häufigkeiten!AH$7:AH$31&lt;&gt;0,ROW($7:$31)),ROW(AH2)))),"",INDEX(Häufigkeiten!AH:AH,SMALL(IF(Häufigkeiten!AH$7:AH$31&lt;&gt;0,ROW($7:$31)),ROW(AH2))))</f>
        <v>4</v>
      </c>
      <c r="AI8" s="431">
        <f t="shared" ref="AI8:AI31" si="4">IF(ISERROR(AH8/AH$4),"",AH8/AH$4)</f>
        <v>0.13793103448275862</v>
      </c>
      <c r="AJ8" s="134"/>
      <c r="AK8" s="46">
        <f t="array" ref="AK8">IF( ISERROR(INDEX(Häufigkeiten!AL:AL,SMALL(IF(Häufigkeiten!AL$7:AL$51&lt;&gt;0,ROW($7:$51)),ROW(AL2)))),"",INDEX(Häufigkeiten!AK:AK,SMALL(IF(Häufigkeiten!AL$7:AL$51&lt;&gt;0,ROW($7:$51)),ROW(AL2))))</f>
        <v>160</v>
      </c>
      <c r="AL8" s="46">
        <f t="array" ref="AL8">IF( ISERROR(INDEX(Häufigkeiten!AL:AL,SMALL(IF(Häufigkeiten!AL$7:AL$51&lt;&gt;0,ROW($7:$51)),ROW(AL2)))),"",INDEX(Häufigkeiten!AL:AL,SMALL(IF(Häufigkeiten!AL$7:AL$51&lt;&gt;0,ROW($7:$51)),ROW(AL2))))</f>
        <v>2</v>
      </c>
      <c r="AM8" s="431">
        <f t="shared" ref="AM8:AM51" si="5">IF(ISERROR(AL8/AH$4),"",AL8/AH$4)</f>
        <v>6.8965517241379309E-2</v>
      </c>
      <c r="AN8" s="90"/>
      <c r="AO8" s="33"/>
      <c r="AQ8" s="429"/>
      <c r="AS8" s="33"/>
      <c r="AU8" s="429"/>
    </row>
    <row r="9" spans="1:47" s="46" customFormat="1" x14ac:dyDescent="0.25">
      <c r="A9" s="46">
        <f t="array" ref="A9">IF( ISERROR(INDEX(Häufigkeiten!B:B,SMALL(IF(Häufigkeiten!B$7:B$31&lt;&gt;0,ROW($7:$31)),ROW(B3)))),"",INDEX(Häufigkeiten!A:A,SMALL(IF(Häufigkeiten!B$7:B$31&lt;&gt;0,ROW($7:$31)),ROW(B3))))</f>
        <v>21</v>
      </c>
      <c r="B9" s="46">
        <f t="array" ref="B9">IF( ISERROR(INDEX(Häufigkeiten!B:B,SMALL(IF(Häufigkeiten!B$7:B$31&lt;&gt;0,ROW($7:$31)),ROW(B3)))),"",INDEX(Häufigkeiten!B:B,SMALL(IF(Häufigkeiten!B$7:B$31&lt;&gt;0,ROW($7:$31)),ROW(B3))))</f>
        <v>11</v>
      </c>
      <c r="C9" s="431">
        <f t="shared" si="0"/>
        <v>0.15714285714285714</v>
      </c>
      <c r="D9" s="90"/>
      <c r="E9" s="46">
        <f t="array" ref="E9">IF( ISERROR(INDEX(Häufigkeiten!F:F,SMALL(IF(Häufigkeiten!F$7:F$51&lt;&gt;0,ROW($7:$51)),ROW(F3)))),"",INDEX(Häufigkeiten!E:E,SMALL(IF(Häufigkeiten!F$7:F$51&lt;&gt;0,ROW($7:$51)),ROW(F3))))</f>
        <v>161</v>
      </c>
      <c r="F9" s="46">
        <f t="array" ref="F9">IF( ISERROR(INDEX(Häufigkeiten!F:F,SMALL(IF(Häufigkeiten!F$7:F$51&lt;&gt;0,ROW($7:$51)),ROW(F3)))),"",INDEX(Häufigkeiten!F:F,SMALL(IF(Häufigkeiten!F$7:F$51&lt;&gt;0,ROW($7:$51)),ROW(F3))))</f>
        <v>1</v>
      </c>
      <c r="G9" s="431">
        <f t="shared" si="1"/>
        <v>1.4285714285714285E-2</v>
      </c>
      <c r="H9" s="90"/>
      <c r="Q9" s="46">
        <f t="array" ref="Q9">IF( ISERROR(INDEX(Häufigkeiten!R:R,SMALL(IF(Häufigkeiten!R$7:R$31&lt;&gt;0,ROW($7:$31)),ROW(R3)))),"",INDEX(Häufigkeiten!Q:Q,SMALL(IF(Häufigkeiten!R$7:R$31&lt;&gt;0,ROW($7:$31)),ROW(R3))))</f>
        <v>21</v>
      </c>
      <c r="R9" s="46">
        <f t="array" ref="R9">IF( ISERROR(INDEX(Häufigkeiten!R:R,SMALL(IF(Häufigkeiten!R$7:R$31&lt;&gt;0,ROW($7:$31)),ROW(R3)))),"",INDEX(Häufigkeiten!R:R,SMALL(IF(Häufigkeiten!R$7:R$31&lt;&gt;0,ROW($7:$31)),ROW(R3))))</f>
        <v>9</v>
      </c>
      <c r="S9" s="431">
        <f t="shared" si="2"/>
        <v>0.21951219512195122</v>
      </c>
      <c r="T9" s="112"/>
      <c r="U9" s="46">
        <f t="array" ref="U9">IF( ISERROR(INDEX(Häufigkeiten!V:V,SMALL(IF(Häufigkeiten!V$7:V$51&lt;&gt;0,ROW($7:$51)),ROW(V3)))),"",INDEX(Häufigkeiten!U:U,SMALL(IF(Häufigkeiten!V$7:V$51&lt;&gt;0,ROW($7:$51)),ROW(V3))))</f>
        <v>163</v>
      </c>
      <c r="V9" s="46">
        <f t="array" ref="V9">IF( ISERROR(INDEX(Häufigkeiten!V:V,SMALL(IF(Häufigkeiten!V$7:V$51&lt;&gt;0,ROW($7:$51)),ROW(V3)))),"",INDEX(Häufigkeiten!V:V,SMALL(IF(Häufigkeiten!V$7:V$51&lt;&gt;0,ROW($7:$51)),ROW(V3))))</f>
        <v>3</v>
      </c>
      <c r="W9" s="431">
        <f t="shared" si="3"/>
        <v>7.3170731707317069E-2</v>
      </c>
      <c r="X9" s="90"/>
      <c r="AG9" s="46">
        <f t="array" ref="AG9">IF( ISERROR(INDEX(Häufigkeiten!AH:AH,SMALL(IF(Häufigkeiten!AH$7:AH$31&lt;&gt;0,ROW($7:$31)),ROW(AH3)))),"",INDEX(Häufigkeiten!AG:AG,SMALL(IF(Häufigkeiten!AH$7:AH$31&lt;&gt;0,ROW($7:$31)),ROW(AH3))))</f>
        <v>21</v>
      </c>
      <c r="AH9" s="46">
        <f t="array" ref="AH9">IF( ISERROR(INDEX(Häufigkeiten!AH:AH,SMALL(IF(Häufigkeiten!AH$7:AH$31&lt;&gt;0,ROW($7:$31)),ROW(AH3)))),"",INDEX(Häufigkeiten!AH:AH,SMALL(IF(Häufigkeiten!AH$7:AH$31&lt;&gt;0,ROW($7:$31)),ROW(AH3))))</f>
        <v>2</v>
      </c>
      <c r="AI9" s="431">
        <f t="shared" si="4"/>
        <v>6.8965517241379309E-2</v>
      </c>
      <c r="AJ9" s="134"/>
      <c r="AK9" s="46">
        <f t="array" ref="AK9">IF( ISERROR(INDEX(Häufigkeiten!AL:AL,SMALL(IF(Häufigkeiten!AL$7:AL$51&lt;&gt;0,ROW($7:$51)),ROW(AL3)))),"",INDEX(Häufigkeiten!AK:AK,SMALL(IF(Häufigkeiten!AL$7:AL$51&lt;&gt;0,ROW($7:$51)),ROW(AL3))))</f>
        <v>165</v>
      </c>
      <c r="AL9" s="46">
        <f t="array" ref="AL9">IF( ISERROR(INDEX(Häufigkeiten!AL:AL,SMALL(IF(Häufigkeiten!AL$7:AL$51&lt;&gt;0,ROW($7:$51)),ROW(AL3)))),"",INDEX(Häufigkeiten!AL:AL,SMALL(IF(Häufigkeiten!AL$7:AL$51&lt;&gt;0,ROW($7:$51)),ROW(AL3))))</f>
        <v>2</v>
      </c>
      <c r="AM9" s="431">
        <f t="shared" si="5"/>
        <v>6.8965517241379309E-2</v>
      </c>
      <c r="AN9" s="90"/>
    </row>
    <row r="10" spans="1:47" s="46" customFormat="1" x14ac:dyDescent="0.25">
      <c r="A10" s="46">
        <f t="array" ref="A10">IF( ISERROR(INDEX(Häufigkeiten!B:B,SMALL(IF(Häufigkeiten!B$7:B$31&lt;&gt;0,ROW($7:$31)),ROW(B4)))),"",INDEX(Häufigkeiten!A:A,SMALL(IF(Häufigkeiten!B$7:B$31&lt;&gt;0,ROW($7:$31)),ROW(B4))))</f>
        <v>22</v>
      </c>
      <c r="B10" s="46">
        <f t="array" ref="B10">IF( ISERROR(INDEX(Häufigkeiten!B:B,SMALL(IF(Häufigkeiten!B$7:B$31&lt;&gt;0,ROW($7:$31)),ROW(B4)))),"",INDEX(Häufigkeiten!B:B,SMALL(IF(Häufigkeiten!B$7:B$31&lt;&gt;0,ROW($7:$31)),ROW(B4))))</f>
        <v>14</v>
      </c>
      <c r="C10" s="431">
        <f t="shared" si="0"/>
        <v>0.2</v>
      </c>
      <c r="D10" s="90"/>
      <c r="E10" s="46">
        <f t="array" ref="E10">IF( ISERROR(INDEX(Häufigkeiten!F:F,SMALL(IF(Häufigkeiten!F$7:F$51&lt;&gt;0,ROW($7:$51)),ROW(F4)))),"",INDEX(Häufigkeiten!E:E,SMALL(IF(Häufigkeiten!F$7:F$51&lt;&gt;0,ROW($7:$51)),ROW(F4))))</f>
        <v>163</v>
      </c>
      <c r="F10" s="46">
        <f t="array" ref="F10">IF( ISERROR(INDEX(Häufigkeiten!F:F,SMALL(IF(Häufigkeiten!F$7:F$51&lt;&gt;0,ROW($7:$51)),ROW(F4)))),"",INDEX(Häufigkeiten!F:F,SMALL(IF(Häufigkeiten!F$7:F$51&lt;&gt;0,ROW($7:$51)),ROW(F4))))</f>
        <v>3</v>
      </c>
      <c r="G10" s="431">
        <f t="shared" si="1"/>
        <v>4.2857142857142858E-2</v>
      </c>
      <c r="H10" s="90"/>
      <c r="Q10" s="46">
        <f t="array" ref="Q10">IF( ISERROR(INDEX(Häufigkeiten!R:R,SMALL(IF(Häufigkeiten!R$7:R$31&lt;&gt;0,ROW($7:$31)),ROW(R4)))),"",INDEX(Häufigkeiten!Q:Q,SMALL(IF(Häufigkeiten!R$7:R$31&lt;&gt;0,ROW($7:$31)),ROW(R4))))</f>
        <v>22</v>
      </c>
      <c r="R10" s="46">
        <f t="array" ref="R10">IF( ISERROR(INDEX(Häufigkeiten!R:R,SMALL(IF(Häufigkeiten!R$7:R$31&lt;&gt;0,ROW($7:$31)),ROW(R4)))),"",INDEX(Häufigkeiten!R:R,SMALL(IF(Häufigkeiten!R$7:R$31&lt;&gt;0,ROW($7:$31)),ROW(R4))))</f>
        <v>8</v>
      </c>
      <c r="S10" s="431">
        <f t="shared" si="2"/>
        <v>0.1951219512195122</v>
      </c>
      <c r="T10" s="112"/>
      <c r="U10" s="46">
        <f t="array" ref="U10">IF( ISERROR(INDEX(Häufigkeiten!V:V,SMALL(IF(Häufigkeiten!V$7:V$51&lt;&gt;0,ROW($7:$51)),ROW(V4)))),"",INDEX(Häufigkeiten!U:U,SMALL(IF(Häufigkeiten!V$7:V$51&lt;&gt;0,ROW($7:$51)),ROW(V4))))</f>
        <v>164</v>
      </c>
      <c r="V10" s="46">
        <f t="array" ref="V10">IF( ISERROR(INDEX(Häufigkeiten!V:V,SMALL(IF(Häufigkeiten!V$7:V$51&lt;&gt;0,ROW($7:$51)),ROW(V4)))),"",INDEX(Häufigkeiten!V:V,SMALL(IF(Häufigkeiten!V$7:V$51&lt;&gt;0,ROW($7:$51)),ROW(V4))))</f>
        <v>1</v>
      </c>
      <c r="W10" s="431">
        <f t="shared" si="3"/>
        <v>2.4390243902439025E-2</v>
      </c>
      <c r="X10" s="90"/>
      <c r="AG10" s="46">
        <f t="array" ref="AG10">IF( ISERROR(INDEX(Häufigkeiten!AH:AH,SMALL(IF(Häufigkeiten!AH$7:AH$31&lt;&gt;0,ROW($7:$31)),ROW(AH4)))),"",INDEX(Häufigkeiten!AG:AG,SMALL(IF(Häufigkeiten!AH$7:AH$31&lt;&gt;0,ROW($7:$31)),ROW(AH4))))</f>
        <v>22</v>
      </c>
      <c r="AH10" s="46">
        <f t="array" ref="AH10">IF( ISERROR(INDEX(Häufigkeiten!AH:AH,SMALL(IF(Häufigkeiten!AH$7:AH$31&lt;&gt;0,ROW($7:$31)),ROW(AH4)))),"",INDEX(Häufigkeiten!AH:AH,SMALL(IF(Häufigkeiten!AH$7:AH$31&lt;&gt;0,ROW($7:$31)),ROW(AH4))))</f>
        <v>6</v>
      </c>
      <c r="AI10" s="431">
        <f t="shared" si="4"/>
        <v>0.20689655172413793</v>
      </c>
      <c r="AJ10" s="134"/>
      <c r="AK10" s="46">
        <f t="array" ref="AK10">IF( ISERROR(INDEX(Häufigkeiten!AL:AL,SMALL(IF(Häufigkeiten!AL$7:AL$51&lt;&gt;0,ROW($7:$51)),ROW(AL4)))),"",INDEX(Häufigkeiten!AK:AK,SMALL(IF(Häufigkeiten!AL$7:AL$51&lt;&gt;0,ROW($7:$51)),ROW(AL4))))</f>
        <v>170</v>
      </c>
      <c r="AL10" s="46">
        <f t="array" ref="AL10">IF( ISERROR(INDEX(Häufigkeiten!AL:AL,SMALL(IF(Häufigkeiten!AL$7:AL$51&lt;&gt;0,ROW($7:$51)),ROW(AL4)))),"",INDEX(Häufigkeiten!AL:AL,SMALL(IF(Häufigkeiten!AL$7:AL$51&lt;&gt;0,ROW($7:$51)),ROW(AL4))))</f>
        <v>2</v>
      </c>
      <c r="AM10" s="431">
        <f t="shared" si="5"/>
        <v>6.8965517241379309E-2</v>
      </c>
      <c r="AN10" s="90"/>
    </row>
    <row r="11" spans="1:47" s="46" customFormat="1" x14ac:dyDescent="0.25">
      <c r="A11" s="46">
        <f t="array" ref="A11">IF( ISERROR(INDEX(Häufigkeiten!B:B,SMALL(IF(Häufigkeiten!B$7:B$31&lt;&gt;0,ROW($7:$31)),ROW(B5)))),"",INDEX(Häufigkeiten!A:A,SMALL(IF(Häufigkeiten!B$7:B$31&lt;&gt;0,ROW($7:$31)),ROW(B5))))</f>
        <v>23</v>
      </c>
      <c r="B11" s="46">
        <f t="array" ref="B11">IF( ISERROR(INDEX(Häufigkeiten!B:B,SMALL(IF(Häufigkeiten!B$7:B$31&lt;&gt;0,ROW($7:$31)),ROW(B5)))),"",INDEX(Häufigkeiten!B:B,SMALL(IF(Häufigkeiten!B$7:B$31&lt;&gt;0,ROW($7:$31)),ROW(B5))))</f>
        <v>9</v>
      </c>
      <c r="C11" s="431">
        <f t="shared" si="0"/>
        <v>0.12857142857142856</v>
      </c>
      <c r="D11" s="90"/>
      <c r="E11" s="46">
        <f t="array" ref="E11">IF( ISERROR(INDEX(Häufigkeiten!F:F,SMALL(IF(Häufigkeiten!F$7:F$51&lt;&gt;0,ROW($7:$51)),ROW(F5)))),"",INDEX(Häufigkeiten!E:E,SMALL(IF(Häufigkeiten!F$7:F$51&lt;&gt;0,ROW($7:$51)),ROW(F5))))</f>
        <v>164</v>
      </c>
      <c r="F11" s="46">
        <f t="array" ref="F11">IF( ISERROR(INDEX(Häufigkeiten!F:F,SMALL(IF(Häufigkeiten!F$7:F$51&lt;&gt;0,ROW($7:$51)),ROW(F5)))),"",INDEX(Häufigkeiten!F:F,SMALL(IF(Häufigkeiten!F$7:F$51&lt;&gt;0,ROW($7:$51)),ROW(F5))))</f>
        <v>1</v>
      </c>
      <c r="G11" s="431">
        <f t="shared" si="1"/>
        <v>1.4285714285714285E-2</v>
      </c>
      <c r="H11" s="90"/>
      <c r="I11" s="46">
        <f>SUM(F7:F11)</f>
        <v>11</v>
      </c>
      <c r="Q11" s="46">
        <f t="array" ref="Q11">IF( ISERROR(INDEX(Häufigkeiten!R:R,SMALL(IF(Häufigkeiten!R$7:R$31&lt;&gt;0,ROW($7:$31)),ROW(R5)))),"",INDEX(Häufigkeiten!Q:Q,SMALL(IF(Häufigkeiten!R$7:R$31&lt;&gt;0,ROW($7:$31)),ROW(R5))))</f>
        <v>23</v>
      </c>
      <c r="R11" s="46">
        <f t="array" ref="R11">IF( ISERROR(INDEX(Häufigkeiten!R:R,SMALL(IF(Häufigkeiten!R$7:R$31&lt;&gt;0,ROW($7:$31)),ROW(R5)))),"",INDEX(Häufigkeiten!R:R,SMALL(IF(Häufigkeiten!R$7:R$31&lt;&gt;0,ROW($7:$31)),ROW(R5))))</f>
        <v>3</v>
      </c>
      <c r="S11" s="431">
        <f t="shared" si="2"/>
        <v>7.3170731707317069E-2</v>
      </c>
      <c r="T11" s="112"/>
      <c r="U11" s="46">
        <f t="array" ref="U11">IF( ISERROR(INDEX(Häufigkeiten!V:V,SMALL(IF(Häufigkeiten!V$7:V$51&lt;&gt;0,ROW($7:$51)),ROW(V5)))),"",INDEX(Häufigkeiten!U:U,SMALL(IF(Häufigkeiten!V$7:V$51&lt;&gt;0,ROW($7:$51)),ROW(V5))))</f>
        <v>165</v>
      </c>
      <c r="V11" s="46">
        <f t="array" ref="V11">IF( ISERROR(INDEX(Häufigkeiten!V:V,SMALL(IF(Häufigkeiten!V$7:V$51&lt;&gt;0,ROW($7:$51)),ROW(V5)))),"",INDEX(Häufigkeiten!V:V,SMALL(IF(Häufigkeiten!V$7:V$51&lt;&gt;0,ROW($7:$51)),ROW(V5))))</f>
        <v>1</v>
      </c>
      <c r="W11" s="431">
        <f t="shared" si="3"/>
        <v>2.4390243902439025E-2</v>
      </c>
      <c r="X11" s="90"/>
      <c r="AG11" s="46">
        <f t="array" ref="AG11">IF( ISERROR(INDEX(Häufigkeiten!AH:AH,SMALL(IF(Häufigkeiten!AH$7:AH$31&lt;&gt;0,ROW($7:$31)),ROW(AH5)))),"",INDEX(Häufigkeiten!AG:AG,SMALL(IF(Häufigkeiten!AH$7:AH$31&lt;&gt;0,ROW($7:$31)),ROW(AH5))))</f>
        <v>23</v>
      </c>
      <c r="AH11" s="46">
        <f t="array" ref="AH11">IF( ISERROR(INDEX(Häufigkeiten!AH:AH,SMALL(IF(Häufigkeiten!AH$7:AH$31&lt;&gt;0,ROW($7:$31)),ROW(AH5)))),"",INDEX(Häufigkeiten!AH:AH,SMALL(IF(Häufigkeiten!AH$7:AH$31&lt;&gt;0,ROW($7:$31)),ROW(AH5))))</f>
        <v>6</v>
      </c>
      <c r="AI11" s="431">
        <f t="shared" si="4"/>
        <v>0.20689655172413793</v>
      </c>
      <c r="AJ11" s="134"/>
      <c r="AK11" s="46">
        <f t="array" ref="AK11">IF( ISERROR(INDEX(Häufigkeiten!AL:AL,SMALL(IF(Häufigkeiten!AL$7:AL$51&lt;&gt;0,ROW($7:$51)),ROW(AL5)))),"",INDEX(Häufigkeiten!AK:AK,SMALL(IF(Häufigkeiten!AL$7:AL$51&lt;&gt;0,ROW($7:$51)),ROW(AL5))))</f>
        <v>174</v>
      </c>
      <c r="AL11" s="46">
        <f t="array" ref="AL11">IF( ISERROR(INDEX(Häufigkeiten!AL:AL,SMALL(IF(Häufigkeiten!AL$7:AL$51&lt;&gt;0,ROW($7:$51)),ROW(AL5)))),"",INDEX(Häufigkeiten!AL:AL,SMALL(IF(Häufigkeiten!AL$7:AL$51&lt;&gt;0,ROW($7:$51)),ROW(AL5))))</f>
        <v>1</v>
      </c>
      <c r="AM11" s="431">
        <f t="shared" si="5"/>
        <v>3.4482758620689655E-2</v>
      </c>
      <c r="AN11" s="90"/>
    </row>
    <row r="12" spans="1:47" s="46" customFormat="1" x14ac:dyDescent="0.25">
      <c r="A12" s="46">
        <f t="array" ref="A12">IF( ISERROR(INDEX(Häufigkeiten!B:B,SMALL(IF(Häufigkeiten!B$7:B$31&lt;&gt;0,ROW($7:$31)),ROW(B6)))),"",INDEX(Häufigkeiten!A:A,SMALL(IF(Häufigkeiten!B$7:B$31&lt;&gt;0,ROW($7:$31)),ROW(B6))))</f>
        <v>24</v>
      </c>
      <c r="B12" s="46">
        <f t="array" ref="B12">IF( ISERROR(INDEX(Häufigkeiten!B:B,SMALL(IF(Häufigkeiten!B$7:B$31&lt;&gt;0,ROW($7:$31)),ROW(B6)))),"",INDEX(Häufigkeiten!B:B,SMALL(IF(Häufigkeiten!B$7:B$31&lt;&gt;0,ROW($7:$31)),ROW(B6))))</f>
        <v>6</v>
      </c>
      <c r="C12" s="431">
        <f t="shared" si="0"/>
        <v>8.5714285714285715E-2</v>
      </c>
      <c r="D12" s="90"/>
      <c r="E12" s="46">
        <f t="array" ref="E12">IF( ISERROR(INDEX(Häufigkeiten!F:F,SMALL(IF(Häufigkeiten!F$7:F$51&lt;&gt;0,ROW($7:$51)),ROW(F6)))),"",INDEX(Häufigkeiten!E:E,SMALL(IF(Häufigkeiten!F$7:F$51&lt;&gt;0,ROW($7:$51)),ROW(F6))))</f>
        <v>165</v>
      </c>
      <c r="F12" s="46">
        <f t="array" ref="F12">IF( ISERROR(INDEX(Häufigkeiten!F:F,SMALL(IF(Häufigkeiten!F$7:F$51&lt;&gt;0,ROW($7:$51)),ROW(F6)))),"",INDEX(Häufigkeiten!F:F,SMALL(IF(Häufigkeiten!F$7:F$51&lt;&gt;0,ROW($7:$51)),ROW(F6))))</f>
        <v>3</v>
      </c>
      <c r="G12" s="431">
        <f t="shared" si="1"/>
        <v>4.2857142857142858E-2</v>
      </c>
      <c r="H12" s="90"/>
      <c r="Q12" s="46">
        <f t="array" ref="Q12">IF( ISERROR(INDEX(Häufigkeiten!R:R,SMALL(IF(Häufigkeiten!R$7:R$31&lt;&gt;0,ROW($7:$31)),ROW(R6)))),"",INDEX(Häufigkeiten!Q:Q,SMALL(IF(Häufigkeiten!R$7:R$31&lt;&gt;0,ROW($7:$31)),ROW(R6))))</f>
        <v>24</v>
      </c>
      <c r="R12" s="46">
        <f t="array" ref="R12">IF( ISERROR(INDEX(Häufigkeiten!R:R,SMALL(IF(Häufigkeiten!R$7:R$31&lt;&gt;0,ROW($7:$31)),ROW(R6)))),"",INDEX(Häufigkeiten!R:R,SMALL(IF(Häufigkeiten!R$7:R$31&lt;&gt;0,ROW($7:$31)),ROW(R6))))</f>
        <v>5</v>
      </c>
      <c r="S12" s="431">
        <f t="shared" si="2"/>
        <v>0.12195121951219512</v>
      </c>
      <c r="T12" s="112"/>
      <c r="U12" s="46">
        <f t="array" ref="U12">IF( ISERROR(INDEX(Häufigkeiten!V:V,SMALL(IF(Häufigkeiten!V$7:V$51&lt;&gt;0,ROW($7:$51)),ROW(V6)))),"",INDEX(Häufigkeiten!U:U,SMALL(IF(Häufigkeiten!V$7:V$51&lt;&gt;0,ROW($7:$51)),ROW(V6))))</f>
        <v>168</v>
      </c>
      <c r="V12" s="46">
        <f t="array" ref="V12">IF( ISERROR(INDEX(Häufigkeiten!V:V,SMALL(IF(Häufigkeiten!V$7:V$51&lt;&gt;0,ROW($7:$51)),ROW(V6)))),"",INDEX(Häufigkeiten!V:V,SMALL(IF(Häufigkeiten!V$7:V$51&lt;&gt;0,ROW($7:$51)),ROW(V6))))</f>
        <v>1</v>
      </c>
      <c r="W12" s="431">
        <f t="shared" si="3"/>
        <v>2.4390243902439025E-2</v>
      </c>
      <c r="X12" s="90"/>
      <c r="AG12" s="46">
        <f t="array" ref="AG12">IF( ISERROR(INDEX(Häufigkeiten!AH:AH,SMALL(IF(Häufigkeiten!AH$7:AH$31&lt;&gt;0,ROW($7:$31)),ROW(AH6)))),"",INDEX(Häufigkeiten!AG:AG,SMALL(IF(Häufigkeiten!AH$7:AH$31&lt;&gt;0,ROW($7:$31)),ROW(AH6))))</f>
        <v>24</v>
      </c>
      <c r="AH12" s="46">
        <f t="array" ref="AH12">IF( ISERROR(INDEX(Häufigkeiten!AH:AH,SMALL(IF(Häufigkeiten!AH$7:AH$31&lt;&gt;0,ROW($7:$31)),ROW(AH6)))),"",INDEX(Häufigkeiten!AH:AH,SMALL(IF(Häufigkeiten!AH$7:AH$31&lt;&gt;0,ROW($7:$31)),ROW(AH6))))</f>
        <v>1</v>
      </c>
      <c r="AI12" s="431">
        <f t="shared" si="4"/>
        <v>3.4482758620689655E-2</v>
      </c>
      <c r="AJ12" s="134"/>
      <c r="AK12" s="46">
        <f t="array" ref="AK12">IF( ISERROR(INDEX(Häufigkeiten!AL:AL,SMALL(IF(Häufigkeiten!AL$7:AL$51&lt;&gt;0,ROW($7:$51)),ROW(AL6)))),"",INDEX(Häufigkeiten!AK:AK,SMALL(IF(Häufigkeiten!AL$7:AL$51&lt;&gt;0,ROW($7:$51)),ROW(AL6))))</f>
        <v>175</v>
      </c>
      <c r="AL12" s="46">
        <f t="array" ref="AL12">IF( ISERROR(INDEX(Häufigkeiten!AL:AL,SMALL(IF(Häufigkeiten!AL$7:AL$51&lt;&gt;0,ROW($7:$51)),ROW(AL6)))),"",INDEX(Häufigkeiten!AL:AL,SMALL(IF(Häufigkeiten!AL$7:AL$51&lt;&gt;0,ROW($7:$51)),ROW(AL6))))</f>
        <v>1</v>
      </c>
      <c r="AM12" s="431">
        <f t="shared" si="5"/>
        <v>3.4482758620689655E-2</v>
      </c>
      <c r="AN12" s="90"/>
    </row>
    <row r="13" spans="1:47" s="46" customFormat="1" x14ac:dyDescent="0.25">
      <c r="A13" s="46">
        <f t="array" ref="A13">IF( ISERROR(INDEX(Häufigkeiten!B:B,SMALL(IF(Häufigkeiten!B$7:B$31&lt;&gt;0,ROW($7:$31)),ROW(B7)))),"",INDEX(Häufigkeiten!A:A,SMALL(IF(Häufigkeiten!B$7:B$31&lt;&gt;0,ROW($7:$31)),ROW(B7))))</f>
        <v>25</v>
      </c>
      <c r="B13" s="46">
        <f t="array" ref="B13">IF( ISERROR(INDEX(Häufigkeiten!B:B,SMALL(IF(Häufigkeiten!B$7:B$31&lt;&gt;0,ROW($7:$31)),ROW(B7)))),"",INDEX(Häufigkeiten!B:B,SMALL(IF(Häufigkeiten!B$7:B$31&lt;&gt;0,ROW($7:$31)),ROW(B7))))</f>
        <v>8</v>
      </c>
      <c r="C13" s="431">
        <f t="shared" si="0"/>
        <v>0.11428571428571428</v>
      </c>
      <c r="D13" s="90"/>
      <c r="E13" s="46">
        <f t="array" ref="E13">IF( ISERROR(INDEX(Häufigkeiten!F:F,SMALL(IF(Häufigkeiten!F$7:F$51&lt;&gt;0,ROW($7:$51)),ROW(F7)))),"",INDEX(Häufigkeiten!E:E,SMALL(IF(Häufigkeiten!F$7:F$51&lt;&gt;0,ROW($7:$51)),ROW(F7))))</f>
        <v>168</v>
      </c>
      <c r="F13" s="46">
        <f t="array" ref="F13">IF( ISERROR(INDEX(Häufigkeiten!F:F,SMALL(IF(Häufigkeiten!F$7:F$51&lt;&gt;0,ROW($7:$51)),ROW(F7)))),"",INDEX(Häufigkeiten!F:F,SMALL(IF(Häufigkeiten!F$7:F$51&lt;&gt;0,ROW($7:$51)),ROW(F7))))</f>
        <v>1</v>
      </c>
      <c r="G13" s="431">
        <f t="shared" si="1"/>
        <v>1.4285714285714285E-2</v>
      </c>
      <c r="H13" s="90"/>
      <c r="Q13" s="46">
        <f t="array" ref="Q13">IF( ISERROR(INDEX(Häufigkeiten!R:R,SMALL(IF(Häufigkeiten!R$7:R$31&lt;&gt;0,ROW($7:$31)),ROW(R7)))),"",INDEX(Häufigkeiten!Q:Q,SMALL(IF(Häufigkeiten!R$7:R$31&lt;&gt;0,ROW($7:$31)),ROW(R7))))</f>
        <v>25</v>
      </c>
      <c r="R13" s="46">
        <f t="array" ref="R13">IF( ISERROR(INDEX(Häufigkeiten!R:R,SMALL(IF(Häufigkeiten!R$7:R$31&lt;&gt;0,ROW($7:$31)),ROW(R7)))),"",INDEX(Häufigkeiten!R:R,SMALL(IF(Häufigkeiten!R$7:R$31&lt;&gt;0,ROW($7:$31)),ROW(R7))))</f>
        <v>3</v>
      </c>
      <c r="S13" s="431">
        <f t="shared" si="2"/>
        <v>7.3170731707317069E-2</v>
      </c>
      <c r="T13" s="112"/>
      <c r="U13" s="46">
        <f t="array" ref="U13">IF( ISERROR(INDEX(Häufigkeiten!V:V,SMALL(IF(Häufigkeiten!V$7:V$51&lt;&gt;0,ROW($7:$51)),ROW(V7)))),"",INDEX(Häufigkeiten!U:U,SMALL(IF(Häufigkeiten!V$7:V$51&lt;&gt;0,ROW($7:$51)),ROW(V7))))</f>
        <v>169</v>
      </c>
      <c r="V13" s="46">
        <f t="array" ref="V13">IF( ISERROR(INDEX(Häufigkeiten!V:V,SMALL(IF(Häufigkeiten!V$7:V$51&lt;&gt;0,ROW($7:$51)),ROW(V7)))),"",INDEX(Häufigkeiten!V:V,SMALL(IF(Häufigkeiten!V$7:V$51&lt;&gt;0,ROW($7:$51)),ROW(V7))))</f>
        <v>1</v>
      </c>
      <c r="W13" s="431">
        <f t="shared" si="3"/>
        <v>2.4390243902439025E-2</v>
      </c>
      <c r="X13" s="90"/>
      <c r="AG13" s="46">
        <f t="array" ref="AG13">IF( ISERROR(INDEX(Häufigkeiten!AH:AH,SMALL(IF(Häufigkeiten!AH$7:AH$31&lt;&gt;0,ROW($7:$31)),ROW(AH7)))),"",INDEX(Häufigkeiten!AG:AG,SMALL(IF(Häufigkeiten!AH$7:AH$31&lt;&gt;0,ROW($7:$31)),ROW(AH7))))</f>
        <v>25</v>
      </c>
      <c r="AH13" s="46">
        <f t="array" ref="AH13">IF( ISERROR(INDEX(Häufigkeiten!AH:AH,SMALL(IF(Häufigkeiten!AH$7:AH$31&lt;&gt;0,ROW($7:$31)),ROW(AH7)))),"",INDEX(Häufigkeiten!AH:AH,SMALL(IF(Häufigkeiten!AH$7:AH$31&lt;&gt;0,ROW($7:$31)),ROW(AH7))))</f>
        <v>5</v>
      </c>
      <c r="AI13" s="431">
        <f t="shared" si="4"/>
        <v>0.17241379310344829</v>
      </c>
      <c r="AJ13" s="134"/>
      <c r="AK13" s="46">
        <f t="array" ref="AK13">IF( ISERROR(INDEX(Häufigkeiten!AL:AL,SMALL(IF(Häufigkeiten!AL$7:AL$51&lt;&gt;0,ROW($7:$51)),ROW(AL7)))),"",INDEX(Häufigkeiten!AK:AK,SMALL(IF(Häufigkeiten!AL$7:AL$51&lt;&gt;0,ROW($7:$51)),ROW(AL7))))</f>
        <v>176</v>
      </c>
      <c r="AL13" s="46">
        <f t="array" ref="AL13">IF( ISERROR(INDEX(Häufigkeiten!AL:AL,SMALL(IF(Häufigkeiten!AL$7:AL$51&lt;&gt;0,ROW($7:$51)),ROW(AL7)))),"",INDEX(Häufigkeiten!AL:AL,SMALL(IF(Häufigkeiten!AL$7:AL$51&lt;&gt;0,ROW($7:$51)),ROW(AL7))))</f>
        <v>5</v>
      </c>
      <c r="AM13" s="431">
        <f t="shared" si="5"/>
        <v>0.17241379310344829</v>
      </c>
      <c r="AN13" s="90"/>
    </row>
    <row r="14" spans="1:47" s="46" customFormat="1" x14ac:dyDescent="0.25">
      <c r="A14" s="46">
        <f t="array" ref="A14">IF( ISERROR(INDEX(Häufigkeiten!B:B,SMALL(IF(Häufigkeiten!B$7:B$31&lt;&gt;0,ROW($7:$31)),ROW(B8)))),"",INDEX(Häufigkeiten!A:A,SMALL(IF(Häufigkeiten!B$7:B$31&lt;&gt;0,ROW($7:$31)),ROW(B8))))</f>
        <v>26</v>
      </c>
      <c r="B14" s="46">
        <f t="array" ref="B14">IF( ISERROR(INDEX(Häufigkeiten!B:B,SMALL(IF(Häufigkeiten!B$7:B$31&lt;&gt;0,ROW($7:$31)),ROW(B8)))),"",INDEX(Häufigkeiten!B:B,SMALL(IF(Häufigkeiten!B$7:B$31&lt;&gt;0,ROW($7:$31)),ROW(B8))))</f>
        <v>6</v>
      </c>
      <c r="C14" s="431">
        <f t="shared" si="0"/>
        <v>8.5714285714285715E-2</v>
      </c>
      <c r="D14" s="90"/>
      <c r="E14" s="46">
        <f t="array" ref="E14">IF( ISERROR(INDEX(Häufigkeiten!F:F,SMALL(IF(Häufigkeiten!F$7:F$51&lt;&gt;0,ROW($7:$51)),ROW(F8)))),"",INDEX(Häufigkeiten!E:E,SMALL(IF(Häufigkeiten!F$7:F$51&lt;&gt;0,ROW($7:$51)),ROW(F8))))</f>
        <v>169</v>
      </c>
      <c r="F14" s="46">
        <f t="array" ref="F14">IF( ISERROR(INDEX(Häufigkeiten!F:F,SMALL(IF(Häufigkeiten!F$7:F$51&lt;&gt;0,ROW($7:$51)),ROW(F8)))),"",INDEX(Häufigkeiten!F:F,SMALL(IF(Häufigkeiten!F$7:F$51&lt;&gt;0,ROW($7:$51)),ROW(F8))))</f>
        <v>1</v>
      </c>
      <c r="G14" s="431">
        <f t="shared" si="1"/>
        <v>1.4285714285714285E-2</v>
      </c>
      <c r="H14" s="90"/>
      <c r="Q14" s="46">
        <f t="array" ref="Q14">IF( ISERROR(INDEX(Häufigkeiten!R:R,SMALL(IF(Häufigkeiten!R$7:R$31&lt;&gt;0,ROW($7:$31)),ROW(R8)))),"",INDEX(Häufigkeiten!Q:Q,SMALL(IF(Häufigkeiten!R$7:R$31&lt;&gt;0,ROW($7:$31)),ROW(R8))))</f>
        <v>26</v>
      </c>
      <c r="R14" s="46">
        <f t="array" ref="R14">IF( ISERROR(INDEX(Häufigkeiten!R:R,SMALL(IF(Häufigkeiten!R$7:R$31&lt;&gt;0,ROW($7:$31)),ROW(R8)))),"",INDEX(Häufigkeiten!R:R,SMALL(IF(Häufigkeiten!R$7:R$31&lt;&gt;0,ROW($7:$31)),ROW(R8))))</f>
        <v>2</v>
      </c>
      <c r="S14" s="431">
        <f t="shared" si="2"/>
        <v>4.878048780487805E-2</v>
      </c>
      <c r="T14" s="112"/>
      <c r="U14" s="46">
        <f t="array" ref="U14">IF( ISERROR(INDEX(Häufigkeiten!V:V,SMALL(IF(Häufigkeiten!V$7:V$51&lt;&gt;0,ROW($7:$51)),ROW(V8)))),"",INDEX(Häufigkeiten!U:U,SMALL(IF(Häufigkeiten!V$7:V$51&lt;&gt;0,ROW($7:$51)),ROW(V8))))</f>
        <v>170</v>
      </c>
      <c r="V14" s="46">
        <f t="array" ref="V14">IF( ISERROR(INDEX(Häufigkeiten!V:V,SMALL(IF(Häufigkeiten!V$7:V$51&lt;&gt;0,ROW($7:$51)),ROW(V8)))),"",INDEX(Häufigkeiten!V:V,SMALL(IF(Häufigkeiten!V$7:V$51&lt;&gt;0,ROW($7:$51)),ROW(V8))))</f>
        <v>5</v>
      </c>
      <c r="W14" s="431">
        <f t="shared" si="3"/>
        <v>0.12195121951219512</v>
      </c>
      <c r="X14" s="90"/>
      <c r="AG14" s="46">
        <f t="array" ref="AG14">IF( ISERROR(INDEX(Häufigkeiten!AH:AH,SMALL(IF(Häufigkeiten!AH$7:AH$31&lt;&gt;0,ROW($7:$31)),ROW(AH8)))),"",INDEX(Häufigkeiten!AG:AG,SMALL(IF(Häufigkeiten!AH$7:AH$31&lt;&gt;0,ROW($7:$31)),ROW(AH8))))</f>
        <v>26</v>
      </c>
      <c r="AH14" s="46">
        <f t="array" ref="AH14">IF( ISERROR(INDEX(Häufigkeiten!AH:AH,SMALL(IF(Häufigkeiten!AH$7:AH$31&lt;&gt;0,ROW($7:$31)),ROW(AH8)))),"",INDEX(Häufigkeiten!AH:AH,SMALL(IF(Häufigkeiten!AH$7:AH$31&lt;&gt;0,ROW($7:$31)),ROW(AH8))))</f>
        <v>4</v>
      </c>
      <c r="AI14" s="431">
        <f t="shared" si="4"/>
        <v>0.13793103448275862</v>
      </c>
      <c r="AJ14" s="134"/>
      <c r="AK14" s="46">
        <f t="array" ref="AK14">IF( ISERROR(INDEX(Häufigkeiten!AL:AL,SMALL(IF(Häufigkeiten!AL$7:AL$51&lt;&gt;0,ROW($7:$51)),ROW(AL8)))),"",INDEX(Häufigkeiten!AK:AK,SMALL(IF(Häufigkeiten!AL$7:AL$51&lt;&gt;0,ROW($7:$51)),ROW(AL8))))</f>
        <v>178</v>
      </c>
      <c r="AL14" s="46">
        <f t="array" ref="AL14">IF( ISERROR(INDEX(Häufigkeiten!AL:AL,SMALL(IF(Häufigkeiten!AL$7:AL$51&lt;&gt;0,ROW($7:$51)),ROW(AL8)))),"",INDEX(Häufigkeiten!AL:AL,SMALL(IF(Häufigkeiten!AL$7:AL$51&lt;&gt;0,ROW($7:$51)),ROW(AL8))))</f>
        <v>2</v>
      </c>
      <c r="AM14" s="431">
        <f t="shared" si="5"/>
        <v>6.8965517241379309E-2</v>
      </c>
      <c r="AN14" s="90"/>
    </row>
    <row r="15" spans="1:47" s="46" customFormat="1" x14ac:dyDescent="0.25">
      <c r="A15" s="46">
        <f t="array" ref="A15">IF( ISERROR(INDEX(Häufigkeiten!B:B,SMALL(IF(Häufigkeiten!B$7:B$31&lt;&gt;0,ROW($7:$31)),ROW(B9)))),"",INDEX(Häufigkeiten!A:A,SMALL(IF(Häufigkeiten!B$7:B$31&lt;&gt;0,ROW($7:$31)),ROW(B9))))</f>
        <v>27</v>
      </c>
      <c r="B15" s="46">
        <f t="array" ref="B15">IF( ISERROR(INDEX(Häufigkeiten!B:B,SMALL(IF(Häufigkeiten!B$7:B$31&lt;&gt;0,ROW($7:$31)),ROW(B9)))),"",INDEX(Häufigkeiten!B:B,SMALL(IF(Häufigkeiten!B$7:B$31&lt;&gt;0,ROW($7:$31)),ROW(B9))))</f>
        <v>1</v>
      </c>
      <c r="C15" s="431">
        <f t="shared" si="0"/>
        <v>1.4285714285714285E-2</v>
      </c>
      <c r="D15" s="90"/>
      <c r="E15" s="46">
        <f t="array" ref="E15">IF( ISERROR(INDEX(Häufigkeiten!F:F,SMALL(IF(Häufigkeiten!F$7:F$51&lt;&gt;0,ROW($7:$51)),ROW(F9)))),"",INDEX(Häufigkeiten!E:E,SMALL(IF(Häufigkeiten!F$7:F$51&lt;&gt;0,ROW($7:$51)),ROW(F9))))</f>
        <v>170</v>
      </c>
      <c r="F15" s="46">
        <f t="array" ref="F15">IF( ISERROR(INDEX(Häufigkeiten!F:F,SMALL(IF(Häufigkeiten!F$7:F$51&lt;&gt;0,ROW($7:$51)),ROW(F9)))),"",INDEX(Häufigkeiten!F:F,SMALL(IF(Häufigkeiten!F$7:F$51&lt;&gt;0,ROW($7:$51)),ROW(F9))))</f>
        <v>7</v>
      </c>
      <c r="G15" s="431">
        <f t="shared" si="1"/>
        <v>0.1</v>
      </c>
      <c r="H15" s="90"/>
      <c r="I15" s="46">
        <f>SUM(F12:F15)</f>
        <v>12</v>
      </c>
      <c r="Q15" s="46">
        <f t="array" ref="Q15">IF( ISERROR(INDEX(Häufigkeiten!R:R,SMALL(IF(Häufigkeiten!R$7:R$31&lt;&gt;0,ROW($7:$31)),ROW(R9)))),"",INDEX(Häufigkeiten!Q:Q,SMALL(IF(Häufigkeiten!R$7:R$31&lt;&gt;0,ROW($7:$31)),ROW(R9))))</f>
        <v>27</v>
      </c>
      <c r="R15" s="46">
        <f t="array" ref="R15">IF( ISERROR(INDEX(Häufigkeiten!R:R,SMALL(IF(Häufigkeiten!R$7:R$31&lt;&gt;0,ROW($7:$31)),ROW(R9)))),"",INDEX(Häufigkeiten!R:R,SMALL(IF(Häufigkeiten!R$7:R$31&lt;&gt;0,ROW($7:$31)),ROW(R9))))</f>
        <v>1</v>
      </c>
      <c r="S15" s="431">
        <f t="shared" si="2"/>
        <v>2.4390243902439025E-2</v>
      </c>
      <c r="T15" s="112"/>
      <c r="U15" s="46">
        <f t="array" ref="U15">IF( ISERROR(INDEX(Häufigkeiten!V:V,SMALL(IF(Häufigkeiten!V$7:V$51&lt;&gt;0,ROW($7:$51)),ROW(V9)))),"",INDEX(Häufigkeiten!U:U,SMALL(IF(Häufigkeiten!V$7:V$51&lt;&gt;0,ROW($7:$51)),ROW(V9))))</f>
        <v>171</v>
      </c>
      <c r="V15" s="46">
        <f t="array" ref="V15">IF( ISERROR(INDEX(Häufigkeiten!V:V,SMALL(IF(Häufigkeiten!V$7:V$51&lt;&gt;0,ROW($7:$51)),ROW(V9)))),"",INDEX(Häufigkeiten!V:V,SMALL(IF(Häufigkeiten!V$7:V$51&lt;&gt;0,ROW($7:$51)),ROW(V9))))</f>
        <v>1</v>
      </c>
      <c r="W15" s="431">
        <f t="shared" si="3"/>
        <v>2.4390243902439025E-2</v>
      </c>
      <c r="X15" s="90"/>
      <c r="AG15" s="46" t="str">
        <f t="array" ref="AG15">IF( ISERROR(INDEX(Häufigkeiten!AH:AH,SMALL(IF(Häufigkeiten!AH$7:AH$31&lt;&gt;0,ROW($7:$31)),ROW(AH9)))),"",INDEX(Häufigkeiten!AG:AG,SMALL(IF(Häufigkeiten!AH$7:AH$31&lt;&gt;0,ROW($7:$31)),ROW(AH9))))</f>
        <v/>
      </c>
      <c r="AH15" s="46" t="str">
        <f t="array" ref="AH15">IF( ISERROR(INDEX(Häufigkeiten!AH:AH,SMALL(IF(Häufigkeiten!AH$7:AH$31&lt;&gt;0,ROW($7:$31)),ROW(AH9)))),"",INDEX(Häufigkeiten!AH:AH,SMALL(IF(Häufigkeiten!AH$7:AH$31&lt;&gt;0,ROW($7:$31)),ROW(AH9))))</f>
        <v/>
      </c>
      <c r="AI15" s="431" t="str">
        <f t="shared" si="4"/>
        <v/>
      </c>
      <c r="AJ15" s="134"/>
      <c r="AK15" s="46">
        <f t="array" ref="AK15">IF( ISERROR(INDEX(Häufigkeiten!AL:AL,SMALL(IF(Häufigkeiten!AL$7:AL$51&lt;&gt;0,ROW($7:$51)),ROW(AL9)))),"",INDEX(Häufigkeiten!AK:AK,SMALL(IF(Häufigkeiten!AL$7:AL$51&lt;&gt;0,ROW($7:$51)),ROW(AL9))))</f>
        <v>180</v>
      </c>
      <c r="AL15" s="46">
        <f t="array" ref="AL15">IF( ISERROR(INDEX(Häufigkeiten!AL:AL,SMALL(IF(Häufigkeiten!AL$7:AL$51&lt;&gt;0,ROW($7:$51)),ROW(AL9)))),"",INDEX(Häufigkeiten!AL:AL,SMALL(IF(Häufigkeiten!AL$7:AL$51&lt;&gt;0,ROW($7:$51)),ROW(AL9))))</f>
        <v>1</v>
      </c>
      <c r="AM15" s="431">
        <f t="shared" si="5"/>
        <v>3.4482758620689655E-2</v>
      </c>
      <c r="AN15" s="90"/>
    </row>
    <row r="16" spans="1:47" s="46" customFormat="1" x14ac:dyDescent="0.25">
      <c r="A16" s="46">
        <f t="array" ref="A16">IF( ISERROR(INDEX(Häufigkeiten!B:B,SMALL(IF(Häufigkeiten!B$7:B$31&lt;&gt;0,ROW($7:$31)),ROW(B10)))),"",INDEX(Häufigkeiten!A:A,SMALL(IF(Häufigkeiten!B$7:B$31&lt;&gt;0,ROW($7:$31)),ROW(B10))))</f>
        <v>28</v>
      </c>
      <c r="B16" s="46">
        <f t="array" ref="B16">IF( ISERROR(INDEX(Häufigkeiten!B:B,SMALL(IF(Häufigkeiten!B$7:B$31&lt;&gt;0,ROW($7:$31)),ROW(B10)))),"",INDEX(Häufigkeiten!B:B,SMALL(IF(Häufigkeiten!B$7:B$31&lt;&gt;0,ROW($7:$31)),ROW(B10))))</f>
        <v>2</v>
      </c>
      <c r="C16" s="431">
        <f t="shared" si="0"/>
        <v>2.8571428571428571E-2</v>
      </c>
      <c r="D16" s="90"/>
      <c r="E16" s="46">
        <f t="array" ref="E16">IF( ISERROR(INDEX(Häufigkeiten!F:F,SMALL(IF(Häufigkeiten!F$7:F$51&lt;&gt;0,ROW($7:$51)),ROW(F10)))),"",INDEX(Häufigkeiten!E:E,SMALL(IF(Häufigkeiten!F$7:F$51&lt;&gt;0,ROW($7:$51)),ROW(F10))))</f>
        <v>171</v>
      </c>
      <c r="F16" s="46">
        <f t="array" ref="F16">IF( ISERROR(INDEX(Häufigkeiten!F:F,SMALL(IF(Häufigkeiten!F$7:F$51&lt;&gt;0,ROW($7:$51)),ROW(F10)))),"",INDEX(Häufigkeiten!F:F,SMALL(IF(Häufigkeiten!F$7:F$51&lt;&gt;0,ROW($7:$51)),ROW(F10))))</f>
        <v>1</v>
      </c>
      <c r="G16" s="431">
        <f t="shared" si="1"/>
        <v>1.4285714285714285E-2</v>
      </c>
      <c r="H16" s="90"/>
      <c r="Q16" s="46">
        <f t="array" ref="Q16">IF( ISERROR(INDEX(Häufigkeiten!R:R,SMALL(IF(Häufigkeiten!R$7:R$31&lt;&gt;0,ROW($7:$31)),ROW(R10)))),"",INDEX(Häufigkeiten!Q:Q,SMALL(IF(Häufigkeiten!R$7:R$31&lt;&gt;0,ROW($7:$31)),ROW(R10))))</f>
        <v>28</v>
      </c>
      <c r="R16" s="46">
        <f t="array" ref="R16">IF( ISERROR(INDEX(Häufigkeiten!R:R,SMALL(IF(Häufigkeiten!R$7:R$31&lt;&gt;0,ROW($7:$31)),ROW(R10)))),"",INDEX(Häufigkeiten!R:R,SMALL(IF(Häufigkeiten!R$7:R$31&lt;&gt;0,ROW($7:$31)),ROW(R10))))</f>
        <v>2</v>
      </c>
      <c r="S16" s="431">
        <f t="shared" si="2"/>
        <v>4.878048780487805E-2</v>
      </c>
      <c r="T16" s="112"/>
      <c r="U16" s="46">
        <f t="array" ref="U16">IF( ISERROR(INDEX(Häufigkeiten!V:V,SMALL(IF(Häufigkeiten!V$7:V$51&lt;&gt;0,ROW($7:$51)),ROW(V10)))),"",INDEX(Häufigkeiten!U:U,SMALL(IF(Häufigkeiten!V$7:V$51&lt;&gt;0,ROW($7:$51)),ROW(V10))))</f>
        <v>172</v>
      </c>
      <c r="V16" s="46">
        <f t="array" ref="V16">IF( ISERROR(INDEX(Häufigkeiten!V:V,SMALL(IF(Häufigkeiten!V$7:V$51&lt;&gt;0,ROW($7:$51)),ROW(V10)))),"",INDEX(Häufigkeiten!V:V,SMALL(IF(Häufigkeiten!V$7:V$51&lt;&gt;0,ROW($7:$51)),ROW(V10))))</f>
        <v>1</v>
      </c>
      <c r="W16" s="431">
        <f t="shared" si="3"/>
        <v>2.4390243902439025E-2</v>
      </c>
      <c r="X16" s="90"/>
      <c r="AG16" s="46" t="str">
        <f t="array" ref="AG16">IF( ISERROR(INDEX(Häufigkeiten!AH:AH,SMALL(IF(Häufigkeiten!AH$7:AH$31&lt;&gt;0,ROW($7:$31)),ROW(AH10)))),"",INDEX(Häufigkeiten!AG:AG,SMALL(IF(Häufigkeiten!AH$7:AH$31&lt;&gt;0,ROW($7:$31)),ROW(AH10))))</f>
        <v/>
      </c>
      <c r="AH16" s="46" t="str">
        <f t="array" ref="AH16">IF( ISERROR(INDEX(Häufigkeiten!AH:AH,SMALL(IF(Häufigkeiten!AH$7:AH$31&lt;&gt;0,ROW($7:$31)),ROW(AH10)))),"",INDEX(Häufigkeiten!AH:AH,SMALL(IF(Häufigkeiten!AH$7:AH$31&lt;&gt;0,ROW($7:$31)),ROW(AH10))))</f>
        <v/>
      </c>
      <c r="AI16" s="431" t="str">
        <f t="shared" si="4"/>
        <v/>
      </c>
      <c r="AJ16" s="134"/>
      <c r="AK16" s="46">
        <f t="array" ref="AK16">IF( ISERROR(INDEX(Häufigkeiten!AL:AL,SMALL(IF(Häufigkeiten!AL$7:AL$51&lt;&gt;0,ROW($7:$51)),ROW(AL10)))),"",INDEX(Häufigkeiten!AK:AK,SMALL(IF(Häufigkeiten!AL$7:AL$51&lt;&gt;0,ROW($7:$51)),ROW(AL10))))</f>
        <v>182</v>
      </c>
      <c r="AL16" s="46">
        <f t="array" ref="AL16">IF( ISERROR(INDEX(Häufigkeiten!AL:AL,SMALL(IF(Häufigkeiten!AL$7:AL$51&lt;&gt;0,ROW($7:$51)),ROW(AL10)))),"",INDEX(Häufigkeiten!AL:AL,SMALL(IF(Häufigkeiten!AL$7:AL$51&lt;&gt;0,ROW($7:$51)),ROW(AL10))))</f>
        <v>2</v>
      </c>
      <c r="AM16" s="431">
        <f t="shared" si="5"/>
        <v>6.8965517241379309E-2</v>
      </c>
      <c r="AN16" s="90"/>
    </row>
    <row r="17" spans="1:40" s="46" customFormat="1" x14ac:dyDescent="0.25">
      <c r="A17" s="46" t="str">
        <f t="array" ref="A17">IF( ISERROR(INDEX(Häufigkeiten!B:B,SMALL(IF(Häufigkeiten!B$7:B$31&lt;&gt;0,ROW($7:$31)),ROW(B11)))),"",INDEX(Häufigkeiten!A:A,SMALL(IF(Häufigkeiten!B$7:B$31&lt;&gt;0,ROW($7:$31)),ROW(B11))))</f>
        <v/>
      </c>
      <c r="B17" s="46" t="str">
        <f t="array" ref="B17">IF( ISERROR(INDEX(Häufigkeiten!B:B,SMALL(IF(Häufigkeiten!B$7:B$31&lt;&gt;0,ROW($7:$31)),ROW(B11)))),"",INDEX(Häufigkeiten!B:B,SMALL(IF(Häufigkeiten!B$7:B$31&lt;&gt;0,ROW($7:$31)),ROW(B11))))</f>
        <v/>
      </c>
      <c r="C17" s="431" t="str">
        <f t="shared" si="0"/>
        <v/>
      </c>
      <c r="D17" s="90"/>
      <c r="E17" s="46">
        <f t="array" ref="E17">IF( ISERROR(INDEX(Häufigkeiten!F:F,SMALL(IF(Häufigkeiten!F$7:F$51&lt;&gt;0,ROW($7:$51)),ROW(F11)))),"",INDEX(Häufigkeiten!E:E,SMALL(IF(Häufigkeiten!F$7:F$51&lt;&gt;0,ROW($7:$51)),ROW(F11))))</f>
        <v>172</v>
      </c>
      <c r="F17" s="46">
        <f t="array" ref="F17">IF( ISERROR(INDEX(Häufigkeiten!F:F,SMALL(IF(Häufigkeiten!F$7:F$51&lt;&gt;0,ROW($7:$51)),ROW(F11)))),"",INDEX(Häufigkeiten!F:F,SMALL(IF(Häufigkeiten!F$7:F$51&lt;&gt;0,ROW($7:$51)),ROW(F11))))</f>
        <v>1</v>
      </c>
      <c r="G17" s="431">
        <f t="shared" si="1"/>
        <v>1.4285714285714285E-2</v>
      </c>
      <c r="H17" s="90"/>
      <c r="Q17" s="46" t="str">
        <f t="array" ref="Q17">IF( ISERROR(INDEX(Häufigkeiten!R:R,SMALL(IF(Häufigkeiten!R$7:R$31&lt;&gt;0,ROW($7:$31)),ROW(R11)))),"",INDEX(Häufigkeiten!Q:Q,SMALL(IF(Häufigkeiten!R$7:R$31&lt;&gt;0,ROW($7:$31)),ROW(R11))))</f>
        <v/>
      </c>
      <c r="R17" s="46" t="str">
        <f t="array" ref="R17">IF( ISERROR(INDEX(Häufigkeiten!R:R,SMALL(IF(Häufigkeiten!R$7:R$31&lt;&gt;0,ROW($7:$31)),ROW(R11)))),"",INDEX(Häufigkeiten!R:R,SMALL(IF(Häufigkeiten!R$7:R$31&lt;&gt;0,ROW($7:$31)),ROW(R11))))</f>
        <v/>
      </c>
      <c r="S17" s="431" t="str">
        <f t="shared" si="2"/>
        <v/>
      </c>
      <c r="T17" s="112"/>
      <c r="U17" s="46">
        <f t="array" ref="U17">IF( ISERROR(INDEX(Häufigkeiten!V:V,SMALL(IF(Häufigkeiten!V$7:V$51&lt;&gt;0,ROW($7:$51)),ROW(V11)))),"",INDEX(Häufigkeiten!U:U,SMALL(IF(Häufigkeiten!V$7:V$51&lt;&gt;0,ROW($7:$51)),ROW(V11))))</f>
        <v>173</v>
      </c>
      <c r="V17" s="46">
        <f t="array" ref="V17">IF( ISERROR(INDEX(Häufigkeiten!V:V,SMALL(IF(Häufigkeiten!V$7:V$51&lt;&gt;0,ROW($7:$51)),ROW(V11)))),"",INDEX(Häufigkeiten!V:V,SMALL(IF(Häufigkeiten!V$7:V$51&lt;&gt;0,ROW($7:$51)),ROW(V11))))</f>
        <v>1</v>
      </c>
      <c r="W17" s="431">
        <f t="shared" si="3"/>
        <v>2.4390243902439025E-2</v>
      </c>
      <c r="X17" s="90"/>
      <c r="AG17" s="46" t="str">
        <f t="array" ref="AG17">IF( ISERROR(INDEX(Häufigkeiten!AH:AH,SMALL(IF(Häufigkeiten!AH$7:AH$31&lt;&gt;0,ROW($7:$31)),ROW(AH11)))),"",INDEX(Häufigkeiten!AG:AG,SMALL(IF(Häufigkeiten!AH$7:AH$31&lt;&gt;0,ROW($7:$31)),ROW(AH11))))</f>
        <v/>
      </c>
      <c r="AH17" s="46" t="str">
        <f t="array" ref="AH17">IF( ISERROR(INDEX(Häufigkeiten!AH:AH,SMALL(IF(Häufigkeiten!AH$7:AH$31&lt;&gt;0,ROW($7:$31)),ROW(AH11)))),"",INDEX(Häufigkeiten!AH:AH,SMALL(IF(Häufigkeiten!AH$7:AH$31&lt;&gt;0,ROW($7:$31)),ROW(AH11))))</f>
        <v/>
      </c>
      <c r="AI17" s="431" t="str">
        <f t="shared" si="4"/>
        <v/>
      </c>
      <c r="AJ17" s="134"/>
      <c r="AK17" s="46">
        <f t="array" ref="AK17">IF( ISERROR(INDEX(Häufigkeiten!AL:AL,SMALL(IF(Häufigkeiten!AL$7:AL$51&lt;&gt;0,ROW($7:$51)),ROW(AL11)))),"",INDEX(Häufigkeiten!AK:AK,SMALL(IF(Häufigkeiten!AL$7:AL$51&lt;&gt;0,ROW($7:$51)),ROW(AL11))))</f>
        <v>183</v>
      </c>
      <c r="AL17" s="46">
        <f t="array" ref="AL17">IF( ISERROR(INDEX(Häufigkeiten!AL:AL,SMALL(IF(Häufigkeiten!AL$7:AL$51&lt;&gt;0,ROW($7:$51)),ROW(AL11)))),"",INDEX(Häufigkeiten!AL:AL,SMALL(IF(Häufigkeiten!AL$7:AL$51&lt;&gt;0,ROW($7:$51)),ROW(AL11))))</f>
        <v>2</v>
      </c>
      <c r="AM17" s="431">
        <f t="shared" si="5"/>
        <v>6.8965517241379309E-2</v>
      </c>
      <c r="AN17" s="90"/>
    </row>
    <row r="18" spans="1:40" s="46" customFormat="1" x14ac:dyDescent="0.25">
      <c r="A18" s="46" t="str">
        <f t="array" ref="A18">IF( ISERROR(INDEX(Häufigkeiten!B:B,SMALL(IF(Häufigkeiten!B$7:B$31&lt;&gt;0,ROW($7:$31)),ROW(B12)))),"",INDEX(Häufigkeiten!A:A,SMALL(IF(Häufigkeiten!B$7:B$31&lt;&gt;0,ROW($7:$31)),ROW(B12))))</f>
        <v/>
      </c>
      <c r="B18" s="46" t="str">
        <f t="array" ref="B18">IF( ISERROR(INDEX(Häufigkeiten!B:B,SMALL(IF(Häufigkeiten!B$7:B$31&lt;&gt;0,ROW($7:$31)),ROW(B12)))),"",INDEX(Häufigkeiten!B:B,SMALL(IF(Häufigkeiten!B$7:B$31&lt;&gt;0,ROW($7:$31)),ROW(B12))))</f>
        <v/>
      </c>
      <c r="C18" s="431" t="str">
        <f t="shared" si="0"/>
        <v/>
      </c>
      <c r="D18" s="90"/>
      <c r="E18" s="46">
        <f t="array" ref="E18">IF( ISERROR(INDEX(Häufigkeiten!F:F,SMALL(IF(Häufigkeiten!F$7:F$51&lt;&gt;0,ROW($7:$51)),ROW(F12)))),"",INDEX(Häufigkeiten!E:E,SMALL(IF(Häufigkeiten!F$7:F$51&lt;&gt;0,ROW($7:$51)),ROW(F12))))</f>
        <v>173</v>
      </c>
      <c r="F18" s="46">
        <f t="array" ref="F18">IF( ISERROR(INDEX(Häufigkeiten!F:F,SMALL(IF(Häufigkeiten!F$7:F$51&lt;&gt;0,ROW($7:$51)),ROW(F12)))),"",INDEX(Häufigkeiten!F:F,SMALL(IF(Häufigkeiten!F$7:F$51&lt;&gt;0,ROW($7:$51)),ROW(F12))))</f>
        <v>1</v>
      </c>
      <c r="G18" s="431">
        <f t="shared" si="1"/>
        <v>1.4285714285714285E-2</v>
      </c>
      <c r="H18" s="90"/>
      <c r="Q18" s="46" t="str">
        <f t="array" ref="Q18">IF( ISERROR(INDEX(Häufigkeiten!R:R,SMALL(IF(Häufigkeiten!R$7:R$31&lt;&gt;0,ROW($7:$31)),ROW(R12)))),"",INDEX(Häufigkeiten!Q:Q,SMALL(IF(Häufigkeiten!R$7:R$31&lt;&gt;0,ROW($7:$31)),ROW(R12))))</f>
        <v/>
      </c>
      <c r="R18" s="46" t="str">
        <f t="array" ref="R18">IF( ISERROR(INDEX(Häufigkeiten!R:R,SMALL(IF(Häufigkeiten!R$7:R$31&lt;&gt;0,ROW($7:$31)),ROW(R12)))),"",INDEX(Häufigkeiten!R:R,SMALL(IF(Häufigkeiten!R$7:R$31&lt;&gt;0,ROW($7:$31)),ROW(R12))))</f>
        <v/>
      </c>
      <c r="S18" s="431" t="str">
        <f t="shared" si="2"/>
        <v/>
      </c>
      <c r="T18" s="112"/>
      <c r="U18" s="46">
        <f t="array" ref="U18">IF( ISERROR(INDEX(Häufigkeiten!V:V,SMALL(IF(Häufigkeiten!V$7:V$51&lt;&gt;0,ROW($7:$51)),ROW(V12)))),"",INDEX(Häufigkeiten!U:U,SMALL(IF(Häufigkeiten!V$7:V$51&lt;&gt;0,ROW($7:$51)),ROW(V12))))</f>
        <v>174</v>
      </c>
      <c r="V18" s="46">
        <f t="array" ref="V18">IF( ISERROR(INDEX(Häufigkeiten!V:V,SMALL(IF(Häufigkeiten!V$7:V$51&lt;&gt;0,ROW($7:$51)),ROW(V12)))),"",INDEX(Häufigkeiten!V:V,SMALL(IF(Häufigkeiten!V$7:V$51&lt;&gt;0,ROW($7:$51)),ROW(V12))))</f>
        <v>2</v>
      </c>
      <c r="W18" s="431">
        <f t="shared" si="3"/>
        <v>4.878048780487805E-2</v>
      </c>
      <c r="X18" s="90"/>
      <c r="AG18" s="46" t="str">
        <f t="array" ref="AG18">IF( ISERROR(INDEX(Häufigkeiten!AH:AH,SMALL(IF(Häufigkeiten!AH$7:AH$31&lt;&gt;0,ROW($7:$31)),ROW(AH12)))),"",INDEX(Häufigkeiten!AG:AG,SMALL(IF(Häufigkeiten!AH$7:AH$31&lt;&gt;0,ROW($7:$31)),ROW(AH12))))</f>
        <v/>
      </c>
      <c r="AH18" s="46" t="str">
        <f t="array" ref="AH18">IF( ISERROR(INDEX(Häufigkeiten!AH:AH,SMALL(IF(Häufigkeiten!AH$7:AH$31&lt;&gt;0,ROW($7:$31)),ROW(AH12)))),"",INDEX(Häufigkeiten!AH:AH,SMALL(IF(Häufigkeiten!AH$7:AH$31&lt;&gt;0,ROW($7:$31)),ROW(AH12))))</f>
        <v/>
      </c>
      <c r="AI18" s="431" t="str">
        <f t="shared" si="4"/>
        <v/>
      </c>
      <c r="AJ18" s="134"/>
      <c r="AK18" s="46">
        <f t="array" ref="AK18">IF( ISERROR(INDEX(Häufigkeiten!AL:AL,SMALL(IF(Häufigkeiten!AL$7:AL$51&lt;&gt;0,ROW($7:$51)),ROW(AL12)))),"",INDEX(Häufigkeiten!AK:AK,SMALL(IF(Häufigkeiten!AL$7:AL$51&lt;&gt;0,ROW($7:$51)),ROW(AL12))))</f>
        <v>184</v>
      </c>
      <c r="AL18" s="46">
        <f t="array" ref="AL18">IF( ISERROR(INDEX(Häufigkeiten!AL:AL,SMALL(IF(Häufigkeiten!AL$7:AL$51&lt;&gt;0,ROW($7:$51)),ROW(AL12)))),"",INDEX(Häufigkeiten!AL:AL,SMALL(IF(Häufigkeiten!AL$7:AL$51&lt;&gt;0,ROW($7:$51)),ROW(AL12))))</f>
        <v>2</v>
      </c>
      <c r="AM18" s="431">
        <f t="shared" si="5"/>
        <v>6.8965517241379309E-2</v>
      </c>
      <c r="AN18" s="90"/>
    </row>
    <row r="19" spans="1:40" s="46" customFormat="1" x14ac:dyDescent="0.25">
      <c r="A19" s="46" t="str">
        <f t="array" ref="A19">IF( ISERROR(INDEX(Häufigkeiten!B:B,SMALL(IF(Häufigkeiten!B$7:B$31&lt;&gt;0,ROW($7:$31)),ROW(B13)))),"",INDEX(Häufigkeiten!A:A,SMALL(IF(Häufigkeiten!B$7:B$31&lt;&gt;0,ROW($7:$31)),ROW(B13))))</f>
        <v/>
      </c>
      <c r="B19" s="46" t="str">
        <f t="array" ref="B19">IF( ISERROR(INDEX(Häufigkeiten!B:B,SMALL(IF(Häufigkeiten!B$7:B$31&lt;&gt;0,ROW($7:$31)),ROW(B13)))),"",INDEX(Häufigkeiten!B:B,SMALL(IF(Häufigkeiten!B$7:B$31&lt;&gt;0,ROW($7:$31)),ROW(B13))))</f>
        <v/>
      </c>
      <c r="C19" s="431" t="str">
        <f t="shared" si="0"/>
        <v/>
      </c>
      <c r="D19" s="90"/>
      <c r="E19" s="46">
        <f t="array" ref="E19">IF( ISERROR(INDEX(Häufigkeiten!F:F,SMALL(IF(Häufigkeiten!F$7:F$51&lt;&gt;0,ROW($7:$51)),ROW(F13)))),"",INDEX(Häufigkeiten!E:E,SMALL(IF(Häufigkeiten!F$7:F$51&lt;&gt;0,ROW($7:$51)),ROW(F13))))</f>
        <v>174</v>
      </c>
      <c r="F19" s="46">
        <f t="array" ref="F19">IF( ISERROR(INDEX(Häufigkeiten!F:F,SMALL(IF(Häufigkeiten!F$7:F$51&lt;&gt;0,ROW($7:$51)),ROW(F13)))),"",INDEX(Häufigkeiten!F:F,SMALL(IF(Häufigkeiten!F$7:F$51&lt;&gt;0,ROW($7:$51)),ROW(F13))))</f>
        <v>3</v>
      </c>
      <c r="G19" s="431">
        <f t="shared" si="1"/>
        <v>4.2857142857142858E-2</v>
      </c>
      <c r="H19" s="90"/>
      <c r="Q19" s="46" t="str">
        <f t="array" ref="Q19">IF( ISERROR(INDEX(Häufigkeiten!R:R,SMALL(IF(Häufigkeiten!R$7:R$31&lt;&gt;0,ROW($7:$31)),ROW(R13)))),"",INDEX(Häufigkeiten!Q:Q,SMALL(IF(Häufigkeiten!R$7:R$31&lt;&gt;0,ROW($7:$31)),ROW(R13))))</f>
        <v/>
      </c>
      <c r="R19" s="46" t="str">
        <f t="array" ref="R19">IF( ISERROR(INDEX(Häufigkeiten!R:R,SMALL(IF(Häufigkeiten!R$7:R$31&lt;&gt;0,ROW($7:$31)),ROW(R13)))),"",INDEX(Häufigkeiten!R:R,SMALL(IF(Häufigkeiten!R$7:R$31&lt;&gt;0,ROW($7:$31)),ROW(R13))))</f>
        <v/>
      </c>
      <c r="S19" s="431" t="str">
        <f t="shared" si="2"/>
        <v/>
      </c>
      <c r="T19" s="112"/>
      <c r="U19" s="46">
        <f t="array" ref="U19">IF( ISERROR(INDEX(Häufigkeiten!V:V,SMALL(IF(Häufigkeiten!V$7:V$51&lt;&gt;0,ROW($7:$51)),ROW(V13)))),"",INDEX(Häufigkeiten!U:U,SMALL(IF(Häufigkeiten!V$7:V$51&lt;&gt;0,ROW($7:$51)),ROW(V13))))</f>
        <v>176</v>
      </c>
      <c r="V19" s="46">
        <f t="array" ref="V19">IF( ISERROR(INDEX(Häufigkeiten!V:V,SMALL(IF(Häufigkeiten!V$7:V$51&lt;&gt;0,ROW($7:$51)),ROW(V13)))),"",INDEX(Häufigkeiten!V:V,SMALL(IF(Häufigkeiten!V$7:V$51&lt;&gt;0,ROW($7:$51)),ROW(V13))))</f>
        <v>1</v>
      </c>
      <c r="W19" s="431">
        <f t="shared" si="3"/>
        <v>2.4390243902439025E-2</v>
      </c>
      <c r="X19" s="90"/>
      <c r="AG19" s="46" t="str">
        <f t="array" ref="AG19">IF( ISERROR(INDEX(Häufigkeiten!AH:AH,SMALL(IF(Häufigkeiten!AH$7:AH$31&lt;&gt;0,ROW($7:$31)),ROW(AH13)))),"",INDEX(Häufigkeiten!AG:AG,SMALL(IF(Häufigkeiten!AH$7:AH$31&lt;&gt;0,ROW($7:$31)),ROW(AH13))))</f>
        <v/>
      </c>
      <c r="AH19" s="46" t="str">
        <f t="array" ref="AH19">IF( ISERROR(INDEX(Häufigkeiten!AH:AH,SMALL(IF(Häufigkeiten!AH$7:AH$31&lt;&gt;0,ROW($7:$31)),ROW(AH13)))),"",INDEX(Häufigkeiten!AH:AH,SMALL(IF(Häufigkeiten!AH$7:AH$31&lt;&gt;0,ROW($7:$31)),ROW(AH13))))</f>
        <v/>
      </c>
      <c r="AI19" s="431" t="str">
        <f t="shared" si="4"/>
        <v/>
      </c>
      <c r="AJ19" s="134"/>
      <c r="AK19" s="46">
        <f t="array" ref="AK19">IF( ISERROR(INDEX(Häufigkeiten!AL:AL,SMALL(IF(Häufigkeiten!AL$7:AL$51&lt;&gt;0,ROW($7:$51)),ROW(AL13)))),"",INDEX(Häufigkeiten!AK:AK,SMALL(IF(Häufigkeiten!AL$7:AL$51&lt;&gt;0,ROW($7:$51)),ROW(AL13))))</f>
        <v>185</v>
      </c>
      <c r="AL19" s="46">
        <f t="array" ref="AL19">IF( ISERROR(INDEX(Häufigkeiten!AL:AL,SMALL(IF(Häufigkeiten!AL$7:AL$51&lt;&gt;0,ROW($7:$51)),ROW(AL13)))),"",INDEX(Häufigkeiten!AL:AL,SMALL(IF(Häufigkeiten!AL$7:AL$51&lt;&gt;0,ROW($7:$51)),ROW(AL13))))</f>
        <v>4</v>
      </c>
      <c r="AM19" s="431">
        <f t="shared" si="5"/>
        <v>0.13793103448275862</v>
      </c>
      <c r="AN19" s="90"/>
    </row>
    <row r="20" spans="1:40" s="46" customFormat="1" x14ac:dyDescent="0.25">
      <c r="A20" s="46" t="str">
        <f t="array" ref="A20">IF( ISERROR(INDEX(Häufigkeiten!B:B,SMALL(IF(Häufigkeiten!B$7:B$31&lt;&gt;0,ROW($7:$31)),ROW(B14)))),"",INDEX(Häufigkeiten!A:A,SMALL(IF(Häufigkeiten!B$7:B$31&lt;&gt;0,ROW($7:$31)),ROW(B14))))</f>
        <v/>
      </c>
      <c r="B20" s="46" t="str">
        <f t="array" ref="B20">IF( ISERROR(INDEX(Häufigkeiten!B:B,SMALL(IF(Häufigkeiten!B$7:B$31&lt;&gt;0,ROW($7:$31)),ROW(B14)))),"",INDEX(Häufigkeiten!B:B,SMALL(IF(Häufigkeiten!B$7:B$31&lt;&gt;0,ROW($7:$31)),ROW(B14))))</f>
        <v/>
      </c>
      <c r="C20" s="431" t="str">
        <f t="shared" si="0"/>
        <v/>
      </c>
      <c r="D20" s="90"/>
      <c r="E20" s="46">
        <f t="array" ref="E20">IF( ISERROR(INDEX(Häufigkeiten!F:F,SMALL(IF(Häufigkeiten!F$7:F$51&lt;&gt;0,ROW($7:$51)),ROW(F14)))),"",INDEX(Häufigkeiten!E:E,SMALL(IF(Häufigkeiten!F$7:F$51&lt;&gt;0,ROW($7:$51)),ROW(F14))))</f>
        <v>175</v>
      </c>
      <c r="F20" s="46">
        <f t="array" ref="F20">IF( ISERROR(INDEX(Häufigkeiten!F:F,SMALL(IF(Häufigkeiten!F$7:F$51&lt;&gt;0,ROW($7:$51)),ROW(F14)))),"",INDEX(Häufigkeiten!F:F,SMALL(IF(Häufigkeiten!F$7:F$51&lt;&gt;0,ROW($7:$51)),ROW(F14))))</f>
        <v>1</v>
      </c>
      <c r="G20" s="431">
        <f t="shared" si="1"/>
        <v>1.4285714285714285E-2</v>
      </c>
      <c r="H20" s="90"/>
      <c r="Q20" s="46" t="str">
        <f t="array" ref="Q20">IF( ISERROR(INDEX(Häufigkeiten!R:R,SMALL(IF(Häufigkeiten!R$7:R$31&lt;&gt;0,ROW($7:$31)),ROW(R14)))),"",INDEX(Häufigkeiten!Q:Q,SMALL(IF(Häufigkeiten!R$7:R$31&lt;&gt;0,ROW($7:$31)),ROW(R14))))</f>
        <v/>
      </c>
      <c r="R20" s="46" t="str">
        <f t="array" ref="R20">IF( ISERROR(INDEX(Häufigkeiten!R:R,SMALL(IF(Häufigkeiten!R$7:R$31&lt;&gt;0,ROW($7:$31)),ROW(R14)))),"",INDEX(Häufigkeiten!R:R,SMALL(IF(Häufigkeiten!R$7:R$31&lt;&gt;0,ROW($7:$31)),ROW(R14))))</f>
        <v/>
      </c>
      <c r="S20" s="431" t="str">
        <f t="shared" si="2"/>
        <v/>
      </c>
      <c r="T20" s="112"/>
      <c r="U20" s="46">
        <f t="array" ref="U20">IF( ISERROR(INDEX(Häufigkeiten!V:V,SMALL(IF(Häufigkeiten!V$7:V$51&lt;&gt;0,ROW($7:$51)),ROW(V14)))),"",INDEX(Häufigkeiten!U:U,SMALL(IF(Häufigkeiten!V$7:V$51&lt;&gt;0,ROW($7:$51)),ROW(V14))))</f>
        <v>178</v>
      </c>
      <c r="V20" s="46">
        <f t="array" ref="V20">IF( ISERROR(INDEX(Häufigkeiten!V:V,SMALL(IF(Häufigkeiten!V$7:V$51&lt;&gt;0,ROW($7:$51)),ROW(V14)))),"",INDEX(Häufigkeiten!V:V,SMALL(IF(Häufigkeiten!V$7:V$51&lt;&gt;0,ROW($7:$51)),ROW(V14))))</f>
        <v>1</v>
      </c>
      <c r="W20" s="431">
        <f t="shared" si="3"/>
        <v>2.4390243902439025E-2</v>
      </c>
      <c r="X20" s="90"/>
      <c r="AG20" s="46" t="str">
        <f t="array" ref="AG20">IF( ISERROR(INDEX(Häufigkeiten!AH:AH,SMALL(IF(Häufigkeiten!AH$7:AH$31&lt;&gt;0,ROW($7:$31)),ROW(AH14)))),"",INDEX(Häufigkeiten!AG:AG,SMALL(IF(Häufigkeiten!AH$7:AH$31&lt;&gt;0,ROW($7:$31)),ROW(AH14))))</f>
        <v/>
      </c>
      <c r="AH20" s="46" t="str">
        <f t="array" ref="AH20">IF( ISERROR(INDEX(Häufigkeiten!AH:AH,SMALL(IF(Häufigkeiten!AH$7:AH$31&lt;&gt;0,ROW($7:$31)),ROW(AH14)))),"",INDEX(Häufigkeiten!AH:AH,SMALL(IF(Häufigkeiten!AH$7:AH$31&lt;&gt;0,ROW($7:$31)),ROW(AH14))))</f>
        <v/>
      </c>
      <c r="AI20" s="431" t="str">
        <f t="shared" si="4"/>
        <v/>
      </c>
      <c r="AJ20" s="134"/>
      <c r="AK20" s="46">
        <f t="array" ref="AK20">IF( ISERROR(INDEX(Häufigkeiten!AL:AL,SMALL(IF(Häufigkeiten!AL$7:AL$51&lt;&gt;0,ROW($7:$51)),ROW(AL14)))),"",INDEX(Häufigkeiten!AK:AK,SMALL(IF(Häufigkeiten!AL$7:AL$51&lt;&gt;0,ROW($7:$51)),ROW(AL14))))</f>
        <v>188</v>
      </c>
      <c r="AL20" s="46">
        <f t="array" ref="AL20">IF( ISERROR(INDEX(Häufigkeiten!AL:AL,SMALL(IF(Häufigkeiten!AL$7:AL$51&lt;&gt;0,ROW($7:$51)),ROW(AL14)))),"",INDEX(Häufigkeiten!AL:AL,SMALL(IF(Häufigkeiten!AL$7:AL$51&lt;&gt;0,ROW($7:$51)),ROW(AL14))))</f>
        <v>1</v>
      </c>
      <c r="AM20" s="431">
        <f t="shared" si="5"/>
        <v>3.4482758620689655E-2</v>
      </c>
      <c r="AN20" s="90"/>
    </row>
    <row r="21" spans="1:40" s="46" customFormat="1" x14ac:dyDescent="0.25">
      <c r="A21" s="46" t="str">
        <f t="array" ref="A21">IF( ISERROR(INDEX(Häufigkeiten!B:B,SMALL(IF(Häufigkeiten!B$7:B$31&lt;&gt;0,ROW($7:$31)),ROW(B15)))),"",INDEX(Häufigkeiten!A:A,SMALL(IF(Häufigkeiten!B$7:B$31&lt;&gt;0,ROW($7:$31)),ROW(B15))))</f>
        <v/>
      </c>
      <c r="B21" s="46" t="str">
        <f t="array" ref="B21">IF( ISERROR(INDEX(Häufigkeiten!B:B,SMALL(IF(Häufigkeiten!B$7:B$31&lt;&gt;0,ROW($7:$31)),ROW(B15)))),"",INDEX(Häufigkeiten!B:B,SMALL(IF(Häufigkeiten!B$7:B$31&lt;&gt;0,ROW($7:$31)),ROW(B15))))</f>
        <v/>
      </c>
      <c r="C21" s="431" t="str">
        <f t="shared" si="0"/>
        <v/>
      </c>
      <c r="D21" s="90"/>
      <c r="E21" s="46">
        <f t="array" ref="E21">IF( ISERROR(INDEX(Häufigkeiten!F:F,SMALL(IF(Häufigkeiten!F$7:F$51&lt;&gt;0,ROW($7:$51)),ROW(F15)))),"",INDEX(Häufigkeiten!E:E,SMALL(IF(Häufigkeiten!F$7:F$51&lt;&gt;0,ROW($7:$51)),ROW(F15))))</f>
        <v>176</v>
      </c>
      <c r="F21" s="46">
        <f t="array" ref="F21">IF( ISERROR(INDEX(Häufigkeiten!F:F,SMALL(IF(Häufigkeiten!F$7:F$51&lt;&gt;0,ROW($7:$51)),ROW(F15)))),"",INDEX(Häufigkeiten!F:F,SMALL(IF(Häufigkeiten!F$7:F$51&lt;&gt;0,ROW($7:$51)),ROW(F15))))</f>
        <v>6</v>
      </c>
      <c r="G21" s="431">
        <f t="shared" si="1"/>
        <v>8.5714285714285715E-2</v>
      </c>
      <c r="H21" s="90"/>
      <c r="I21" s="46">
        <f>SUM(F16:F21)</f>
        <v>13</v>
      </c>
      <c r="Q21" s="46" t="str">
        <f t="array" ref="Q21">IF( ISERROR(INDEX(Häufigkeiten!R:R,SMALL(IF(Häufigkeiten!R$7:R$31&lt;&gt;0,ROW($7:$31)),ROW(R15)))),"",INDEX(Häufigkeiten!Q:Q,SMALL(IF(Häufigkeiten!R$7:R$31&lt;&gt;0,ROW($7:$31)),ROW(R15))))</f>
        <v/>
      </c>
      <c r="R21" s="46" t="str">
        <f t="array" ref="R21">IF( ISERROR(INDEX(Häufigkeiten!R:R,SMALL(IF(Häufigkeiten!R$7:R$31&lt;&gt;0,ROW($7:$31)),ROW(R15)))),"",INDEX(Häufigkeiten!R:R,SMALL(IF(Häufigkeiten!R$7:R$31&lt;&gt;0,ROW($7:$31)),ROW(R15))))</f>
        <v/>
      </c>
      <c r="S21" s="431" t="str">
        <f t="shared" si="2"/>
        <v/>
      </c>
      <c r="T21" s="112"/>
      <c r="U21" s="46">
        <f t="array" ref="U21">IF( ISERROR(INDEX(Häufigkeiten!V:V,SMALL(IF(Häufigkeiten!V$7:V$51&lt;&gt;0,ROW($7:$51)),ROW(V15)))),"",INDEX(Häufigkeiten!U:U,SMALL(IF(Häufigkeiten!V$7:V$51&lt;&gt;0,ROW($7:$51)),ROW(V15))))</f>
        <v>180</v>
      </c>
      <c r="V21" s="46">
        <f t="array" ref="V21">IF( ISERROR(INDEX(Häufigkeiten!V:V,SMALL(IF(Häufigkeiten!V$7:V$51&lt;&gt;0,ROW($7:$51)),ROW(V15)))),"",INDEX(Häufigkeiten!V:V,SMALL(IF(Häufigkeiten!V$7:V$51&lt;&gt;0,ROW($7:$51)),ROW(V15))))</f>
        <v>3</v>
      </c>
      <c r="W21" s="431">
        <f t="shared" si="3"/>
        <v>7.3170731707317069E-2</v>
      </c>
      <c r="X21" s="90"/>
      <c r="AG21" s="46" t="str">
        <f t="array" ref="AG21">IF( ISERROR(INDEX(Häufigkeiten!AH:AH,SMALL(IF(Häufigkeiten!AH$7:AH$31&lt;&gt;0,ROW($7:$31)),ROW(AH15)))),"",INDEX(Häufigkeiten!AG:AG,SMALL(IF(Häufigkeiten!AH$7:AH$31&lt;&gt;0,ROW($7:$31)),ROW(AH15))))</f>
        <v/>
      </c>
      <c r="AH21" s="46" t="str">
        <f t="array" ref="AH21">IF( ISERROR(INDEX(Häufigkeiten!AH:AH,SMALL(IF(Häufigkeiten!AH$7:AH$31&lt;&gt;0,ROW($7:$31)),ROW(AH15)))),"",INDEX(Häufigkeiten!AH:AH,SMALL(IF(Häufigkeiten!AH$7:AH$31&lt;&gt;0,ROW($7:$31)),ROW(AH15))))</f>
        <v/>
      </c>
      <c r="AI21" s="431" t="str">
        <f t="shared" si="4"/>
        <v/>
      </c>
      <c r="AJ21" s="134"/>
      <c r="AK21" s="46">
        <f t="array" ref="AK21">IF( ISERROR(INDEX(Häufigkeiten!AL:AL,SMALL(IF(Häufigkeiten!AL$7:AL$51&lt;&gt;0,ROW($7:$51)),ROW(AL15)))),"",INDEX(Häufigkeiten!AK:AK,SMALL(IF(Häufigkeiten!AL$7:AL$51&lt;&gt;0,ROW($7:$51)),ROW(AL15))))</f>
        <v>195</v>
      </c>
      <c r="AL21" s="46">
        <f t="array" ref="AL21">IF( ISERROR(INDEX(Häufigkeiten!AL:AL,SMALL(IF(Häufigkeiten!AL$7:AL$51&lt;&gt;0,ROW($7:$51)),ROW(AL15)))),"",INDEX(Häufigkeiten!AL:AL,SMALL(IF(Häufigkeiten!AL$7:AL$51&lt;&gt;0,ROW($7:$51)),ROW(AL15))))</f>
        <v>1</v>
      </c>
      <c r="AM21" s="431">
        <f t="shared" si="5"/>
        <v>3.4482758620689655E-2</v>
      </c>
      <c r="AN21" s="90"/>
    </row>
    <row r="22" spans="1:40" s="46" customFormat="1" x14ac:dyDescent="0.25">
      <c r="A22" s="46" t="str">
        <f t="array" ref="A22">IF( ISERROR(INDEX(Häufigkeiten!B:B,SMALL(IF(Häufigkeiten!B$7:B$31&lt;&gt;0,ROW($7:$31)),ROW(B16)))),"",INDEX(Häufigkeiten!A:A,SMALL(IF(Häufigkeiten!B$7:B$31&lt;&gt;0,ROW($7:$31)),ROW(B16))))</f>
        <v/>
      </c>
      <c r="B22" s="46" t="str">
        <f t="array" ref="B22">IF( ISERROR(INDEX(Häufigkeiten!B:B,SMALL(IF(Häufigkeiten!B$7:B$31&lt;&gt;0,ROW($7:$31)),ROW(B16)))),"",INDEX(Häufigkeiten!B:B,SMALL(IF(Häufigkeiten!B$7:B$31&lt;&gt;0,ROW($7:$31)),ROW(B16))))</f>
        <v/>
      </c>
      <c r="C22" s="431" t="str">
        <f t="shared" si="0"/>
        <v/>
      </c>
      <c r="D22" s="90"/>
      <c r="E22" s="46">
        <f t="array" ref="E22">IF( ISERROR(INDEX(Häufigkeiten!F:F,SMALL(IF(Häufigkeiten!F$7:F$51&lt;&gt;0,ROW($7:$51)),ROW(F16)))),"",INDEX(Häufigkeiten!E:E,SMALL(IF(Häufigkeiten!F$7:F$51&lt;&gt;0,ROW($7:$51)),ROW(F16))))</f>
        <v>178</v>
      </c>
      <c r="F22" s="46">
        <f t="array" ref="F22">IF( ISERROR(INDEX(Häufigkeiten!F:F,SMALL(IF(Häufigkeiten!F$7:F$51&lt;&gt;0,ROW($7:$51)),ROW(F16)))),"",INDEX(Häufigkeiten!F:F,SMALL(IF(Häufigkeiten!F$7:F$51&lt;&gt;0,ROW($7:$51)),ROW(F16))))</f>
        <v>3</v>
      </c>
      <c r="G22" s="431">
        <f t="shared" si="1"/>
        <v>4.2857142857142858E-2</v>
      </c>
      <c r="H22" s="90"/>
      <c r="Q22" s="46" t="str">
        <f t="array" ref="Q22">IF( ISERROR(INDEX(Häufigkeiten!R:R,SMALL(IF(Häufigkeiten!R$7:R$31&lt;&gt;0,ROW($7:$31)),ROW(R16)))),"",INDEX(Häufigkeiten!Q:Q,SMALL(IF(Häufigkeiten!R$7:R$31&lt;&gt;0,ROW($7:$31)),ROW(R16))))</f>
        <v/>
      </c>
      <c r="R22" s="46" t="str">
        <f t="array" ref="R22">IF( ISERROR(INDEX(Häufigkeiten!R:R,SMALL(IF(Häufigkeiten!R$7:R$31&lt;&gt;0,ROW($7:$31)),ROW(R16)))),"",INDEX(Häufigkeiten!R:R,SMALL(IF(Häufigkeiten!R$7:R$31&lt;&gt;0,ROW($7:$31)),ROW(R16))))</f>
        <v/>
      </c>
      <c r="S22" s="431" t="str">
        <f t="shared" si="2"/>
        <v/>
      </c>
      <c r="T22" s="112"/>
      <c r="U22" s="46">
        <f t="array" ref="U22">IF( ISERROR(INDEX(Häufigkeiten!V:V,SMALL(IF(Häufigkeiten!V$7:V$51&lt;&gt;0,ROW($7:$51)),ROW(V16)))),"",INDEX(Häufigkeiten!U:U,SMALL(IF(Häufigkeiten!V$7:V$51&lt;&gt;0,ROW($7:$51)),ROW(V16))))</f>
        <v>182</v>
      </c>
      <c r="V22" s="46">
        <f t="array" ref="V22">IF( ISERROR(INDEX(Häufigkeiten!V:V,SMALL(IF(Häufigkeiten!V$7:V$51&lt;&gt;0,ROW($7:$51)),ROW(V16)))),"",INDEX(Häufigkeiten!V:V,SMALL(IF(Häufigkeiten!V$7:V$51&lt;&gt;0,ROW($7:$51)),ROW(V16))))</f>
        <v>3</v>
      </c>
      <c r="W22" s="431">
        <f t="shared" si="3"/>
        <v>7.3170731707317069E-2</v>
      </c>
      <c r="X22" s="90"/>
      <c r="AG22" s="46" t="str">
        <f t="array" ref="AG22">IF( ISERROR(INDEX(Häufigkeiten!AH:AH,SMALL(IF(Häufigkeiten!AH$7:AH$31&lt;&gt;0,ROW($7:$31)),ROW(AH16)))),"",INDEX(Häufigkeiten!AG:AG,SMALL(IF(Häufigkeiten!AH$7:AH$31&lt;&gt;0,ROW($7:$31)),ROW(AH16))))</f>
        <v/>
      </c>
      <c r="AH22" s="46" t="str">
        <f t="array" ref="AH22">IF( ISERROR(INDEX(Häufigkeiten!AH:AH,SMALL(IF(Häufigkeiten!AH$7:AH$31&lt;&gt;0,ROW($7:$31)),ROW(AH16)))),"",INDEX(Häufigkeiten!AH:AH,SMALL(IF(Häufigkeiten!AH$7:AH$31&lt;&gt;0,ROW($7:$31)),ROW(AH16))))</f>
        <v/>
      </c>
      <c r="AI22" s="431" t="str">
        <f t="shared" si="4"/>
        <v/>
      </c>
      <c r="AJ22" s="134"/>
      <c r="AK22" s="46" t="str">
        <f t="array" ref="AK22">IF( ISERROR(INDEX(Häufigkeiten!AL:AL,SMALL(IF(Häufigkeiten!AL$7:AL$51&lt;&gt;0,ROW($7:$51)),ROW(AL16)))),"",INDEX(Häufigkeiten!AK:AK,SMALL(IF(Häufigkeiten!AL$7:AL$51&lt;&gt;0,ROW($7:$51)),ROW(AL16))))</f>
        <v/>
      </c>
      <c r="AL22" s="46" t="str">
        <f t="array" ref="AL22">IF( ISERROR(INDEX(Häufigkeiten!AL:AL,SMALL(IF(Häufigkeiten!AL$7:AL$51&lt;&gt;0,ROW($7:$51)),ROW(AL16)))),"",INDEX(Häufigkeiten!AL:AL,SMALL(IF(Häufigkeiten!AL$7:AL$51&lt;&gt;0,ROW($7:$51)),ROW(AL16))))</f>
        <v/>
      </c>
      <c r="AM22" s="431" t="str">
        <f t="shared" si="5"/>
        <v/>
      </c>
      <c r="AN22" s="90"/>
    </row>
    <row r="23" spans="1:40" s="46" customFormat="1" x14ac:dyDescent="0.25">
      <c r="A23" s="46" t="str">
        <f t="array" ref="A23">IF( ISERROR(INDEX(Häufigkeiten!B:B,SMALL(IF(Häufigkeiten!B$7:B$31&lt;&gt;0,ROW($7:$31)),ROW(B17)))),"",INDEX(Häufigkeiten!A:A,SMALL(IF(Häufigkeiten!B$7:B$31&lt;&gt;0,ROW($7:$31)),ROW(B17))))</f>
        <v/>
      </c>
      <c r="B23" s="46" t="str">
        <f t="array" ref="B23">IF( ISERROR(INDEX(Häufigkeiten!B:B,SMALL(IF(Häufigkeiten!B$7:B$31&lt;&gt;0,ROW($7:$31)),ROW(B17)))),"",INDEX(Häufigkeiten!B:B,SMALL(IF(Häufigkeiten!B$7:B$31&lt;&gt;0,ROW($7:$31)),ROW(B17))))</f>
        <v/>
      </c>
      <c r="C23" s="431" t="str">
        <f t="shared" si="0"/>
        <v/>
      </c>
      <c r="D23" s="90"/>
      <c r="E23" s="46">
        <f t="array" ref="E23">IF( ISERROR(INDEX(Häufigkeiten!F:F,SMALL(IF(Häufigkeiten!F$7:F$51&lt;&gt;0,ROW($7:$51)),ROW(F17)))),"",INDEX(Häufigkeiten!E:E,SMALL(IF(Häufigkeiten!F$7:F$51&lt;&gt;0,ROW($7:$51)),ROW(F17))))</f>
        <v>180</v>
      </c>
      <c r="F23" s="46">
        <f t="array" ref="F23">IF( ISERROR(INDEX(Häufigkeiten!F:F,SMALL(IF(Häufigkeiten!F$7:F$51&lt;&gt;0,ROW($7:$51)),ROW(F17)))),"",INDEX(Häufigkeiten!F:F,SMALL(IF(Häufigkeiten!F$7:F$51&lt;&gt;0,ROW($7:$51)),ROW(F17))))</f>
        <v>4</v>
      </c>
      <c r="G23" s="431">
        <f t="shared" si="1"/>
        <v>5.7142857142857141E-2</v>
      </c>
      <c r="H23" s="90"/>
      <c r="Q23" s="46" t="str">
        <f t="array" ref="Q23">IF( ISERROR(INDEX(Häufigkeiten!R:R,SMALL(IF(Häufigkeiten!R$7:R$31&lt;&gt;0,ROW($7:$31)),ROW(R17)))),"",INDEX(Häufigkeiten!Q:Q,SMALL(IF(Häufigkeiten!R$7:R$31&lt;&gt;0,ROW($7:$31)),ROW(R17))))</f>
        <v/>
      </c>
      <c r="R23" s="46" t="str">
        <f t="array" ref="R23">IF( ISERROR(INDEX(Häufigkeiten!R:R,SMALL(IF(Häufigkeiten!R$7:R$31&lt;&gt;0,ROW($7:$31)),ROW(R17)))),"",INDEX(Häufigkeiten!R:R,SMALL(IF(Häufigkeiten!R$7:R$31&lt;&gt;0,ROW($7:$31)),ROW(R17))))</f>
        <v/>
      </c>
      <c r="S23" s="431" t="str">
        <f t="shared" si="2"/>
        <v/>
      </c>
      <c r="T23" s="112"/>
      <c r="U23" s="46">
        <f t="array" ref="U23">IF( ISERROR(INDEX(Häufigkeiten!V:V,SMALL(IF(Häufigkeiten!V$7:V$51&lt;&gt;0,ROW($7:$51)),ROW(V17)))),"",INDEX(Häufigkeiten!U:U,SMALL(IF(Häufigkeiten!V$7:V$51&lt;&gt;0,ROW($7:$51)),ROW(V17))))</f>
        <v>183</v>
      </c>
      <c r="V23" s="46">
        <f t="array" ref="V23">IF( ISERROR(INDEX(Häufigkeiten!V:V,SMALL(IF(Häufigkeiten!V$7:V$51&lt;&gt;0,ROW($7:$51)),ROW(V17)))),"",INDEX(Häufigkeiten!V:V,SMALL(IF(Häufigkeiten!V$7:V$51&lt;&gt;0,ROW($7:$51)),ROW(V17))))</f>
        <v>2</v>
      </c>
      <c r="W23" s="431">
        <f t="shared" si="3"/>
        <v>4.878048780487805E-2</v>
      </c>
      <c r="X23" s="90"/>
      <c r="AG23" s="46" t="str">
        <f t="array" ref="AG23">IF( ISERROR(INDEX(Häufigkeiten!AH:AH,SMALL(IF(Häufigkeiten!AH$7:AH$31&lt;&gt;0,ROW($7:$31)),ROW(AH17)))),"",INDEX(Häufigkeiten!AG:AG,SMALL(IF(Häufigkeiten!AH$7:AH$31&lt;&gt;0,ROW($7:$31)),ROW(AH17))))</f>
        <v/>
      </c>
      <c r="AH23" s="46" t="str">
        <f t="array" ref="AH23">IF( ISERROR(INDEX(Häufigkeiten!AH:AH,SMALL(IF(Häufigkeiten!AH$7:AH$31&lt;&gt;0,ROW($7:$31)),ROW(AH17)))),"",INDEX(Häufigkeiten!AH:AH,SMALL(IF(Häufigkeiten!AH$7:AH$31&lt;&gt;0,ROW($7:$31)),ROW(AH17))))</f>
        <v/>
      </c>
      <c r="AI23" s="431" t="str">
        <f t="shared" si="4"/>
        <v/>
      </c>
      <c r="AJ23" s="134"/>
      <c r="AK23" s="46" t="str">
        <f t="array" ref="AK23">IF( ISERROR(INDEX(Häufigkeiten!AL:AL,SMALL(IF(Häufigkeiten!AL$7:AL$51&lt;&gt;0,ROW($7:$51)),ROW(AL17)))),"",INDEX(Häufigkeiten!AK:AK,SMALL(IF(Häufigkeiten!AL$7:AL$51&lt;&gt;0,ROW($7:$51)),ROW(AL17))))</f>
        <v/>
      </c>
      <c r="AL23" s="46" t="str">
        <f t="array" ref="AL23">IF( ISERROR(INDEX(Häufigkeiten!AL:AL,SMALL(IF(Häufigkeiten!AL$7:AL$51&lt;&gt;0,ROW($7:$51)),ROW(AL17)))),"",INDEX(Häufigkeiten!AL:AL,SMALL(IF(Häufigkeiten!AL$7:AL$51&lt;&gt;0,ROW($7:$51)),ROW(AL17))))</f>
        <v/>
      </c>
      <c r="AM23" s="431" t="str">
        <f t="shared" si="5"/>
        <v/>
      </c>
      <c r="AN23" s="90"/>
    </row>
    <row r="24" spans="1:40" s="46" customFormat="1" x14ac:dyDescent="0.25">
      <c r="A24" s="46" t="str">
        <f t="array" ref="A24">IF( ISERROR(INDEX(Häufigkeiten!B:B,SMALL(IF(Häufigkeiten!B$7:B$31&lt;&gt;0,ROW($7:$31)),ROW(B18)))),"",INDEX(Häufigkeiten!A:A,SMALL(IF(Häufigkeiten!B$7:B$31&lt;&gt;0,ROW($7:$31)),ROW(B18))))</f>
        <v/>
      </c>
      <c r="B24" s="46" t="str">
        <f t="array" ref="B24">IF( ISERROR(INDEX(Häufigkeiten!B:B,SMALL(IF(Häufigkeiten!B$7:B$31&lt;&gt;0,ROW($7:$31)),ROW(B18)))),"",INDEX(Häufigkeiten!B:B,SMALL(IF(Häufigkeiten!B$7:B$31&lt;&gt;0,ROW($7:$31)),ROW(B18))))</f>
        <v/>
      </c>
      <c r="C24" s="431" t="str">
        <f t="shared" si="0"/>
        <v/>
      </c>
      <c r="D24" s="90"/>
      <c r="E24" s="46">
        <f t="array" ref="E24">IF( ISERROR(INDEX(Häufigkeiten!F:F,SMALL(IF(Häufigkeiten!F$7:F$51&lt;&gt;0,ROW($7:$51)),ROW(F18)))),"",INDEX(Häufigkeiten!E:E,SMALL(IF(Häufigkeiten!F$7:F$51&lt;&gt;0,ROW($7:$51)),ROW(F18))))</f>
        <v>182</v>
      </c>
      <c r="F24" s="46">
        <f t="array" ref="F24">IF( ISERROR(INDEX(Häufigkeiten!F:F,SMALL(IF(Häufigkeiten!F$7:F$51&lt;&gt;0,ROW($7:$51)),ROW(F18)))),"",INDEX(Häufigkeiten!F:F,SMALL(IF(Häufigkeiten!F$7:F$51&lt;&gt;0,ROW($7:$51)),ROW(F18))))</f>
        <v>5</v>
      </c>
      <c r="G24" s="431">
        <f t="shared" si="1"/>
        <v>7.1428571428571425E-2</v>
      </c>
      <c r="H24" s="90"/>
      <c r="I24" s="46">
        <f>SUM(F22:F24)</f>
        <v>12</v>
      </c>
      <c r="Q24" s="46" t="str">
        <f t="array" ref="Q24">IF( ISERROR(INDEX(Häufigkeiten!R:R,SMALL(IF(Häufigkeiten!R$7:R$31&lt;&gt;0,ROW($7:$31)),ROW(R18)))),"",INDEX(Häufigkeiten!Q:Q,SMALL(IF(Häufigkeiten!R$7:R$31&lt;&gt;0,ROW($7:$31)),ROW(R18))))</f>
        <v/>
      </c>
      <c r="R24" s="46" t="str">
        <f t="array" ref="R24">IF( ISERROR(INDEX(Häufigkeiten!R:R,SMALL(IF(Häufigkeiten!R$7:R$31&lt;&gt;0,ROW($7:$31)),ROW(R18)))),"",INDEX(Häufigkeiten!R:R,SMALL(IF(Häufigkeiten!R$7:R$31&lt;&gt;0,ROW($7:$31)),ROW(R18))))</f>
        <v/>
      </c>
      <c r="S24" s="431" t="str">
        <f t="shared" si="2"/>
        <v/>
      </c>
      <c r="T24" s="112"/>
      <c r="U24" s="46">
        <f t="array" ref="U24">IF( ISERROR(INDEX(Häufigkeiten!V:V,SMALL(IF(Häufigkeiten!V$7:V$51&lt;&gt;0,ROW($7:$51)),ROW(V18)))),"",INDEX(Häufigkeiten!U:U,SMALL(IF(Häufigkeiten!V$7:V$51&lt;&gt;0,ROW($7:$51)),ROW(V18))))</f>
        <v>184</v>
      </c>
      <c r="V24" s="46">
        <f t="array" ref="V24">IF( ISERROR(INDEX(Häufigkeiten!V:V,SMALL(IF(Häufigkeiten!V$7:V$51&lt;&gt;0,ROW($7:$51)),ROW(V18)))),"",INDEX(Häufigkeiten!V:V,SMALL(IF(Häufigkeiten!V$7:V$51&lt;&gt;0,ROW($7:$51)),ROW(V18))))</f>
        <v>1</v>
      </c>
      <c r="W24" s="431">
        <f t="shared" si="3"/>
        <v>2.4390243902439025E-2</v>
      </c>
      <c r="X24" s="90"/>
      <c r="AG24" s="46" t="str">
        <f t="array" ref="AG24">IF( ISERROR(INDEX(Häufigkeiten!AH:AH,SMALL(IF(Häufigkeiten!AH$7:AH$31&lt;&gt;0,ROW($7:$31)),ROW(AH18)))),"",INDEX(Häufigkeiten!AG:AG,SMALL(IF(Häufigkeiten!AH$7:AH$31&lt;&gt;0,ROW($7:$31)),ROW(AH18))))</f>
        <v/>
      </c>
      <c r="AH24" s="46" t="str">
        <f t="array" ref="AH24">IF( ISERROR(INDEX(Häufigkeiten!AH:AH,SMALL(IF(Häufigkeiten!AH$7:AH$31&lt;&gt;0,ROW($7:$31)),ROW(AH18)))),"",INDEX(Häufigkeiten!AH:AH,SMALL(IF(Häufigkeiten!AH$7:AH$31&lt;&gt;0,ROW($7:$31)),ROW(AH18))))</f>
        <v/>
      </c>
      <c r="AI24" s="431" t="str">
        <f t="shared" si="4"/>
        <v/>
      </c>
      <c r="AJ24" s="134"/>
      <c r="AK24" s="46" t="str">
        <f t="array" ref="AK24">IF( ISERROR(INDEX(Häufigkeiten!AL:AL,SMALL(IF(Häufigkeiten!AL$7:AL$51&lt;&gt;0,ROW($7:$51)),ROW(AL18)))),"",INDEX(Häufigkeiten!AK:AK,SMALL(IF(Häufigkeiten!AL$7:AL$51&lt;&gt;0,ROW($7:$51)),ROW(AL18))))</f>
        <v/>
      </c>
      <c r="AL24" s="46" t="str">
        <f t="array" ref="AL24">IF( ISERROR(INDEX(Häufigkeiten!AL:AL,SMALL(IF(Häufigkeiten!AL$7:AL$51&lt;&gt;0,ROW($7:$51)),ROW(AL18)))),"",INDEX(Häufigkeiten!AL:AL,SMALL(IF(Häufigkeiten!AL$7:AL$51&lt;&gt;0,ROW($7:$51)),ROW(AL18))))</f>
        <v/>
      </c>
      <c r="AM24" s="431" t="str">
        <f t="shared" si="5"/>
        <v/>
      </c>
      <c r="AN24" s="90"/>
    </row>
    <row r="25" spans="1:40" s="46" customFormat="1" x14ac:dyDescent="0.25">
      <c r="A25" s="46" t="str">
        <f t="array" ref="A25">IF( ISERROR(INDEX(Häufigkeiten!B:B,SMALL(IF(Häufigkeiten!B$7:B$31&lt;&gt;0,ROW($7:$31)),ROW(B19)))),"",INDEX(Häufigkeiten!A:A,SMALL(IF(Häufigkeiten!B$7:B$31&lt;&gt;0,ROW($7:$31)),ROW(B19))))</f>
        <v/>
      </c>
      <c r="B25" s="46" t="str">
        <f t="array" ref="B25">IF( ISERROR(INDEX(Häufigkeiten!B:B,SMALL(IF(Häufigkeiten!B$7:B$31&lt;&gt;0,ROW($7:$31)),ROW(B19)))),"",INDEX(Häufigkeiten!B:B,SMALL(IF(Häufigkeiten!B$7:B$31&lt;&gt;0,ROW($7:$31)),ROW(B19))))</f>
        <v/>
      </c>
      <c r="C25" s="431" t="str">
        <f t="shared" si="0"/>
        <v/>
      </c>
      <c r="D25" s="90"/>
      <c r="E25" s="46">
        <f t="array" ref="E25">IF( ISERROR(INDEX(Häufigkeiten!F:F,SMALL(IF(Häufigkeiten!F$7:F$51&lt;&gt;0,ROW($7:$51)),ROW(F19)))),"",INDEX(Häufigkeiten!E:E,SMALL(IF(Häufigkeiten!F$7:F$51&lt;&gt;0,ROW($7:$51)),ROW(F19))))</f>
        <v>183</v>
      </c>
      <c r="F25" s="46">
        <f t="array" ref="F25">IF( ISERROR(INDEX(Häufigkeiten!F:F,SMALL(IF(Häufigkeiten!F$7:F$51&lt;&gt;0,ROW($7:$51)),ROW(F19)))),"",INDEX(Häufigkeiten!F:F,SMALL(IF(Häufigkeiten!F$7:F$51&lt;&gt;0,ROW($7:$51)),ROW(F19))))</f>
        <v>4</v>
      </c>
      <c r="G25" s="431">
        <f t="shared" si="1"/>
        <v>5.7142857142857141E-2</v>
      </c>
      <c r="H25" s="90"/>
      <c r="Q25" s="46" t="str">
        <f t="array" ref="Q25">IF( ISERROR(INDEX(Häufigkeiten!R:R,SMALL(IF(Häufigkeiten!R$7:R$31&lt;&gt;0,ROW($7:$31)),ROW(R19)))),"",INDEX(Häufigkeiten!Q:Q,SMALL(IF(Häufigkeiten!R$7:R$31&lt;&gt;0,ROW($7:$31)),ROW(R19))))</f>
        <v/>
      </c>
      <c r="R25" s="46" t="str">
        <f t="array" ref="R25">IF( ISERROR(INDEX(Häufigkeiten!R:R,SMALL(IF(Häufigkeiten!R$7:R$31&lt;&gt;0,ROW($7:$31)),ROW(R19)))),"",INDEX(Häufigkeiten!R:R,SMALL(IF(Häufigkeiten!R$7:R$31&lt;&gt;0,ROW($7:$31)),ROW(R19))))</f>
        <v/>
      </c>
      <c r="S25" s="431" t="str">
        <f t="shared" si="2"/>
        <v/>
      </c>
      <c r="T25" s="112"/>
      <c r="U25" s="46">
        <f t="array" ref="U25">IF( ISERROR(INDEX(Häufigkeiten!V:V,SMALL(IF(Häufigkeiten!V$7:V$51&lt;&gt;0,ROW($7:$51)),ROW(V19)))),"",INDEX(Häufigkeiten!U:U,SMALL(IF(Häufigkeiten!V$7:V$51&lt;&gt;0,ROW($7:$51)),ROW(V19))))</f>
        <v>185</v>
      </c>
      <c r="V25" s="46">
        <f t="array" ref="V25">IF( ISERROR(INDEX(Häufigkeiten!V:V,SMALL(IF(Häufigkeiten!V$7:V$51&lt;&gt;0,ROW($7:$51)),ROW(V19)))),"",INDEX(Häufigkeiten!V:V,SMALL(IF(Häufigkeiten!V$7:V$51&lt;&gt;0,ROW($7:$51)),ROW(V19))))</f>
        <v>3</v>
      </c>
      <c r="W25" s="431">
        <f t="shared" si="3"/>
        <v>7.3170731707317069E-2</v>
      </c>
      <c r="X25" s="90"/>
      <c r="AG25" s="46" t="str">
        <f t="array" ref="AG25">IF( ISERROR(INDEX(Häufigkeiten!AH:AH,SMALL(IF(Häufigkeiten!AH$7:AH$31&lt;&gt;0,ROW($7:$31)),ROW(AH19)))),"",INDEX(Häufigkeiten!AG:AG,SMALL(IF(Häufigkeiten!AH$7:AH$31&lt;&gt;0,ROW($7:$31)),ROW(AH19))))</f>
        <v/>
      </c>
      <c r="AH25" s="46" t="str">
        <f t="array" ref="AH25">IF( ISERROR(INDEX(Häufigkeiten!AH:AH,SMALL(IF(Häufigkeiten!AH$7:AH$31&lt;&gt;0,ROW($7:$31)),ROW(AH19)))),"",INDEX(Häufigkeiten!AH:AH,SMALL(IF(Häufigkeiten!AH$7:AH$31&lt;&gt;0,ROW($7:$31)),ROW(AH19))))</f>
        <v/>
      </c>
      <c r="AI25" s="431" t="str">
        <f t="shared" si="4"/>
        <v/>
      </c>
      <c r="AJ25" s="134"/>
      <c r="AK25" s="46" t="str">
        <f t="array" ref="AK25">IF( ISERROR(INDEX(Häufigkeiten!AL:AL,SMALL(IF(Häufigkeiten!AL$7:AL$51&lt;&gt;0,ROW($7:$51)),ROW(AL19)))),"",INDEX(Häufigkeiten!AK:AK,SMALL(IF(Häufigkeiten!AL$7:AL$51&lt;&gt;0,ROW($7:$51)),ROW(AL19))))</f>
        <v/>
      </c>
      <c r="AL25" s="46" t="str">
        <f t="array" ref="AL25">IF( ISERROR(INDEX(Häufigkeiten!AL:AL,SMALL(IF(Häufigkeiten!AL$7:AL$51&lt;&gt;0,ROW($7:$51)),ROW(AL19)))),"",INDEX(Häufigkeiten!AL:AL,SMALL(IF(Häufigkeiten!AL$7:AL$51&lt;&gt;0,ROW($7:$51)),ROW(AL19))))</f>
        <v/>
      </c>
      <c r="AM25" s="431" t="str">
        <f t="shared" si="5"/>
        <v/>
      </c>
      <c r="AN25" s="90"/>
    </row>
    <row r="26" spans="1:40" s="46" customFormat="1" x14ac:dyDescent="0.25">
      <c r="A26" s="46" t="str">
        <f t="array" ref="A26">IF( ISERROR(INDEX(Häufigkeiten!B:B,SMALL(IF(Häufigkeiten!B$7:B$31&lt;&gt;0,ROW($7:$31)),ROW(B20)))),"",INDEX(Häufigkeiten!A:A,SMALL(IF(Häufigkeiten!B$7:B$31&lt;&gt;0,ROW($7:$31)),ROW(B20))))</f>
        <v/>
      </c>
      <c r="B26" s="46" t="str">
        <f t="array" ref="B26">IF( ISERROR(INDEX(Häufigkeiten!B:B,SMALL(IF(Häufigkeiten!B$7:B$31&lt;&gt;0,ROW($7:$31)),ROW(B20)))),"",INDEX(Häufigkeiten!B:B,SMALL(IF(Häufigkeiten!B$7:B$31&lt;&gt;0,ROW($7:$31)),ROW(B20))))</f>
        <v/>
      </c>
      <c r="C26" s="431" t="str">
        <f t="shared" si="0"/>
        <v/>
      </c>
      <c r="D26" s="90"/>
      <c r="E26" s="46">
        <f t="array" ref="E26">IF( ISERROR(INDEX(Häufigkeiten!F:F,SMALL(IF(Häufigkeiten!F$7:F$51&lt;&gt;0,ROW($7:$51)),ROW(F20)))),"",INDEX(Häufigkeiten!E:E,SMALL(IF(Häufigkeiten!F$7:F$51&lt;&gt;0,ROW($7:$51)),ROW(F20))))</f>
        <v>184</v>
      </c>
      <c r="F26" s="46">
        <f t="array" ref="F26">IF( ISERROR(INDEX(Häufigkeiten!F:F,SMALL(IF(Häufigkeiten!F$7:F$51&lt;&gt;0,ROW($7:$51)),ROW(F20)))),"",INDEX(Häufigkeiten!F:F,SMALL(IF(Häufigkeiten!F$7:F$51&lt;&gt;0,ROW($7:$51)),ROW(F20))))</f>
        <v>3</v>
      </c>
      <c r="G26" s="431">
        <f t="shared" si="1"/>
        <v>4.2857142857142858E-2</v>
      </c>
      <c r="H26" s="90"/>
      <c r="Q26" s="46" t="str">
        <f t="array" ref="Q26">IF( ISERROR(INDEX(Häufigkeiten!R:R,SMALL(IF(Häufigkeiten!R$7:R$31&lt;&gt;0,ROW($7:$31)),ROW(R20)))),"",INDEX(Häufigkeiten!Q:Q,SMALL(IF(Häufigkeiten!R$7:R$31&lt;&gt;0,ROW($7:$31)),ROW(R20))))</f>
        <v/>
      </c>
      <c r="R26" s="46" t="str">
        <f t="array" ref="R26">IF( ISERROR(INDEX(Häufigkeiten!R:R,SMALL(IF(Häufigkeiten!R$7:R$31&lt;&gt;0,ROW($7:$31)),ROW(R20)))),"",INDEX(Häufigkeiten!R:R,SMALL(IF(Häufigkeiten!R$7:R$31&lt;&gt;0,ROW($7:$31)),ROW(R20))))</f>
        <v/>
      </c>
      <c r="S26" s="431" t="str">
        <f t="shared" si="2"/>
        <v/>
      </c>
      <c r="T26" s="112"/>
      <c r="U26" s="46">
        <f t="array" ref="U26">IF( ISERROR(INDEX(Häufigkeiten!V:V,SMALL(IF(Häufigkeiten!V$7:V$51&lt;&gt;0,ROW($7:$51)),ROW(V20)))),"",INDEX(Häufigkeiten!U:U,SMALL(IF(Häufigkeiten!V$7:V$51&lt;&gt;0,ROW($7:$51)),ROW(V20))))</f>
        <v>187</v>
      </c>
      <c r="V26" s="46">
        <f t="array" ref="V26">IF( ISERROR(INDEX(Häufigkeiten!V:V,SMALL(IF(Häufigkeiten!V$7:V$51&lt;&gt;0,ROW($7:$51)),ROW(V20)))),"",INDEX(Häufigkeiten!V:V,SMALL(IF(Häufigkeiten!V$7:V$51&lt;&gt;0,ROW($7:$51)),ROW(V20))))</f>
        <v>2</v>
      </c>
      <c r="W26" s="431">
        <f t="shared" si="3"/>
        <v>4.878048780487805E-2</v>
      </c>
      <c r="X26" s="90"/>
      <c r="AG26" s="46" t="str">
        <f t="array" ref="AG26">IF( ISERROR(INDEX(Häufigkeiten!AH:AH,SMALL(IF(Häufigkeiten!AH$7:AH$31&lt;&gt;0,ROW($7:$31)),ROW(AH20)))),"",INDEX(Häufigkeiten!AG:AG,SMALL(IF(Häufigkeiten!AH$7:AH$31&lt;&gt;0,ROW($7:$31)),ROW(AH20))))</f>
        <v/>
      </c>
      <c r="AH26" s="46" t="str">
        <f t="array" ref="AH26">IF( ISERROR(INDEX(Häufigkeiten!AH:AH,SMALL(IF(Häufigkeiten!AH$7:AH$31&lt;&gt;0,ROW($7:$31)),ROW(AH20)))),"",INDEX(Häufigkeiten!AH:AH,SMALL(IF(Häufigkeiten!AH$7:AH$31&lt;&gt;0,ROW($7:$31)),ROW(AH20))))</f>
        <v/>
      </c>
      <c r="AI26" s="431" t="str">
        <f t="shared" si="4"/>
        <v/>
      </c>
      <c r="AJ26" s="134"/>
      <c r="AK26" s="46" t="str">
        <f t="array" ref="AK26">IF( ISERROR(INDEX(Häufigkeiten!AL:AL,SMALL(IF(Häufigkeiten!AL$7:AL$51&lt;&gt;0,ROW($7:$51)),ROW(AL20)))),"",INDEX(Häufigkeiten!AK:AK,SMALL(IF(Häufigkeiten!AL$7:AL$51&lt;&gt;0,ROW($7:$51)),ROW(AL20))))</f>
        <v/>
      </c>
      <c r="AL26" s="46" t="str">
        <f t="array" ref="AL26">IF( ISERROR(INDEX(Häufigkeiten!AL:AL,SMALL(IF(Häufigkeiten!AL$7:AL$51&lt;&gt;0,ROW($7:$51)),ROW(AL20)))),"",INDEX(Häufigkeiten!AL:AL,SMALL(IF(Häufigkeiten!AL$7:AL$51&lt;&gt;0,ROW($7:$51)),ROW(AL20))))</f>
        <v/>
      </c>
      <c r="AM26" s="431" t="str">
        <f t="shared" si="5"/>
        <v/>
      </c>
      <c r="AN26" s="90"/>
    </row>
    <row r="27" spans="1:40" s="46" customFormat="1" x14ac:dyDescent="0.25">
      <c r="A27" s="46" t="str">
        <f t="array" ref="A27">IF( ISERROR(INDEX(Häufigkeiten!B:B,SMALL(IF(Häufigkeiten!B$7:B$31&lt;&gt;0,ROW($7:$31)),ROW(B21)))),"",INDEX(Häufigkeiten!A:A,SMALL(IF(Häufigkeiten!B$7:B$31&lt;&gt;0,ROW($7:$31)),ROW(B21))))</f>
        <v/>
      </c>
      <c r="B27" s="46" t="str">
        <f t="array" ref="B27">IF( ISERROR(INDEX(Häufigkeiten!B:B,SMALL(IF(Häufigkeiten!B$7:B$31&lt;&gt;0,ROW($7:$31)),ROW(B21)))),"",INDEX(Häufigkeiten!B:B,SMALL(IF(Häufigkeiten!B$7:B$31&lt;&gt;0,ROW($7:$31)),ROW(B21))))</f>
        <v/>
      </c>
      <c r="C27" s="431" t="str">
        <f t="shared" si="0"/>
        <v/>
      </c>
      <c r="D27" s="90"/>
      <c r="E27" s="46">
        <f t="array" ref="E27">IF( ISERROR(INDEX(Häufigkeiten!F:F,SMALL(IF(Häufigkeiten!F$7:F$51&lt;&gt;0,ROW($7:$51)),ROW(F21)))),"",INDEX(Häufigkeiten!E:E,SMALL(IF(Häufigkeiten!F$7:F$51&lt;&gt;0,ROW($7:$51)),ROW(F21))))</f>
        <v>185</v>
      </c>
      <c r="F27" s="46">
        <f t="array" ref="F27">IF( ISERROR(INDEX(Häufigkeiten!F:F,SMALL(IF(Häufigkeiten!F$7:F$51&lt;&gt;0,ROW($7:$51)),ROW(F21)))),"",INDEX(Häufigkeiten!F:F,SMALL(IF(Häufigkeiten!F$7:F$51&lt;&gt;0,ROW($7:$51)),ROW(F21))))</f>
        <v>7</v>
      </c>
      <c r="G27" s="431">
        <f t="shared" si="1"/>
        <v>0.1</v>
      </c>
      <c r="H27" s="90"/>
      <c r="I27" s="46">
        <f>SUM(F25:F27)</f>
        <v>14</v>
      </c>
      <c r="Q27" s="46" t="str">
        <f t="array" ref="Q27">IF( ISERROR(INDEX(Häufigkeiten!R:R,SMALL(IF(Häufigkeiten!R$7:R$31&lt;&gt;0,ROW($7:$31)),ROW(R21)))),"",INDEX(Häufigkeiten!Q:Q,SMALL(IF(Häufigkeiten!R$7:R$31&lt;&gt;0,ROW($7:$31)),ROW(R21))))</f>
        <v/>
      </c>
      <c r="R27" s="46" t="str">
        <f t="array" ref="R27">IF( ISERROR(INDEX(Häufigkeiten!R:R,SMALL(IF(Häufigkeiten!R$7:R$31&lt;&gt;0,ROW($7:$31)),ROW(R21)))),"",INDEX(Häufigkeiten!R:R,SMALL(IF(Häufigkeiten!R$7:R$31&lt;&gt;0,ROW($7:$31)),ROW(R21))))</f>
        <v/>
      </c>
      <c r="S27" s="431" t="str">
        <f t="shared" si="2"/>
        <v/>
      </c>
      <c r="T27" s="112"/>
      <c r="U27" s="46">
        <f t="array" ref="U27">IF( ISERROR(INDEX(Häufigkeiten!V:V,SMALL(IF(Häufigkeiten!V$7:V$51&lt;&gt;0,ROW($7:$51)),ROW(V21)))),"",INDEX(Häufigkeiten!U:U,SMALL(IF(Häufigkeiten!V$7:V$51&lt;&gt;0,ROW($7:$51)),ROW(V21))))</f>
        <v>189</v>
      </c>
      <c r="V27" s="46">
        <f t="array" ref="V27">IF( ISERROR(INDEX(Häufigkeiten!V:V,SMALL(IF(Häufigkeiten!V$7:V$51&lt;&gt;0,ROW($7:$51)),ROW(V21)))),"",INDEX(Häufigkeiten!V:V,SMALL(IF(Häufigkeiten!V$7:V$51&lt;&gt;0,ROW($7:$51)),ROW(V21))))</f>
        <v>1</v>
      </c>
      <c r="W27" s="431">
        <f t="shared" si="3"/>
        <v>2.4390243902439025E-2</v>
      </c>
      <c r="X27" s="90"/>
      <c r="AG27" s="46" t="str">
        <f t="array" ref="AG27">IF( ISERROR(INDEX(Häufigkeiten!AH:AH,SMALL(IF(Häufigkeiten!AH$7:AH$31&lt;&gt;0,ROW($7:$31)),ROW(AH21)))),"",INDEX(Häufigkeiten!AG:AG,SMALL(IF(Häufigkeiten!AH$7:AH$31&lt;&gt;0,ROW($7:$31)),ROW(AH21))))</f>
        <v/>
      </c>
      <c r="AH27" s="46" t="str">
        <f t="array" ref="AH27">IF( ISERROR(INDEX(Häufigkeiten!AH:AH,SMALL(IF(Häufigkeiten!AH$7:AH$31&lt;&gt;0,ROW($7:$31)),ROW(AH21)))),"",INDEX(Häufigkeiten!AH:AH,SMALL(IF(Häufigkeiten!AH$7:AH$31&lt;&gt;0,ROW($7:$31)),ROW(AH21))))</f>
        <v/>
      </c>
      <c r="AI27" s="431" t="str">
        <f t="shared" si="4"/>
        <v/>
      </c>
      <c r="AJ27" s="134"/>
      <c r="AK27" s="46" t="str">
        <f t="array" ref="AK27">IF( ISERROR(INDEX(Häufigkeiten!AL:AL,SMALL(IF(Häufigkeiten!AL$7:AL$51&lt;&gt;0,ROW($7:$51)),ROW(AL21)))),"",INDEX(Häufigkeiten!AK:AK,SMALL(IF(Häufigkeiten!AL$7:AL$51&lt;&gt;0,ROW($7:$51)),ROW(AL21))))</f>
        <v/>
      </c>
      <c r="AL27" s="46" t="str">
        <f t="array" ref="AL27">IF( ISERROR(INDEX(Häufigkeiten!AL:AL,SMALL(IF(Häufigkeiten!AL$7:AL$51&lt;&gt;0,ROW($7:$51)),ROW(AL21)))),"",INDEX(Häufigkeiten!AL:AL,SMALL(IF(Häufigkeiten!AL$7:AL$51&lt;&gt;0,ROW($7:$51)),ROW(AL21))))</f>
        <v/>
      </c>
      <c r="AM27" s="431" t="str">
        <f t="shared" si="5"/>
        <v/>
      </c>
      <c r="AN27" s="90"/>
    </row>
    <row r="28" spans="1:40" s="46" customFormat="1" x14ac:dyDescent="0.25">
      <c r="A28" s="46" t="str">
        <f t="array" ref="A28">IF( ISERROR(INDEX(Häufigkeiten!B:B,SMALL(IF(Häufigkeiten!B$7:B$31&lt;&gt;0,ROW($7:$31)),ROW(B22)))),"",INDEX(Häufigkeiten!A:A,SMALL(IF(Häufigkeiten!B$7:B$31&lt;&gt;0,ROW($7:$31)),ROW(B22))))</f>
        <v/>
      </c>
      <c r="B28" s="46" t="str">
        <f t="array" ref="B28">IF( ISERROR(INDEX(Häufigkeiten!B:B,SMALL(IF(Häufigkeiten!B$7:B$31&lt;&gt;0,ROW($7:$31)),ROW(B22)))),"",INDEX(Häufigkeiten!B:B,SMALL(IF(Häufigkeiten!B$7:B$31&lt;&gt;0,ROW($7:$31)),ROW(B22))))</f>
        <v/>
      </c>
      <c r="C28" s="431" t="str">
        <f t="shared" si="0"/>
        <v/>
      </c>
      <c r="D28" s="90"/>
      <c r="E28" s="46">
        <f t="array" ref="E28">IF( ISERROR(INDEX(Häufigkeiten!F:F,SMALL(IF(Häufigkeiten!F$7:F$51&lt;&gt;0,ROW($7:$51)),ROW(F22)))),"",INDEX(Häufigkeiten!E:E,SMALL(IF(Häufigkeiten!F$7:F$51&lt;&gt;0,ROW($7:$51)),ROW(F22))))</f>
        <v>187</v>
      </c>
      <c r="F28" s="46">
        <f t="array" ref="F28">IF( ISERROR(INDEX(Häufigkeiten!F:F,SMALL(IF(Häufigkeiten!F$7:F$51&lt;&gt;0,ROW($7:$51)),ROW(F22)))),"",INDEX(Häufigkeiten!F:F,SMALL(IF(Häufigkeiten!F$7:F$51&lt;&gt;0,ROW($7:$51)),ROW(F22))))</f>
        <v>2</v>
      </c>
      <c r="G28" s="431">
        <f t="shared" si="1"/>
        <v>2.8571428571428571E-2</v>
      </c>
      <c r="H28" s="90"/>
      <c r="Q28" s="46" t="str">
        <f t="array" ref="Q28">IF( ISERROR(INDEX(Häufigkeiten!R:R,SMALL(IF(Häufigkeiten!R$7:R$31&lt;&gt;0,ROW($7:$31)),ROW(R22)))),"",INDEX(Häufigkeiten!Q:Q,SMALL(IF(Häufigkeiten!R$7:R$31&lt;&gt;0,ROW($7:$31)),ROW(R22))))</f>
        <v/>
      </c>
      <c r="R28" s="46" t="str">
        <f t="array" ref="R28">IF( ISERROR(INDEX(Häufigkeiten!R:R,SMALL(IF(Häufigkeiten!R$7:R$31&lt;&gt;0,ROW($7:$31)),ROW(R22)))),"",INDEX(Häufigkeiten!R:R,SMALL(IF(Häufigkeiten!R$7:R$31&lt;&gt;0,ROW($7:$31)),ROW(R22))))</f>
        <v/>
      </c>
      <c r="S28" s="431" t="str">
        <f t="shared" si="2"/>
        <v/>
      </c>
      <c r="T28" s="112"/>
      <c r="U28" s="46">
        <f t="array" ref="U28">IF( ISERROR(INDEX(Häufigkeiten!V:V,SMALL(IF(Häufigkeiten!V$7:V$51&lt;&gt;0,ROW($7:$51)),ROW(V22)))),"",INDEX(Häufigkeiten!U:U,SMALL(IF(Häufigkeiten!V$7:V$51&lt;&gt;0,ROW($7:$51)),ROW(V22))))</f>
        <v>190</v>
      </c>
      <c r="V28" s="46">
        <f t="array" ref="V28">IF( ISERROR(INDEX(Häufigkeiten!V:V,SMALL(IF(Häufigkeiten!V$7:V$51&lt;&gt;0,ROW($7:$51)),ROW(V22)))),"",INDEX(Häufigkeiten!V:V,SMALL(IF(Häufigkeiten!V$7:V$51&lt;&gt;0,ROW($7:$51)),ROW(V22))))</f>
        <v>1</v>
      </c>
      <c r="W28" s="431">
        <f t="shared" si="3"/>
        <v>2.4390243902439025E-2</v>
      </c>
      <c r="X28" s="90"/>
      <c r="AG28" s="46" t="str">
        <f t="array" ref="AG28">IF( ISERROR(INDEX(Häufigkeiten!AH:AH,SMALL(IF(Häufigkeiten!AH$7:AH$31&lt;&gt;0,ROW($7:$31)),ROW(AH22)))),"",INDEX(Häufigkeiten!AG:AG,SMALL(IF(Häufigkeiten!AH$7:AH$31&lt;&gt;0,ROW($7:$31)),ROW(AH22))))</f>
        <v/>
      </c>
      <c r="AH28" s="46" t="str">
        <f t="array" ref="AH28">IF( ISERROR(INDEX(Häufigkeiten!AH:AH,SMALL(IF(Häufigkeiten!AH$7:AH$31&lt;&gt;0,ROW($7:$31)),ROW(AH22)))),"",INDEX(Häufigkeiten!AH:AH,SMALL(IF(Häufigkeiten!AH$7:AH$31&lt;&gt;0,ROW($7:$31)),ROW(AH22))))</f>
        <v/>
      </c>
      <c r="AI28" s="431" t="str">
        <f t="shared" si="4"/>
        <v/>
      </c>
      <c r="AJ28" s="134"/>
      <c r="AK28" s="46" t="str">
        <f t="array" ref="AK28">IF( ISERROR(INDEX(Häufigkeiten!AL:AL,SMALL(IF(Häufigkeiten!AL$7:AL$51&lt;&gt;0,ROW($7:$51)),ROW(AL22)))),"",INDEX(Häufigkeiten!AK:AK,SMALL(IF(Häufigkeiten!AL$7:AL$51&lt;&gt;0,ROW($7:$51)),ROW(AL22))))</f>
        <v/>
      </c>
      <c r="AL28" s="46" t="str">
        <f t="array" ref="AL28">IF( ISERROR(INDEX(Häufigkeiten!AL:AL,SMALL(IF(Häufigkeiten!AL$7:AL$51&lt;&gt;0,ROW($7:$51)),ROW(AL22)))),"",INDEX(Häufigkeiten!AL:AL,SMALL(IF(Häufigkeiten!AL$7:AL$51&lt;&gt;0,ROW($7:$51)),ROW(AL22))))</f>
        <v/>
      </c>
      <c r="AM28" s="431" t="str">
        <f t="shared" si="5"/>
        <v/>
      </c>
      <c r="AN28" s="90"/>
    </row>
    <row r="29" spans="1:40" s="46" customFormat="1" x14ac:dyDescent="0.25">
      <c r="A29" s="46" t="str">
        <f t="array" ref="A29">IF( ISERROR(INDEX(Häufigkeiten!B:B,SMALL(IF(Häufigkeiten!B$7:B$31&lt;&gt;0,ROW($7:$31)),ROW(B23)))),"",INDEX(Häufigkeiten!A:A,SMALL(IF(Häufigkeiten!B$7:B$31&lt;&gt;0,ROW($7:$31)),ROW(B23))))</f>
        <v/>
      </c>
      <c r="B29" s="46" t="str">
        <f t="array" ref="B29">IF( ISERROR(INDEX(Häufigkeiten!B:B,SMALL(IF(Häufigkeiten!B$7:B$31&lt;&gt;0,ROW($7:$31)),ROW(B23)))),"",INDEX(Häufigkeiten!B:B,SMALL(IF(Häufigkeiten!B$7:B$31&lt;&gt;0,ROW($7:$31)),ROW(B23))))</f>
        <v/>
      </c>
      <c r="C29" s="431" t="str">
        <f t="shared" si="0"/>
        <v/>
      </c>
      <c r="D29" s="90"/>
      <c r="E29" s="46">
        <f t="array" ref="E29">IF( ISERROR(INDEX(Häufigkeiten!F:F,SMALL(IF(Häufigkeiten!F$7:F$51&lt;&gt;0,ROW($7:$51)),ROW(F23)))),"",INDEX(Häufigkeiten!E:E,SMALL(IF(Häufigkeiten!F$7:F$51&lt;&gt;0,ROW($7:$51)),ROW(F23))))</f>
        <v>188</v>
      </c>
      <c r="F29" s="46">
        <f t="array" ref="F29">IF( ISERROR(INDEX(Häufigkeiten!F:F,SMALL(IF(Häufigkeiten!F$7:F$51&lt;&gt;0,ROW($7:$51)),ROW(F23)))),"",INDEX(Häufigkeiten!F:F,SMALL(IF(Häufigkeiten!F$7:F$51&lt;&gt;0,ROW($7:$51)),ROW(F23))))</f>
        <v>1</v>
      </c>
      <c r="G29" s="431">
        <f t="shared" si="1"/>
        <v>1.4285714285714285E-2</v>
      </c>
      <c r="H29" s="90"/>
      <c r="Q29" s="46" t="str">
        <f t="array" ref="Q29">IF( ISERROR(INDEX(Häufigkeiten!R:R,SMALL(IF(Häufigkeiten!R$7:R$31&lt;&gt;0,ROW($7:$31)),ROW(R23)))),"",INDEX(Häufigkeiten!Q:Q,SMALL(IF(Häufigkeiten!R$7:R$31&lt;&gt;0,ROW($7:$31)),ROW(R23))))</f>
        <v/>
      </c>
      <c r="R29" s="46" t="str">
        <f t="array" ref="R29">IF( ISERROR(INDEX(Häufigkeiten!R:R,SMALL(IF(Häufigkeiten!R$7:R$31&lt;&gt;0,ROW($7:$31)),ROW(R23)))),"",INDEX(Häufigkeiten!R:R,SMALL(IF(Häufigkeiten!R$7:R$31&lt;&gt;0,ROW($7:$31)),ROW(R23))))</f>
        <v/>
      </c>
      <c r="S29" s="431" t="str">
        <f t="shared" si="2"/>
        <v/>
      </c>
      <c r="T29" s="112"/>
      <c r="U29" s="46">
        <f t="array" ref="U29">IF( ISERROR(INDEX(Häufigkeiten!V:V,SMALL(IF(Häufigkeiten!V$7:V$51&lt;&gt;0,ROW($7:$51)),ROW(V23)))),"",INDEX(Häufigkeiten!U:U,SMALL(IF(Häufigkeiten!V$7:V$51&lt;&gt;0,ROW($7:$51)),ROW(V23))))</f>
        <v>193</v>
      </c>
      <c r="V29" s="46">
        <f t="array" ref="V29">IF( ISERROR(INDEX(Häufigkeiten!V:V,SMALL(IF(Häufigkeiten!V$7:V$51&lt;&gt;0,ROW($7:$51)),ROW(V23)))),"",INDEX(Häufigkeiten!V:V,SMALL(IF(Häufigkeiten!V$7:V$51&lt;&gt;0,ROW($7:$51)),ROW(V23))))</f>
        <v>2</v>
      </c>
      <c r="W29" s="431">
        <f t="shared" si="3"/>
        <v>4.878048780487805E-2</v>
      </c>
      <c r="X29" s="90"/>
      <c r="AG29" s="46" t="str">
        <f t="array" ref="AG29">IF( ISERROR(INDEX(Häufigkeiten!AH:AH,SMALL(IF(Häufigkeiten!AH$7:AH$31&lt;&gt;0,ROW($7:$31)),ROW(AH23)))),"",INDEX(Häufigkeiten!AG:AG,SMALL(IF(Häufigkeiten!AH$7:AH$31&lt;&gt;0,ROW($7:$31)),ROW(AH23))))</f>
        <v/>
      </c>
      <c r="AH29" s="46" t="str">
        <f t="array" ref="AH29">IF( ISERROR(INDEX(Häufigkeiten!AH:AH,SMALL(IF(Häufigkeiten!AH$7:AH$31&lt;&gt;0,ROW($7:$31)),ROW(AH23)))),"",INDEX(Häufigkeiten!AH:AH,SMALL(IF(Häufigkeiten!AH$7:AH$31&lt;&gt;0,ROW($7:$31)),ROW(AH23))))</f>
        <v/>
      </c>
      <c r="AI29" s="431" t="str">
        <f t="shared" si="4"/>
        <v/>
      </c>
      <c r="AJ29" s="134"/>
      <c r="AK29" s="46" t="str">
        <f t="array" ref="AK29">IF( ISERROR(INDEX(Häufigkeiten!AL:AL,SMALL(IF(Häufigkeiten!AL$7:AL$51&lt;&gt;0,ROW($7:$51)),ROW(AL23)))),"",INDEX(Häufigkeiten!AK:AK,SMALL(IF(Häufigkeiten!AL$7:AL$51&lt;&gt;0,ROW($7:$51)),ROW(AL23))))</f>
        <v/>
      </c>
      <c r="AL29" s="46" t="str">
        <f t="array" ref="AL29">IF( ISERROR(INDEX(Häufigkeiten!AL:AL,SMALL(IF(Häufigkeiten!AL$7:AL$51&lt;&gt;0,ROW($7:$51)),ROW(AL23)))),"",INDEX(Häufigkeiten!AL:AL,SMALL(IF(Häufigkeiten!AL$7:AL$51&lt;&gt;0,ROW($7:$51)),ROW(AL23))))</f>
        <v/>
      </c>
      <c r="AM29" s="431" t="str">
        <f t="shared" si="5"/>
        <v/>
      </c>
      <c r="AN29" s="90"/>
    </row>
    <row r="30" spans="1:40" s="46" customFormat="1" x14ac:dyDescent="0.25">
      <c r="A30" s="46" t="str">
        <f t="array" ref="A30">IF( ISERROR(INDEX(Häufigkeiten!B:B,SMALL(IF(Häufigkeiten!B$7:B$31&lt;&gt;0,ROW($7:$31)),ROW(B24)))),"",INDEX(Häufigkeiten!A:A,SMALL(IF(Häufigkeiten!B$7:B$31&lt;&gt;0,ROW($7:$31)),ROW(B24))))</f>
        <v/>
      </c>
      <c r="B30" s="46" t="str">
        <f t="array" ref="B30">IF( ISERROR(INDEX(Häufigkeiten!B:B,SMALL(IF(Häufigkeiten!B$7:B$31&lt;&gt;0,ROW($7:$31)),ROW(B24)))),"",INDEX(Häufigkeiten!B:B,SMALL(IF(Häufigkeiten!B$7:B$31&lt;&gt;0,ROW($7:$31)),ROW(B24))))</f>
        <v/>
      </c>
      <c r="C30" s="431" t="str">
        <f t="shared" si="0"/>
        <v/>
      </c>
      <c r="D30" s="90"/>
      <c r="E30" s="46">
        <f t="array" ref="E30">IF( ISERROR(INDEX(Häufigkeiten!F:F,SMALL(IF(Häufigkeiten!F$7:F$51&lt;&gt;0,ROW($7:$51)),ROW(F24)))),"",INDEX(Häufigkeiten!E:E,SMALL(IF(Häufigkeiten!F$7:F$51&lt;&gt;0,ROW($7:$51)),ROW(F24))))</f>
        <v>189</v>
      </c>
      <c r="F30" s="46">
        <f t="array" ref="F30">IF( ISERROR(INDEX(Häufigkeiten!F:F,SMALL(IF(Häufigkeiten!F$7:F$51&lt;&gt;0,ROW($7:$51)),ROW(F24)))),"",INDEX(Häufigkeiten!F:F,SMALL(IF(Häufigkeiten!F$7:F$51&lt;&gt;0,ROW($7:$51)),ROW(F24))))</f>
        <v>1</v>
      </c>
      <c r="G30" s="431">
        <f t="shared" si="1"/>
        <v>1.4285714285714285E-2</v>
      </c>
      <c r="H30" s="90"/>
      <c r="Q30" s="46" t="str">
        <f t="array" ref="Q30">IF( ISERROR(INDEX(Häufigkeiten!R:R,SMALL(IF(Häufigkeiten!R$7:R$31&lt;&gt;0,ROW($7:$31)),ROW(R24)))),"",INDEX(Häufigkeiten!Q:Q,SMALL(IF(Häufigkeiten!R$7:R$31&lt;&gt;0,ROW($7:$31)),ROW(R24))))</f>
        <v/>
      </c>
      <c r="R30" s="46" t="str">
        <f t="array" ref="R30">IF( ISERROR(INDEX(Häufigkeiten!R:R,SMALL(IF(Häufigkeiten!R$7:R$31&lt;&gt;0,ROW($7:$31)),ROW(R24)))),"",INDEX(Häufigkeiten!R:R,SMALL(IF(Häufigkeiten!R$7:R$31&lt;&gt;0,ROW($7:$31)),ROW(R24))))</f>
        <v/>
      </c>
      <c r="S30" s="431" t="str">
        <f t="shared" si="2"/>
        <v/>
      </c>
      <c r="T30" s="112"/>
      <c r="U30" s="46" t="str">
        <f t="array" ref="U30">IF( ISERROR(INDEX(Häufigkeiten!V:V,SMALL(IF(Häufigkeiten!V$7:V$51&lt;&gt;0,ROW($7:$51)),ROW(V24)))),"",INDEX(Häufigkeiten!U:U,SMALL(IF(Häufigkeiten!V$7:V$51&lt;&gt;0,ROW($7:$51)),ROW(V24))))</f>
        <v/>
      </c>
      <c r="V30" s="46" t="str">
        <f t="array" ref="V30">IF( ISERROR(INDEX(Häufigkeiten!V:V,SMALL(IF(Häufigkeiten!V$7:V$51&lt;&gt;0,ROW($7:$51)),ROW(V24)))),"",INDEX(Häufigkeiten!V:V,SMALL(IF(Häufigkeiten!V$7:V$51&lt;&gt;0,ROW($7:$51)),ROW(V24))))</f>
        <v/>
      </c>
      <c r="W30" s="431" t="str">
        <f t="shared" si="3"/>
        <v/>
      </c>
      <c r="X30" s="90"/>
      <c r="AG30" s="46" t="str">
        <f t="array" ref="AG30">IF( ISERROR(INDEX(Häufigkeiten!AH:AH,SMALL(IF(Häufigkeiten!AH$7:AH$31&lt;&gt;0,ROW($7:$31)),ROW(AH24)))),"",INDEX(Häufigkeiten!AG:AG,SMALL(IF(Häufigkeiten!AH$7:AH$31&lt;&gt;0,ROW($7:$31)),ROW(AH24))))</f>
        <v/>
      </c>
      <c r="AH30" s="46" t="str">
        <f t="array" ref="AH30">IF( ISERROR(INDEX(Häufigkeiten!AH:AH,SMALL(IF(Häufigkeiten!AH$7:AH$31&lt;&gt;0,ROW($7:$31)),ROW(AH24)))),"",INDEX(Häufigkeiten!AH:AH,SMALL(IF(Häufigkeiten!AH$7:AH$31&lt;&gt;0,ROW($7:$31)),ROW(AH24))))</f>
        <v/>
      </c>
      <c r="AI30" s="431" t="str">
        <f t="shared" si="4"/>
        <v/>
      </c>
      <c r="AJ30" s="134"/>
      <c r="AK30" s="46" t="str">
        <f t="array" ref="AK30">IF( ISERROR(INDEX(Häufigkeiten!AL:AL,SMALL(IF(Häufigkeiten!AL$7:AL$51&lt;&gt;0,ROW($7:$51)),ROW(AL24)))),"",INDEX(Häufigkeiten!AK:AK,SMALL(IF(Häufigkeiten!AL$7:AL$51&lt;&gt;0,ROW($7:$51)),ROW(AL24))))</f>
        <v/>
      </c>
      <c r="AL30" s="46" t="str">
        <f t="array" ref="AL30">IF( ISERROR(INDEX(Häufigkeiten!AL:AL,SMALL(IF(Häufigkeiten!AL$7:AL$51&lt;&gt;0,ROW($7:$51)),ROW(AL24)))),"",INDEX(Häufigkeiten!AL:AL,SMALL(IF(Häufigkeiten!AL$7:AL$51&lt;&gt;0,ROW($7:$51)),ROW(AL24))))</f>
        <v/>
      </c>
      <c r="AM30" s="431" t="str">
        <f t="shared" si="5"/>
        <v/>
      </c>
      <c r="AN30" s="90"/>
    </row>
    <row r="31" spans="1:40" s="46" customFormat="1" ht="15.75" thickBot="1" x14ac:dyDescent="0.3">
      <c r="A31" s="430" t="str">
        <f t="array" ref="A31">IF( ISERROR(INDEX(Häufigkeiten!B:B,SMALL(IF(Häufigkeiten!B$7:B$31&lt;&gt;0,ROW($7:$31)),ROW(B25)))),"",INDEX(Häufigkeiten!A:A,SMALL(IF(Häufigkeiten!B$7:B$31&lt;&gt;0,ROW($7:$31)),ROW(B25))))</f>
        <v/>
      </c>
      <c r="B31" s="430" t="str">
        <f t="array" ref="B31">IF( ISERROR(INDEX(Häufigkeiten!B:B,SMALL(IF(Häufigkeiten!B$7:B$31&lt;&gt;0,ROW($7:$31)),ROW(B25)))),"",INDEX(Häufigkeiten!B:B,SMALL(IF(Häufigkeiten!B$7:B$31&lt;&gt;0,ROW($7:$31)),ROW(B25))))</f>
        <v/>
      </c>
      <c r="C31" s="432" t="str">
        <f t="shared" si="0"/>
        <v/>
      </c>
      <c r="D31" s="90"/>
      <c r="E31" s="46">
        <f t="array" ref="E31">IF( ISERROR(INDEX(Häufigkeiten!F:F,SMALL(IF(Häufigkeiten!F$7:F$51&lt;&gt;0,ROW($7:$51)),ROW(F25)))),"",INDEX(Häufigkeiten!E:E,SMALL(IF(Häufigkeiten!F$7:F$51&lt;&gt;0,ROW($7:$51)),ROW(F25))))</f>
        <v>190</v>
      </c>
      <c r="F31" s="46">
        <f t="array" ref="F31">IF( ISERROR(INDEX(Häufigkeiten!F:F,SMALL(IF(Häufigkeiten!F$7:F$51&lt;&gt;0,ROW($7:$51)),ROW(F25)))),"",INDEX(Häufigkeiten!F:F,SMALL(IF(Häufigkeiten!F$7:F$51&lt;&gt;0,ROW($7:$51)),ROW(F25))))</f>
        <v>1</v>
      </c>
      <c r="G31" s="431">
        <f t="shared" si="1"/>
        <v>1.4285714285714285E-2</v>
      </c>
      <c r="H31" s="90"/>
      <c r="Q31" s="430" t="str">
        <f t="array" ref="Q31">IF( ISERROR(INDEX(Häufigkeiten!R:R,SMALL(IF(Häufigkeiten!R$7:R$31&lt;&gt;0,ROW($7:$31)),ROW(R25)))),"",INDEX(Häufigkeiten!Q:Q,SMALL(IF(Häufigkeiten!R$7:R$31&lt;&gt;0,ROW($7:$31)),ROW(R25))))</f>
        <v/>
      </c>
      <c r="R31" s="430" t="str">
        <f t="array" ref="R31">IF( ISERROR(INDEX(Häufigkeiten!R:R,SMALL(IF(Häufigkeiten!R$7:R$31&lt;&gt;0,ROW($7:$31)),ROW(R25)))),"",INDEX(Häufigkeiten!R:R,SMALL(IF(Häufigkeiten!R$7:R$31&lt;&gt;0,ROW($7:$31)),ROW(R25))))</f>
        <v/>
      </c>
      <c r="S31" s="432" t="str">
        <f t="shared" si="2"/>
        <v/>
      </c>
      <c r="T31" s="112"/>
      <c r="U31" s="46" t="str">
        <f t="array" ref="U31">IF( ISERROR(INDEX(Häufigkeiten!V:V,SMALL(IF(Häufigkeiten!V$7:V$51&lt;&gt;0,ROW($7:$51)),ROW(V25)))),"",INDEX(Häufigkeiten!U:U,SMALL(IF(Häufigkeiten!V$7:V$51&lt;&gt;0,ROW($7:$51)),ROW(V25))))</f>
        <v/>
      </c>
      <c r="V31" s="46" t="str">
        <f t="array" ref="V31">IF( ISERROR(INDEX(Häufigkeiten!V:V,SMALL(IF(Häufigkeiten!V$7:V$51&lt;&gt;0,ROW($7:$51)),ROW(V25)))),"",INDEX(Häufigkeiten!V:V,SMALL(IF(Häufigkeiten!V$7:V$51&lt;&gt;0,ROW($7:$51)),ROW(V25))))</f>
        <v/>
      </c>
      <c r="W31" s="431" t="str">
        <f t="shared" si="3"/>
        <v/>
      </c>
      <c r="X31" s="90"/>
      <c r="AG31" s="430" t="str">
        <f t="array" ref="AG31">IF( ISERROR(INDEX(Häufigkeiten!AH:AH,SMALL(IF(Häufigkeiten!AH$7:AH$31&lt;&gt;0,ROW($7:$31)),ROW(AH25)))),"",INDEX(Häufigkeiten!AG:AG,SMALL(IF(Häufigkeiten!AH$7:AH$31&lt;&gt;0,ROW($7:$31)),ROW(AH25))))</f>
        <v/>
      </c>
      <c r="AH31" s="430" t="str">
        <f t="array" ref="AH31">IF( ISERROR(INDEX(Häufigkeiten!AH:AH,SMALL(IF(Häufigkeiten!AH$7:AH$31&lt;&gt;0,ROW($7:$31)),ROW(AH25)))),"",INDEX(Häufigkeiten!AH:AH,SMALL(IF(Häufigkeiten!AH$7:AH$31&lt;&gt;0,ROW($7:$31)),ROW(AH25))))</f>
        <v/>
      </c>
      <c r="AI31" s="432" t="str">
        <f t="shared" si="4"/>
        <v/>
      </c>
      <c r="AJ31" s="134"/>
      <c r="AK31" s="46" t="str">
        <f t="array" ref="AK31">IF( ISERROR(INDEX(Häufigkeiten!AL:AL,SMALL(IF(Häufigkeiten!AL$7:AL$51&lt;&gt;0,ROW($7:$51)),ROW(AL25)))),"",INDEX(Häufigkeiten!AK:AK,SMALL(IF(Häufigkeiten!AL$7:AL$51&lt;&gt;0,ROW($7:$51)),ROW(AL25))))</f>
        <v/>
      </c>
      <c r="AL31" s="46" t="str">
        <f t="array" ref="AL31">IF( ISERROR(INDEX(Häufigkeiten!AL:AL,SMALL(IF(Häufigkeiten!AL$7:AL$51&lt;&gt;0,ROW($7:$51)),ROW(AL25)))),"",INDEX(Häufigkeiten!AL:AL,SMALL(IF(Häufigkeiten!AL$7:AL$51&lt;&gt;0,ROW($7:$51)),ROW(AL25))))</f>
        <v/>
      </c>
      <c r="AM31" s="431" t="str">
        <f t="shared" si="5"/>
        <v/>
      </c>
      <c r="AN31" s="90"/>
    </row>
    <row r="32" spans="1:40" s="46" customFormat="1" x14ac:dyDescent="0.25">
      <c r="A32" s="46">
        <f>INDEX(A$1:A$31,ROUNDDOWN(QUOTIENT(2*ROW()+1,4),0)-9,1)</f>
        <v>19</v>
      </c>
      <c r="B32" s="431">
        <v>0</v>
      </c>
      <c r="C32" s="431">
        <v>0</v>
      </c>
      <c r="D32" s="433"/>
      <c r="E32" s="46">
        <f t="array" ref="E32">IF( ISERROR(INDEX(Häufigkeiten!F:F,SMALL(IF(Häufigkeiten!F$7:F$51&lt;&gt;0,ROW($7:$51)),ROW(F26)))),"",INDEX(Häufigkeiten!E:E,SMALL(IF(Häufigkeiten!F$7:F$51&lt;&gt;0,ROW($7:$51)),ROW(F26))))</f>
        <v>193</v>
      </c>
      <c r="F32" s="46">
        <f t="array" ref="F32">IF( ISERROR(INDEX(Häufigkeiten!F:F,SMALL(IF(Häufigkeiten!F$7:F$51&lt;&gt;0,ROW($7:$51)),ROW(F26)))),"",INDEX(Häufigkeiten!F:F,SMALL(IF(Häufigkeiten!F$7:F$51&lt;&gt;0,ROW($7:$51)),ROW(F26))))</f>
        <v>2</v>
      </c>
      <c r="G32" s="431">
        <f t="shared" si="1"/>
        <v>2.8571428571428571E-2</v>
      </c>
      <c r="H32" s="90"/>
      <c r="Q32" s="46">
        <f>INDEX(Q$1:Q$31,ROUNDDOWN(QUOTIENT(2*ROW()+1,4),0)-9,1)</f>
        <v>19</v>
      </c>
      <c r="R32" s="431">
        <v>0</v>
      </c>
      <c r="S32" s="431">
        <v>0</v>
      </c>
      <c r="T32" s="433"/>
      <c r="U32" s="46" t="str">
        <f t="array" ref="U32">IF( ISERROR(INDEX(Häufigkeiten!V:V,SMALL(IF(Häufigkeiten!V$7:V$51&lt;&gt;0,ROW($7:$51)),ROW(V26)))),"",INDEX(Häufigkeiten!U:U,SMALL(IF(Häufigkeiten!V$7:V$51&lt;&gt;0,ROW($7:$51)),ROW(V26))))</f>
        <v/>
      </c>
      <c r="V32" s="46" t="str">
        <f t="array" ref="V32">IF( ISERROR(INDEX(Häufigkeiten!V:V,SMALL(IF(Häufigkeiten!V$7:V$51&lt;&gt;0,ROW($7:$51)),ROW(V26)))),"",INDEX(Häufigkeiten!V:V,SMALL(IF(Häufigkeiten!V$7:V$51&lt;&gt;0,ROW($7:$51)),ROW(V26))))</f>
        <v/>
      </c>
      <c r="W32" s="431" t="str">
        <f t="shared" si="3"/>
        <v/>
      </c>
      <c r="X32" s="90"/>
      <c r="AG32" s="46">
        <f>INDEX(AG$1:AG$31,ROUNDDOWN(QUOTIENT(2*ROW()+1,4),0)-9,1)</f>
        <v>19</v>
      </c>
      <c r="AH32" s="431">
        <v>0</v>
      </c>
      <c r="AI32" s="431">
        <v>0</v>
      </c>
      <c r="AJ32" s="433"/>
      <c r="AK32" s="46" t="str">
        <f t="array" ref="AK32">IF( ISERROR(INDEX(Häufigkeiten!AL:AL,SMALL(IF(Häufigkeiten!AL$7:AL$51&lt;&gt;0,ROW($7:$51)),ROW(AL26)))),"",INDEX(Häufigkeiten!AK:AK,SMALL(IF(Häufigkeiten!AL$7:AL$51&lt;&gt;0,ROW($7:$51)),ROW(AL26))))</f>
        <v/>
      </c>
      <c r="AL32" s="46" t="str">
        <f t="array" ref="AL32">IF( ISERROR(INDEX(Häufigkeiten!AL:AL,SMALL(IF(Häufigkeiten!AL$7:AL$51&lt;&gt;0,ROW($7:$51)),ROW(AL26)))),"",INDEX(Häufigkeiten!AL:AL,SMALL(IF(Häufigkeiten!AL$7:AL$51&lt;&gt;0,ROW($7:$51)),ROW(AL26))))</f>
        <v/>
      </c>
      <c r="AM32" s="431" t="str">
        <f t="shared" si="5"/>
        <v/>
      </c>
      <c r="AN32" s="90"/>
    </row>
    <row r="33" spans="1:40" s="46" customFormat="1" x14ac:dyDescent="0.25">
      <c r="A33" s="46">
        <f t="shared" ref="A33:A81" si="6">INDEX(A$1:A$31,ROUNDDOWN(QUOTIENT(2*ROW()+1,4),0)-9,1)</f>
        <v>19</v>
      </c>
      <c r="B33" s="431">
        <f t="shared" ref="B33:B81" si="7">INDEX(C$1:C$31,ROUNDDOWN(QUOTIENT(2*(ROW()-1)+1,4),0)-9,1)</f>
        <v>4.2857142857142858E-2</v>
      </c>
      <c r="C33" s="431">
        <f>B33+C32</f>
        <v>4.2857142857142858E-2</v>
      </c>
      <c r="D33" s="433"/>
      <c r="E33" s="46">
        <f t="array" ref="E33">IF( ISERROR(INDEX(Häufigkeiten!F:F,SMALL(IF(Häufigkeiten!F$7:F$51&lt;&gt;0,ROW($7:$51)),ROW(F27)))),"",INDEX(Häufigkeiten!E:E,SMALL(IF(Häufigkeiten!F$7:F$51&lt;&gt;0,ROW($7:$51)),ROW(F27))))</f>
        <v>195</v>
      </c>
      <c r="F33" s="46">
        <f t="array" ref="F33">IF( ISERROR(INDEX(Häufigkeiten!F:F,SMALL(IF(Häufigkeiten!F$7:F$51&lt;&gt;0,ROW($7:$51)),ROW(F27)))),"",INDEX(Häufigkeiten!F:F,SMALL(IF(Häufigkeiten!F$7:F$51&lt;&gt;0,ROW($7:$51)),ROW(F27))))</f>
        <v>1</v>
      </c>
      <c r="G33" s="431">
        <f t="shared" ref="G33:G37" si="8">IF(ISERROR(F33/B$4),"",F33/B$4)</f>
        <v>1.4285714285714285E-2</v>
      </c>
      <c r="H33" s="90"/>
      <c r="I33" s="46">
        <f>SUM(F28:F33)</f>
        <v>8</v>
      </c>
      <c r="Q33" s="46">
        <f t="shared" ref="Q33:Q81" si="9">INDEX(Q$1:Q$31,ROUNDDOWN(QUOTIENT(2*ROW()+1,4),0)-9,1)</f>
        <v>19</v>
      </c>
      <c r="R33" s="431">
        <f t="shared" ref="R33:R81" si="10">INDEX(S$1:S$31,ROUNDDOWN(QUOTIENT(2*(ROW()-1)+1,4),0)-9,1)</f>
        <v>4.878048780487805E-2</v>
      </c>
      <c r="S33" s="431">
        <f>R33+S32</f>
        <v>4.878048780487805E-2</v>
      </c>
      <c r="T33" s="433"/>
      <c r="U33" s="46" t="str">
        <f t="array" ref="U33">IF( ISERROR(INDEX(Häufigkeiten!V:V,SMALL(IF(Häufigkeiten!V$7:V$51&lt;&gt;0,ROW($7:$51)),ROW(V27)))),"",INDEX(Häufigkeiten!U:U,SMALL(IF(Häufigkeiten!V$7:V$51&lt;&gt;0,ROW($7:$51)),ROW(V27))))</f>
        <v/>
      </c>
      <c r="V33" s="46" t="str">
        <f t="array" ref="V33">IF( ISERROR(INDEX(Häufigkeiten!V:V,SMALL(IF(Häufigkeiten!V$7:V$51&lt;&gt;0,ROW($7:$51)),ROW(V27)))),"",INDEX(Häufigkeiten!V:V,SMALL(IF(Häufigkeiten!V$7:V$51&lt;&gt;0,ROW($7:$51)),ROW(V27))))</f>
        <v/>
      </c>
      <c r="W33" s="431" t="str">
        <f t="shared" si="3"/>
        <v/>
      </c>
      <c r="X33" s="90"/>
      <c r="AG33" s="46">
        <f t="shared" ref="AG33:AG81" si="11">INDEX(AG$1:AG$31,ROUNDDOWN(QUOTIENT(2*ROW()+1,4),0)-9,1)</f>
        <v>19</v>
      </c>
      <c r="AH33" s="431">
        <f t="shared" ref="AH33:AH81" si="12">INDEX(AI$1:AI$31,ROUNDDOWN(QUOTIENT(2*(ROW()-1)+1,4),0)-9,1)</f>
        <v>3.4482758620689655E-2</v>
      </c>
      <c r="AI33" s="431">
        <f>AH33+AI32</f>
        <v>3.4482758620689655E-2</v>
      </c>
      <c r="AJ33" s="433"/>
      <c r="AK33" s="46" t="str">
        <f t="array" ref="AK33">IF( ISERROR(INDEX(Häufigkeiten!AL:AL,SMALL(IF(Häufigkeiten!AL$7:AL$51&lt;&gt;0,ROW($7:$51)),ROW(AL27)))),"",INDEX(Häufigkeiten!AK:AK,SMALL(IF(Häufigkeiten!AL$7:AL$51&lt;&gt;0,ROW($7:$51)),ROW(AL27))))</f>
        <v/>
      </c>
      <c r="AL33" s="46" t="str">
        <f t="array" ref="AL33">IF( ISERROR(INDEX(Häufigkeiten!AL:AL,SMALL(IF(Häufigkeiten!AL$7:AL$51&lt;&gt;0,ROW($7:$51)),ROW(AL27)))),"",INDEX(Häufigkeiten!AL:AL,SMALL(IF(Häufigkeiten!AL$7:AL$51&lt;&gt;0,ROW($7:$51)),ROW(AL27))))</f>
        <v/>
      </c>
      <c r="AM33" s="431" t="str">
        <f t="shared" si="5"/>
        <v/>
      </c>
      <c r="AN33" s="90"/>
    </row>
    <row r="34" spans="1:40" s="46" customFormat="1" x14ac:dyDescent="0.25">
      <c r="A34" s="46">
        <f t="shared" si="6"/>
        <v>20</v>
      </c>
      <c r="B34" s="431">
        <f t="shared" si="7"/>
        <v>4.2857142857142858E-2</v>
      </c>
      <c r="C34" s="431">
        <f>B34+C32</f>
        <v>4.2857142857142858E-2</v>
      </c>
      <c r="D34" s="433"/>
      <c r="E34" s="46" t="str">
        <f t="array" ref="E34">IF( ISERROR(INDEX(Häufigkeiten!F:F,SMALL(IF(Häufigkeiten!F$7:F$51&lt;&gt;0,ROW($7:$51)),ROW(F28)))),"",INDEX(Häufigkeiten!E:E,SMALL(IF(Häufigkeiten!F$7:F$51&lt;&gt;0,ROW($7:$51)),ROW(F28))))</f>
        <v/>
      </c>
      <c r="F34" s="46" t="str">
        <f t="array" ref="F34">IF( ISERROR(INDEX(Häufigkeiten!F:F,SMALL(IF(Häufigkeiten!F$7:F$51&lt;&gt;0,ROW($7:$51)),ROW(F28)))),"",INDEX(Häufigkeiten!F:F,SMALL(IF(Häufigkeiten!F$7:F$51&lt;&gt;0,ROW($7:$51)),ROW(F28))))</f>
        <v/>
      </c>
      <c r="G34" s="431" t="str">
        <f t="shared" si="8"/>
        <v/>
      </c>
      <c r="H34" s="90"/>
      <c r="Q34" s="46">
        <f t="shared" si="9"/>
        <v>20</v>
      </c>
      <c r="R34" s="431">
        <f t="shared" si="10"/>
        <v>4.878048780487805E-2</v>
      </c>
      <c r="S34" s="431">
        <f>R34+S32</f>
        <v>4.878048780487805E-2</v>
      </c>
      <c r="T34" s="433"/>
      <c r="U34" s="46" t="str">
        <f t="array" ref="U34">IF( ISERROR(INDEX(Häufigkeiten!V:V,SMALL(IF(Häufigkeiten!V$7:V$51&lt;&gt;0,ROW($7:$51)),ROW(V28)))),"",INDEX(Häufigkeiten!U:U,SMALL(IF(Häufigkeiten!V$7:V$51&lt;&gt;0,ROW($7:$51)),ROW(V28))))</f>
        <v/>
      </c>
      <c r="V34" s="46" t="str">
        <f t="array" ref="V34">IF( ISERROR(INDEX(Häufigkeiten!V:V,SMALL(IF(Häufigkeiten!V$7:V$51&lt;&gt;0,ROW($7:$51)),ROW(V28)))),"",INDEX(Häufigkeiten!V:V,SMALL(IF(Häufigkeiten!V$7:V$51&lt;&gt;0,ROW($7:$51)),ROW(V28))))</f>
        <v/>
      </c>
      <c r="W34" s="431" t="str">
        <f t="shared" si="3"/>
        <v/>
      </c>
      <c r="X34" s="90"/>
      <c r="AG34" s="46">
        <f t="shared" si="11"/>
        <v>20</v>
      </c>
      <c r="AH34" s="431">
        <f t="shared" si="12"/>
        <v>3.4482758620689655E-2</v>
      </c>
      <c r="AI34" s="431">
        <f>AH34+AI32</f>
        <v>3.4482758620689655E-2</v>
      </c>
      <c r="AJ34" s="433"/>
      <c r="AK34" s="46" t="str">
        <f t="array" ref="AK34">IF( ISERROR(INDEX(Häufigkeiten!AL:AL,SMALL(IF(Häufigkeiten!AL$7:AL$51&lt;&gt;0,ROW($7:$51)),ROW(AL28)))),"",INDEX(Häufigkeiten!AK:AK,SMALL(IF(Häufigkeiten!AL$7:AL$51&lt;&gt;0,ROW($7:$51)),ROW(AL28))))</f>
        <v/>
      </c>
      <c r="AL34" s="46" t="str">
        <f t="array" ref="AL34">IF( ISERROR(INDEX(Häufigkeiten!AL:AL,SMALL(IF(Häufigkeiten!AL$7:AL$51&lt;&gt;0,ROW($7:$51)),ROW(AL28)))),"",INDEX(Häufigkeiten!AL:AL,SMALL(IF(Häufigkeiten!AL$7:AL$51&lt;&gt;0,ROW($7:$51)),ROW(AL28))))</f>
        <v/>
      </c>
      <c r="AM34" s="431" t="str">
        <f t="shared" si="5"/>
        <v/>
      </c>
      <c r="AN34" s="90"/>
    </row>
    <row r="35" spans="1:40" s="46" customFormat="1" x14ac:dyDescent="0.25">
      <c r="A35" s="46">
        <f t="shared" si="6"/>
        <v>20</v>
      </c>
      <c r="B35" s="431">
        <f t="shared" si="7"/>
        <v>0.14285714285714285</v>
      </c>
      <c r="C35" s="431">
        <f>B35+C34</f>
        <v>0.18571428571428572</v>
      </c>
      <c r="D35" s="433"/>
      <c r="E35" s="46" t="str">
        <f t="array" ref="E35">IF( ISERROR(INDEX(Häufigkeiten!F:F,SMALL(IF(Häufigkeiten!F$7:F$51&lt;&gt;0,ROW($7:$51)),ROW(F29)))),"",INDEX(Häufigkeiten!E:E,SMALL(IF(Häufigkeiten!F$7:F$51&lt;&gt;0,ROW($7:$51)),ROW(F29))))</f>
        <v/>
      </c>
      <c r="F35" s="46" t="str">
        <f t="array" ref="F35">IF( ISERROR(INDEX(Häufigkeiten!F:F,SMALL(IF(Häufigkeiten!F$7:F$51&lt;&gt;0,ROW($7:$51)),ROW(F29)))),"",INDEX(Häufigkeiten!F:F,SMALL(IF(Häufigkeiten!F$7:F$51&lt;&gt;0,ROW($7:$51)),ROW(F29))))</f>
        <v/>
      </c>
      <c r="G35" s="431" t="str">
        <f t="shared" si="8"/>
        <v/>
      </c>
      <c r="H35" s="90"/>
      <c r="Q35" s="46">
        <f t="shared" si="9"/>
        <v>20</v>
      </c>
      <c r="R35" s="431">
        <f t="shared" si="10"/>
        <v>0.14634146341463414</v>
      </c>
      <c r="S35" s="431">
        <f>R35+S34</f>
        <v>0.1951219512195122</v>
      </c>
      <c r="T35" s="433"/>
      <c r="U35" s="46" t="str">
        <f t="array" ref="U35">IF( ISERROR(INDEX(Häufigkeiten!V:V,SMALL(IF(Häufigkeiten!V$7:V$51&lt;&gt;0,ROW($7:$51)),ROW(V29)))),"",INDEX(Häufigkeiten!U:U,SMALL(IF(Häufigkeiten!V$7:V$51&lt;&gt;0,ROW($7:$51)),ROW(V29))))</f>
        <v/>
      </c>
      <c r="V35" s="46" t="str">
        <f t="array" ref="V35">IF( ISERROR(INDEX(Häufigkeiten!V:V,SMALL(IF(Häufigkeiten!V$7:V$51&lt;&gt;0,ROW($7:$51)),ROW(V29)))),"",INDEX(Häufigkeiten!V:V,SMALL(IF(Häufigkeiten!V$7:V$51&lt;&gt;0,ROW($7:$51)),ROW(V29))))</f>
        <v/>
      </c>
      <c r="W35" s="431" t="str">
        <f t="shared" si="3"/>
        <v/>
      </c>
      <c r="X35" s="90"/>
      <c r="AG35" s="46">
        <f t="shared" si="11"/>
        <v>20</v>
      </c>
      <c r="AH35" s="431">
        <f t="shared" si="12"/>
        <v>0.13793103448275862</v>
      </c>
      <c r="AI35" s="431">
        <f>AH35+AI34</f>
        <v>0.17241379310344829</v>
      </c>
      <c r="AJ35" s="433"/>
      <c r="AK35" s="46" t="str">
        <f t="array" ref="AK35">IF( ISERROR(INDEX(Häufigkeiten!AL:AL,SMALL(IF(Häufigkeiten!AL$7:AL$51&lt;&gt;0,ROW($7:$51)),ROW(AL29)))),"",INDEX(Häufigkeiten!AK:AK,SMALL(IF(Häufigkeiten!AL$7:AL$51&lt;&gt;0,ROW($7:$51)),ROW(AL29))))</f>
        <v/>
      </c>
      <c r="AL35" s="46" t="str">
        <f t="array" ref="AL35">IF( ISERROR(INDEX(Häufigkeiten!AL:AL,SMALL(IF(Häufigkeiten!AL$7:AL$51&lt;&gt;0,ROW($7:$51)),ROW(AL29)))),"",INDEX(Häufigkeiten!AL:AL,SMALL(IF(Häufigkeiten!AL$7:AL$51&lt;&gt;0,ROW($7:$51)),ROW(AL29))))</f>
        <v/>
      </c>
      <c r="AM35" s="431" t="str">
        <f t="shared" si="5"/>
        <v/>
      </c>
      <c r="AN35" s="90"/>
    </row>
    <row r="36" spans="1:40" s="46" customFormat="1" x14ac:dyDescent="0.25">
      <c r="A36" s="46">
        <f t="shared" si="6"/>
        <v>21</v>
      </c>
      <c r="B36" s="431">
        <f t="shared" si="7"/>
        <v>0.14285714285714285</v>
      </c>
      <c r="C36" s="431">
        <f>B36+C34</f>
        <v>0.18571428571428572</v>
      </c>
      <c r="D36" s="433"/>
      <c r="E36" s="46" t="str">
        <f t="array" ref="E36">IF( ISERROR(INDEX(Häufigkeiten!F:F,SMALL(IF(Häufigkeiten!F$7:F$51&lt;&gt;0,ROW($7:$51)),ROW(F30)))),"",INDEX(Häufigkeiten!E:E,SMALL(IF(Häufigkeiten!F$7:F$51&lt;&gt;0,ROW($7:$51)),ROW(F30))))</f>
        <v/>
      </c>
      <c r="F36" s="46" t="str">
        <f t="array" ref="F36">IF( ISERROR(INDEX(Häufigkeiten!F:F,SMALL(IF(Häufigkeiten!F$7:F$51&lt;&gt;0,ROW($7:$51)),ROW(F30)))),"",INDEX(Häufigkeiten!F:F,SMALL(IF(Häufigkeiten!F$7:F$51&lt;&gt;0,ROW($7:$51)),ROW(F30))))</f>
        <v/>
      </c>
      <c r="G36" s="431" t="str">
        <f t="shared" si="8"/>
        <v/>
      </c>
      <c r="H36" s="90"/>
      <c r="Q36" s="46">
        <f t="shared" si="9"/>
        <v>21</v>
      </c>
      <c r="R36" s="431">
        <f t="shared" si="10"/>
        <v>0.14634146341463414</v>
      </c>
      <c r="S36" s="431">
        <f t="shared" ref="S36" si="13">R36+S34</f>
        <v>0.1951219512195122</v>
      </c>
      <c r="T36" s="433"/>
      <c r="U36" s="46" t="str">
        <f t="array" ref="U36">IF( ISERROR(INDEX(Häufigkeiten!V:V,SMALL(IF(Häufigkeiten!V$7:V$51&lt;&gt;0,ROW($7:$51)),ROW(V30)))),"",INDEX(Häufigkeiten!U:U,SMALL(IF(Häufigkeiten!V$7:V$51&lt;&gt;0,ROW($7:$51)),ROW(V30))))</f>
        <v/>
      </c>
      <c r="V36" s="46" t="str">
        <f t="array" ref="V36">IF( ISERROR(INDEX(Häufigkeiten!V:V,SMALL(IF(Häufigkeiten!V$7:V$51&lt;&gt;0,ROW($7:$51)),ROW(V30)))),"",INDEX(Häufigkeiten!V:V,SMALL(IF(Häufigkeiten!V$7:V$51&lt;&gt;0,ROW($7:$51)),ROW(V30))))</f>
        <v/>
      </c>
      <c r="W36" s="431" t="str">
        <f t="shared" si="3"/>
        <v/>
      </c>
      <c r="X36" s="90"/>
      <c r="AG36" s="46">
        <f t="shared" si="11"/>
        <v>21</v>
      </c>
      <c r="AH36" s="431">
        <f t="shared" si="12"/>
        <v>0.13793103448275862</v>
      </c>
      <c r="AI36" s="431">
        <f t="shared" ref="AI36" si="14">AH36+AI34</f>
        <v>0.17241379310344829</v>
      </c>
      <c r="AJ36" s="433"/>
      <c r="AK36" s="46" t="str">
        <f t="array" ref="AK36">IF( ISERROR(INDEX(Häufigkeiten!AL:AL,SMALL(IF(Häufigkeiten!AL$7:AL$51&lt;&gt;0,ROW($7:$51)),ROW(AL30)))),"",INDEX(Häufigkeiten!AK:AK,SMALL(IF(Häufigkeiten!AL$7:AL$51&lt;&gt;0,ROW($7:$51)),ROW(AL30))))</f>
        <v/>
      </c>
      <c r="AL36" s="46" t="str">
        <f t="array" ref="AL36">IF( ISERROR(INDEX(Häufigkeiten!AL:AL,SMALL(IF(Häufigkeiten!AL$7:AL$51&lt;&gt;0,ROW($7:$51)),ROW(AL30)))),"",INDEX(Häufigkeiten!AL:AL,SMALL(IF(Häufigkeiten!AL$7:AL$51&lt;&gt;0,ROW($7:$51)),ROW(AL30))))</f>
        <v/>
      </c>
      <c r="AM36" s="431" t="str">
        <f t="shared" si="5"/>
        <v/>
      </c>
      <c r="AN36" s="90"/>
    </row>
    <row r="37" spans="1:40" s="46" customFormat="1" x14ac:dyDescent="0.25">
      <c r="A37" s="46">
        <f t="shared" si="6"/>
        <v>21</v>
      </c>
      <c r="B37" s="431">
        <f t="shared" si="7"/>
        <v>0.15714285714285714</v>
      </c>
      <c r="C37" s="431">
        <f t="shared" ref="C37" si="15">B37+C36</f>
        <v>0.34285714285714286</v>
      </c>
      <c r="D37" s="433"/>
      <c r="E37" s="46" t="str">
        <f t="array" ref="E37">IF( ISERROR(INDEX(Häufigkeiten!F:F,SMALL(IF(Häufigkeiten!F$7:F$51&lt;&gt;0,ROW($7:$51)),ROW(F31)))),"",INDEX(Häufigkeiten!E:E,SMALL(IF(Häufigkeiten!F$7:F$51&lt;&gt;0,ROW($7:$51)),ROW(F31))))</f>
        <v/>
      </c>
      <c r="F37" s="46" t="str">
        <f t="array" ref="F37">IF( ISERROR(INDEX(Häufigkeiten!F:F,SMALL(IF(Häufigkeiten!F$7:F$51&lt;&gt;0,ROW($7:$51)),ROW(F31)))),"",INDEX(Häufigkeiten!F:F,SMALL(IF(Häufigkeiten!F$7:F$51&lt;&gt;0,ROW($7:$51)),ROW(F31))))</f>
        <v/>
      </c>
      <c r="G37" s="431" t="str">
        <f t="shared" si="8"/>
        <v/>
      </c>
      <c r="H37" s="90"/>
      <c r="Q37" s="46">
        <f t="shared" si="9"/>
        <v>21</v>
      </c>
      <c r="R37" s="431">
        <f t="shared" si="10"/>
        <v>0.21951219512195122</v>
      </c>
      <c r="S37" s="431">
        <f t="shared" ref="S37" si="16">R37+S36</f>
        <v>0.41463414634146345</v>
      </c>
      <c r="T37" s="433"/>
      <c r="U37" s="46" t="str">
        <f t="array" ref="U37">IF( ISERROR(INDEX(Häufigkeiten!V:V,SMALL(IF(Häufigkeiten!V$7:V$51&lt;&gt;0,ROW($7:$51)),ROW(V31)))),"",INDEX(Häufigkeiten!U:U,SMALL(IF(Häufigkeiten!V$7:V$51&lt;&gt;0,ROW($7:$51)),ROW(V31))))</f>
        <v/>
      </c>
      <c r="V37" s="46" t="str">
        <f t="array" ref="V37">IF( ISERROR(INDEX(Häufigkeiten!V:V,SMALL(IF(Häufigkeiten!V$7:V$51&lt;&gt;0,ROW($7:$51)),ROW(V31)))),"",INDEX(Häufigkeiten!V:V,SMALL(IF(Häufigkeiten!V$7:V$51&lt;&gt;0,ROW($7:$51)),ROW(V31))))</f>
        <v/>
      </c>
      <c r="W37" s="431" t="str">
        <f t="shared" si="3"/>
        <v/>
      </c>
      <c r="X37" s="90"/>
      <c r="AG37" s="46">
        <f t="shared" si="11"/>
        <v>21</v>
      </c>
      <c r="AH37" s="431">
        <f t="shared" si="12"/>
        <v>6.8965517241379309E-2</v>
      </c>
      <c r="AI37" s="431">
        <f t="shared" ref="AI37" si="17">AH37+AI36</f>
        <v>0.2413793103448276</v>
      </c>
      <c r="AJ37" s="433"/>
      <c r="AK37" s="46" t="str">
        <f t="array" ref="AK37">IF( ISERROR(INDEX(Häufigkeiten!AL:AL,SMALL(IF(Häufigkeiten!AL$7:AL$51&lt;&gt;0,ROW($7:$51)),ROW(AL31)))),"",INDEX(Häufigkeiten!AK:AK,SMALL(IF(Häufigkeiten!AL$7:AL$51&lt;&gt;0,ROW($7:$51)),ROW(AL31))))</f>
        <v/>
      </c>
      <c r="AL37" s="46" t="str">
        <f t="array" ref="AL37">IF( ISERROR(INDEX(Häufigkeiten!AL:AL,SMALL(IF(Häufigkeiten!AL$7:AL$51&lt;&gt;0,ROW($7:$51)),ROW(AL31)))),"",INDEX(Häufigkeiten!AL:AL,SMALL(IF(Häufigkeiten!AL$7:AL$51&lt;&gt;0,ROW($7:$51)),ROW(AL31))))</f>
        <v/>
      </c>
      <c r="AM37" s="431" t="str">
        <f t="shared" si="5"/>
        <v/>
      </c>
      <c r="AN37" s="90"/>
    </row>
    <row r="38" spans="1:40" s="46" customFormat="1" x14ac:dyDescent="0.25">
      <c r="A38" s="46">
        <f t="shared" si="6"/>
        <v>22</v>
      </c>
      <c r="B38" s="431">
        <f t="shared" si="7"/>
        <v>0.15714285714285714</v>
      </c>
      <c r="C38" s="431">
        <f t="shared" ref="C38" si="18">B38+C36</f>
        <v>0.34285714285714286</v>
      </c>
      <c r="D38" s="433"/>
      <c r="E38" s="46" t="str">
        <f t="array" ref="E38">IF( ISERROR(INDEX(Häufigkeiten!F:F,SMALL(IF(Häufigkeiten!F$7:F$51&lt;&gt;0,ROW($7:$51)),ROW(F32)))),"",INDEX(Häufigkeiten!E:E,SMALL(IF(Häufigkeiten!F$7:F$51&lt;&gt;0,ROW($7:$51)),ROW(F32))))</f>
        <v/>
      </c>
      <c r="F38" s="46" t="str">
        <f t="array" ref="F38">IF( ISERROR(INDEX(Häufigkeiten!F:F,SMALL(IF(Häufigkeiten!F$7:F$51&lt;&gt;0,ROW($7:$51)),ROW(F32)))),"",INDEX(Häufigkeiten!F:F,SMALL(IF(Häufigkeiten!F$7:F$51&lt;&gt;0,ROW($7:$51)),ROW(F32))))</f>
        <v/>
      </c>
      <c r="G38" s="431" t="str">
        <f>IF(ISERROR(F38/B$4),"",F38/B$4)</f>
        <v/>
      </c>
      <c r="H38" s="90"/>
      <c r="Q38" s="46">
        <f t="shared" si="9"/>
        <v>22</v>
      </c>
      <c r="R38" s="431">
        <f t="shared" si="10"/>
        <v>0.21951219512195122</v>
      </c>
      <c r="S38" s="431">
        <f t="shared" ref="S38" si="19">R38+S36</f>
        <v>0.41463414634146345</v>
      </c>
      <c r="T38" s="433"/>
      <c r="U38" s="46" t="str">
        <f t="array" ref="U38">IF( ISERROR(INDEX(Häufigkeiten!V:V,SMALL(IF(Häufigkeiten!V$7:V$51&lt;&gt;0,ROW($7:$51)),ROW(V32)))),"",INDEX(Häufigkeiten!U:U,SMALL(IF(Häufigkeiten!V$7:V$51&lt;&gt;0,ROW($7:$51)),ROW(V32))))</f>
        <v/>
      </c>
      <c r="V38" s="46" t="str">
        <f t="array" ref="V38">IF( ISERROR(INDEX(Häufigkeiten!V:V,SMALL(IF(Häufigkeiten!V$7:V$51&lt;&gt;0,ROW($7:$51)),ROW(V32)))),"",INDEX(Häufigkeiten!V:V,SMALL(IF(Häufigkeiten!V$7:V$51&lt;&gt;0,ROW($7:$51)),ROW(V32))))</f>
        <v/>
      </c>
      <c r="W38" s="431" t="str">
        <f t="shared" si="3"/>
        <v/>
      </c>
      <c r="X38" s="90"/>
      <c r="AG38" s="46">
        <f t="shared" si="11"/>
        <v>22</v>
      </c>
      <c r="AH38" s="431">
        <f t="shared" si="12"/>
        <v>6.8965517241379309E-2</v>
      </c>
      <c r="AI38" s="431">
        <f t="shared" ref="AI38" si="20">AH38+AI36</f>
        <v>0.2413793103448276</v>
      </c>
      <c r="AJ38" s="433"/>
      <c r="AK38" s="46" t="str">
        <f t="array" ref="AK38">IF( ISERROR(INDEX(Häufigkeiten!AL:AL,SMALL(IF(Häufigkeiten!AL$7:AL$51&lt;&gt;0,ROW($7:$51)),ROW(AL32)))),"",INDEX(Häufigkeiten!AK:AK,SMALL(IF(Häufigkeiten!AL$7:AL$51&lt;&gt;0,ROW($7:$51)),ROW(AL32))))</f>
        <v/>
      </c>
      <c r="AL38" s="46" t="str">
        <f t="array" ref="AL38">IF( ISERROR(INDEX(Häufigkeiten!AL:AL,SMALL(IF(Häufigkeiten!AL$7:AL$51&lt;&gt;0,ROW($7:$51)),ROW(AL32)))),"",INDEX(Häufigkeiten!AL:AL,SMALL(IF(Häufigkeiten!AL$7:AL$51&lt;&gt;0,ROW($7:$51)),ROW(AL32))))</f>
        <v/>
      </c>
      <c r="AM38" s="431" t="str">
        <f t="shared" si="5"/>
        <v/>
      </c>
      <c r="AN38" s="90"/>
    </row>
    <row r="39" spans="1:40" s="46" customFormat="1" x14ac:dyDescent="0.25">
      <c r="A39" s="46">
        <f t="shared" si="6"/>
        <v>22</v>
      </c>
      <c r="B39" s="431">
        <f t="shared" si="7"/>
        <v>0.2</v>
      </c>
      <c r="C39" s="431">
        <f t="shared" ref="C39" si="21">B39+C38</f>
        <v>0.54285714285714293</v>
      </c>
      <c r="D39" s="433"/>
      <c r="E39" s="46" t="str">
        <f t="array" ref="E39">IF( ISERROR(INDEX(Häufigkeiten!F:F,SMALL(IF(Häufigkeiten!F$7:F$51&lt;&gt;0,ROW($7:$51)),ROW(F33)))),"",INDEX(Häufigkeiten!E:E,SMALL(IF(Häufigkeiten!F$7:F$51&lt;&gt;0,ROW($7:$51)),ROW(F33))))</f>
        <v/>
      </c>
      <c r="F39" s="46" t="str">
        <f t="array" ref="F39">IF( ISERROR(INDEX(Häufigkeiten!F:F,SMALL(IF(Häufigkeiten!F$7:F$51&lt;&gt;0,ROW($7:$51)),ROW(F33)))),"",INDEX(Häufigkeiten!F:F,SMALL(IF(Häufigkeiten!F$7:F$51&lt;&gt;0,ROW($7:$51)),ROW(F33))))</f>
        <v/>
      </c>
      <c r="G39" s="431" t="str">
        <f t="shared" ref="G39:G51" si="22">IF(ISERROR(F39/B$4),"",F39/B$4)</f>
        <v/>
      </c>
      <c r="H39" s="90"/>
      <c r="Q39" s="46">
        <f t="shared" si="9"/>
        <v>22</v>
      </c>
      <c r="R39" s="431">
        <f t="shared" si="10"/>
        <v>0.1951219512195122</v>
      </c>
      <c r="S39" s="431">
        <f t="shared" ref="S39" si="23">R39+S38</f>
        <v>0.60975609756097571</v>
      </c>
      <c r="T39" s="433"/>
      <c r="U39" s="46" t="str">
        <f t="array" ref="U39">IF( ISERROR(INDEX(Häufigkeiten!V:V,SMALL(IF(Häufigkeiten!V$7:V$51&lt;&gt;0,ROW($7:$51)),ROW(V33)))),"",INDEX(Häufigkeiten!U:U,SMALL(IF(Häufigkeiten!V$7:V$51&lt;&gt;0,ROW($7:$51)),ROW(V33))))</f>
        <v/>
      </c>
      <c r="V39" s="46" t="str">
        <f t="array" ref="V39">IF( ISERROR(INDEX(Häufigkeiten!V:V,SMALL(IF(Häufigkeiten!V$7:V$51&lt;&gt;0,ROW($7:$51)),ROW(V33)))),"",INDEX(Häufigkeiten!V:V,SMALL(IF(Häufigkeiten!V$7:V$51&lt;&gt;0,ROW($7:$51)),ROW(V33))))</f>
        <v/>
      </c>
      <c r="W39" s="431" t="str">
        <f t="shared" si="3"/>
        <v/>
      </c>
      <c r="X39" s="90"/>
      <c r="AG39" s="46">
        <f t="shared" si="11"/>
        <v>22</v>
      </c>
      <c r="AH39" s="431">
        <f t="shared" si="12"/>
        <v>0.20689655172413793</v>
      </c>
      <c r="AI39" s="431">
        <f t="shared" ref="AI39" si="24">AH39+AI38</f>
        <v>0.44827586206896552</v>
      </c>
      <c r="AJ39" s="433"/>
      <c r="AK39" s="46" t="str">
        <f t="array" ref="AK39">IF( ISERROR(INDEX(Häufigkeiten!AL:AL,SMALL(IF(Häufigkeiten!AL$7:AL$51&lt;&gt;0,ROW($7:$51)),ROW(AL33)))),"",INDEX(Häufigkeiten!AK:AK,SMALL(IF(Häufigkeiten!AL$7:AL$51&lt;&gt;0,ROW($7:$51)),ROW(AL33))))</f>
        <v/>
      </c>
      <c r="AL39" s="46" t="str">
        <f t="array" ref="AL39">IF( ISERROR(INDEX(Häufigkeiten!AL:AL,SMALL(IF(Häufigkeiten!AL$7:AL$51&lt;&gt;0,ROW($7:$51)),ROW(AL33)))),"",INDEX(Häufigkeiten!AL:AL,SMALL(IF(Häufigkeiten!AL$7:AL$51&lt;&gt;0,ROW($7:$51)),ROW(AL33))))</f>
        <v/>
      </c>
      <c r="AM39" s="431" t="str">
        <f t="shared" si="5"/>
        <v/>
      </c>
      <c r="AN39" s="90"/>
    </row>
    <row r="40" spans="1:40" s="46" customFormat="1" x14ac:dyDescent="0.25">
      <c r="A40" s="46">
        <f t="shared" si="6"/>
        <v>23</v>
      </c>
      <c r="B40" s="431">
        <f t="shared" si="7"/>
        <v>0.2</v>
      </c>
      <c r="C40" s="431">
        <f t="shared" ref="C40" si="25">B40+C38</f>
        <v>0.54285714285714293</v>
      </c>
      <c r="D40" s="433"/>
      <c r="E40" s="46" t="str">
        <f t="array" ref="E40">IF( ISERROR(INDEX(Häufigkeiten!F:F,SMALL(IF(Häufigkeiten!F$7:F$51&lt;&gt;0,ROW($7:$51)),ROW(F34)))),"",INDEX(Häufigkeiten!E:E,SMALL(IF(Häufigkeiten!F$7:F$51&lt;&gt;0,ROW($7:$51)),ROW(F34))))</f>
        <v/>
      </c>
      <c r="F40" s="46" t="str">
        <f t="array" ref="F40">IF( ISERROR(INDEX(Häufigkeiten!F:F,SMALL(IF(Häufigkeiten!F$7:F$51&lt;&gt;0,ROW($7:$51)),ROW(F34)))),"",INDEX(Häufigkeiten!F:F,SMALL(IF(Häufigkeiten!F$7:F$51&lt;&gt;0,ROW($7:$51)),ROW(F34))))</f>
        <v/>
      </c>
      <c r="G40" s="431" t="str">
        <f t="shared" si="22"/>
        <v/>
      </c>
      <c r="H40" s="90"/>
      <c r="Q40" s="46">
        <f t="shared" si="9"/>
        <v>23</v>
      </c>
      <c r="R40" s="431">
        <f t="shared" si="10"/>
        <v>0.1951219512195122</v>
      </c>
      <c r="S40" s="431">
        <f t="shared" ref="S40" si="26">R40+S38</f>
        <v>0.60975609756097571</v>
      </c>
      <c r="T40" s="433"/>
      <c r="U40" s="46" t="str">
        <f t="array" ref="U40">IF( ISERROR(INDEX(Häufigkeiten!V:V,SMALL(IF(Häufigkeiten!V$7:V$51&lt;&gt;0,ROW($7:$51)),ROW(V34)))),"",INDEX(Häufigkeiten!U:U,SMALL(IF(Häufigkeiten!V$7:V$51&lt;&gt;0,ROW($7:$51)),ROW(V34))))</f>
        <v/>
      </c>
      <c r="V40" s="46" t="str">
        <f t="array" ref="V40">IF( ISERROR(INDEX(Häufigkeiten!V:V,SMALL(IF(Häufigkeiten!V$7:V$51&lt;&gt;0,ROW($7:$51)),ROW(V34)))),"",INDEX(Häufigkeiten!V:V,SMALL(IF(Häufigkeiten!V$7:V$51&lt;&gt;0,ROW($7:$51)),ROW(V34))))</f>
        <v/>
      </c>
      <c r="W40" s="431" t="str">
        <f t="shared" si="3"/>
        <v/>
      </c>
      <c r="X40" s="90"/>
      <c r="AG40" s="46">
        <f t="shared" si="11"/>
        <v>23</v>
      </c>
      <c r="AH40" s="431">
        <f t="shared" si="12"/>
        <v>0.20689655172413793</v>
      </c>
      <c r="AI40" s="431">
        <f t="shared" ref="AI40" si="27">AH40+AI38</f>
        <v>0.44827586206896552</v>
      </c>
      <c r="AJ40" s="433"/>
      <c r="AK40" s="46" t="str">
        <f t="array" ref="AK40">IF( ISERROR(INDEX(Häufigkeiten!AL:AL,SMALL(IF(Häufigkeiten!AL$7:AL$51&lt;&gt;0,ROW($7:$51)),ROW(AL34)))),"",INDEX(Häufigkeiten!AK:AK,SMALL(IF(Häufigkeiten!AL$7:AL$51&lt;&gt;0,ROW($7:$51)),ROW(AL34))))</f>
        <v/>
      </c>
      <c r="AL40" s="46" t="str">
        <f t="array" ref="AL40">IF( ISERROR(INDEX(Häufigkeiten!AL:AL,SMALL(IF(Häufigkeiten!AL$7:AL$51&lt;&gt;0,ROW($7:$51)),ROW(AL34)))),"",INDEX(Häufigkeiten!AL:AL,SMALL(IF(Häufigkeiten!AL$7:AL$51&lt;&gt;0,ROW($7:$51)),ROW(AL34))))</f>
        <v/>
      </c>
      <c r="AM40" s="431" t="str">
        <f t="shared" si="5"/>
        <v/>
      </c>
      <c r="AN40" s="90"/>
    </row>
    <row r="41" spans="1:40" s="46" customFormat="1" x14ac:dyDescent="0.25">
      <c r="A41" s="46">
        <f t="shared" si="6"/>
        <v>23</v>
      </c>
      <c r="B41" s="431">
        <f t="shared" si="7"/>
        <v>0.12857142857142856</v>
      </c>
      <c r="C41" s="431">
        <f t="shared" ref="C41" si="28">B41+C40</f>
        <v>0.67142857142857149</v>
      </c>
      <c r="D41" s="433"/>
      <c r="E41" s="46" t="str">
        <f t="array" ref="E41">IF( ISERROR(INDEX(Häufigkeiten!F:F,SMALL(IF(Häufigkeiten!F$7:F$51&lt;&gt;0,ROW($7:$51)),ROW(F35)))),"",INDEX(Häufigkeiten!E:E,SMALL(IF(Häufigkeiten!F$7:F$51&lt;&gt;0,ROW($7:$51)),ROW(F35))))</f>
        <v/>
      </c>
      <c r="F41" s="46" t="str">
        <f t="array" ref="F41">IF( ISERROR(INDEX(Häufigkeiten!F:F,SMALL(IF(Häufigkeiten!F$7:F$51&lt;&gt;0,ROW($7:$51)),ROW(F35)))),"",INDEX(Häufigkeiten!F:F,SMALL(IF(Häufigkeiten!F$7:F$51&lt;&gt;0,ROW($7:$51)),ROW(F35))))</f>
        <v/>
      </c>
      <c r="G41" s="431" t="str">
        <f t="shared" si="22"/>
        <v/>
      </c>
      <c r="H41" s="90"/>
      <c r="Q41" s="46">
        <f t="shared" si="9"/>
        <v>23</v>
      </c>
      <c r="R41" s="431">
        <f t="shared" si="10"/>
        <v>7.3170731707317069E-2</v>
      </c>
      <c r="S41" s="431">
        <f t="shared" ref="S41" si="29">R41+S40</f>
        <v>0.68292682926829273</v>
      </c>
      <c r="T41" s="433"/>
      <c r="U41" s="46" t="str">
        <f t="array" ref="U41">IF( ISERROR(INDEX(Häufigkeiten!V:V,SMALL(IF(Häufigkeiten!V$7:V$51&lt;&gt;0,ROW($7:$51)),ROW(V35)))),"",INDEX(Häufigkeiten!U:U,SMALL(IF(Häufigkeiten!V$7:V$51&lt;&gt;0,ROW($7:$51)),ROW(V35))))</f>
        <v/>
      </c>
      <c r="V41" s="46" t="str">
        <f t="array" ref="V41">IF( ISERROR(INDEX(Häufigkeiten!V:V,SMALL(IF(Häufigkeiten!V$7:V$51&lt;&gt;0,ROW($7:$51)),ROW(V35)))),"",INDEX(Häufigkeiten!V:V,SMALL(IF(Häufigkeiten!V$7:V$51&lt;&gt;0,ROW($7:$51)),ROW(V35))))</f>
        <v/>
      </c>
      <c r="W41" s="431" t="str">
        <f t="shared" si="3"/>
        <v/>
      </c>
      <c r="X41" s="90"/>
      <c r="AG41" s="46">
        <f t="shared" si="11"/>
        <v>23</v>
      </c>
      <c r="AH41" s="431">
        <f t="shared" si="12"/>
        <v>0.20689655172413793</v>
      </c>
      <c r="AI41" s="431">
        <f t="shared" ref="AI41" si="30">AH41+AI40</f>
        <v>0.65517241379310343</v>
      </c>
      <c r="AJ41" s="433"/>
      <c r="AK41" s="46" t="str">
        <f t="array" ref="AK41">IF( ISERROR(INDEX(Häufigkeiten!AL:AL,SMALL(IF(Häufigkeiten!AL$7:AL$51&lt;&gt;0,ROW($7:$51)),ROW(AL35)))),"",INDEX(Häufigkeiten!AK:AK,SMALL(IF(Häufigkeiten!AL$7:AL$51&lt;&gt;0,ROW($7:$51)),ROW(AL35))))</f>
        <v/>
      </c>
      <c r="AL41" s="46" t="str">
        <f t="array" ref="AL41">IF( ISERROR(INDEX(Häufigkeiten!AL:AL,SMALL(IF(Häufigkeiten!AL$7:AL$51&lt;&gt;0,ROW($7:$51)),ROW(AL35)))),"",INDEX(Häufigkeiten!AL:AL,SMALL(IF(Häufigkeiten!AL$7:AL$51&lt;&gt;0,ROW($7:$51)),ROW(AL35))))</f>
        <v/>
      </c>
      <c r="AM41" s="431" t="str">
        <f t="shared" si="5"/>
        <v/>
      </c>
      <c r="AN41" s="90"/>
    </row>
    <row r="42" spans="1:40" s="46" customFormat="1" x14ac:dyDescent="0.25">
      <c r="A42" s="46">
        <f t="shared" si="6"/>
        <v>24</v>
      </c>
      <c r="B42" s="431">
        <f t="shared" si="7"/>
        <v>0.12857142857142856</v>
      </c>
      <c r="C42" s="431">
        <f t="shared" ref="C42" si="31">B42+C40</f>
        <v>0.67142857142857149</v>
      </c>
      <c r="D42" s="433"/>
      <c r="E42" s="46" t="str">
        <f t="array" ref="E42">IF( ISERROR(INDEX(Häufigkeiten!F:F,SMALL(IF(Häufigkeiten!F$7:F$51&lt;&gt;0,ROW($7:$51)),ROW(F36)))),"",INDEX(Häufigkeiten!E:E,SMALL(IF(Häufigkeiten!F$7:F$51&lt;&gt;0,ROW($7:$51)),ROW(F36))))</f>
        <v/>
      </c>
      <c r="F42" s="46" t="str">
        <f t="array" ref="F42">IF( ISERROR(INDEX(Häufigkeiten!F:F,SMALL(IF(Häufigkeiten!F$7:F$51&lt;&gt;0,ROW($7:$51)),ROW(F36)))),"",INDEX(Häufigkeiten!F:F,SMALL(IF(Häufigkeiten!F$7:F$51&lt;&gt;0,ROW($7:$51)),ROW(F36))))</f>
        <v/>
      </c>
      <c r="G42" s="431" t="str">
        <f t="shared" si="22"/>
        <v/>
      </c>
      <c r="H42" s="90"/>
      <c r="I42" s="46" t="s">
        <v>177</v>
      </c>
      <c r="J42" s="46" t="s">
        <v>177</v>
      </c>
      <c r="K42" s="46" t="s">
        <v>177</v>
      </c>
      <c r="Q42" s="46">
        <f t="shared" si="9"/>
        <v>24</v>
      </c>
      <c r="R42" s="431">
        <f t="shared" si="10"/>
        <v>7.3170731707317069E-2</v>
      </c>
      <c r="S42" s="431">
        <f t="shared" ref="S42" si="32">R42+S40</f>
        <v>0.68292682926829273</v>
      </c>
      <c r="T42" s="433"/>
      <c r="U42" s="46" t="str">
        <f t="array" ref="U42">IF( ISERROR(INDEX(Häufigkeiten!V:V,SMALL(IF(Häufigkeiten!V$7:V$51&lt;&gt;0,ROW($7:$51)),ROW(V36)))),"",INDEX(Häufigkeiten!U:U,SMALL(IF(Häufigkeiten!V$7:V$51&lt;&gt;0,ROW($7:$51)),ROW(V36))))</f>
        <v/>
      </c>
      <c r="V42" s="46" t="str">
        <f t="array" ref="V42">IF( ISERROR(INDEX(Häufigkeiten!V:V,SMALL(IF(Häufigkeiten!V$7:V$51&lt;&gt;0,ROW($7:$51)),ROW(V36)))),"",INDEX(Häufigkeiten!V:V,SMALL(IF(Häufigkeiten!V$7:V$51&lt;&gt;0,ROW($7:$51)),ROW(V36))))</f>
        <v/>
      </c>
      <c r="W42" s="431" t="str">
        <f t="shared" si="3"/>
        <v/>
      </c>
      <c r="X42" s="90"/>
      <c r="AG42" s="46">
        <f t="shared" si="11"/>
        <v>24</v>
      </c>
      <c r="AH42" s="431">
        <f t="shared" si="12"/>
        <v>0.20689655172413793</v>
      </c>
      <c r="AI42" s="431">
        <f t="shared" ref="AI42" si="33">AH42+AI40</f>
        <v>0.65517241379310343</v>
      </c>
      <c r="AJ42" s="433"/>
      <c r="AK42" s="46" t="str">
        <f t="array" ref="AK42">IF( ISERROR(INDEX(Häufigkeiten!AL:AL,SMALL(IF(Häufigkeiten!AL$7:AL$51&lt;&gt;0,ROW($7:$51)),ROW(AL36)))),"",INDEX(Häufigkeiten!AK:AK,SMALL(IF(Häufigkeiten!AL$7:AL$51&lt;&gt;0,ROW($7:$51)),ROW(AL36))))</f>
        <v/>
      </c>
      <c r="AL42" s="46" t="str">
        <f t="array" ref="AL42">IF( ISERROR(INDEX(Häufigkeiten!AL:AL,SMALL(IF(Häufigkeiten!AL$7:AL$51&lt;&gt;0,ROW($7:$51)),ROW(AL36)))),"",INDEX(Häufigkeiten!AL:AL,SMALL(IF(Häufigkeiten!AL$7:AL$51&lt;&gt;0,ROW($7:$51)),ROW(AL36))))</f>
        <v/>
      </c>
      <c r="AM42" s="431" t="str">
        <f t="shared" si="5"/>
        <v/>
      </c>
      <c r="AN42" s="90"/>
    </row>
    <row r="43" spans="1:40" s="46" customFormat="1" x14ac:dyDescent="0.25">
      <c r="A43" s="46">
        <f t="shared" si="6"/>
        <v>24</v>
      </c>
      <c r="B43" s="431">
        <f t="shared" si="7"/>
        <v>8.5714285714285715E-2</v>
      </c>
      <c r="C43" s="431">
        <f t="shared" ref="C43" si="34">B43+C42</f>
        <v>0.75714285714285723</v>
      </c>
      <c r="D43" s="433"/>
      <c r="E43" s="46" t="str">
        <f t="array" ref="E43">IF( ISERROR(INDEX(Häufigkeiten!F:F,SMALL(IF(Häufigkeiten!F$7:F$51&lt;&gt;0,ROW($7:$51)),ROW(F37)))),"",INDEX(Häufigkeiten!E:E,SMALL(IF(Häufigkeiten!F$7:F$51&lt;&gt;0,ROW($7:$51)),ROW(F37))))</f>
        <v/>
      </c>
      <c r="F43" s="46" t="str">
        <f t="array" ref="F43">IF( ISERROR(INDEX(Häufigkeiten!F:F,SMALL(IF(Häufigkeiten!F$7:F$51&lt;&gt;0,ROW($7:$51)),ROW(F37)))),"",INDEX(Häufigkeiten!F:F,SMALL(IF(Häufigkeiten!F$7:F$51&lt;&gt;0,ROW($7:$51)),ROW(F37))))</f>
        <v/>
      </c>
      <c r="G43" s="431" t="str">
        <f t="shared" si="22"/>
        <v/>
      </c>
      <c r="H43" s="90"/>
      <c r="I43" s="46" t="s">
        <v>177</v>
      </c>
      <c r="J43" s="46" t="s">
        <v>177</v>
      </c>
      <c r="K43" s="46" t="s">
        <v>177</v>
      </c>
      <c r="Q43" s="46">
        <f t="shared" si="9"/>
        <v>24</v>
      </c>
      <c r="R43" s="431">
        <f t="shared" si="10"/>
        <v>0.12195121951219512</v>
      </c>
      <c r="S43" s="431">
        <f t="shared" ref="S43" si="35">R43+S42</f>
        <v>0.80487804878048785</v>
      </c>
      <c r="T43" s="433"/>
      <c r="U43" s="46" t="str">
        <f t="array" ref="U43">IF( ISERROR(INDEX(Häufigkeiten!V:V,SMALL(IF(Häufigkeiten!V$7:V$51&lt;&gt;0,ROW($7:$51)),ROW(V37)))),"",INDEX(Häufigkeiten!U:U,SMALL(IF(Häufigkeiten!V$7:V$51&lt;&gt;0,ROW($7:$51)),ROW(V37))))</f>
        <v/>
      </c>
      <c r="V43" s="46" t="str">
        <f t="array" ref="V43">IF( ISERROR(INDEX(Häufigkeiten!V:V,SMALL(IF(Häufigkeiten!V$7:V$51&lt;&gt;0,ROW($7:$51)),ROW(V37)))),"",INDEX(Häufigkeiten!V:V,SMALL(IF(Häufigkeiten!V$7:V$51&lt;&gt;0,ROW($7:$51)),ROW(V37))))</f>
        <v/>
      </c>
      <c r="W43" s="431" t="str">
        <f t="shared" si="3"/>
        <v/>
      </c>
      <c r="X43" s="90"/>
      <c r="AG43" s="46">
        <f t="shared" si="11"/>
        <v>24</v>
      </c>
      <c r="AH43" s="431">
        <f t="shared" si="12"/>
        <v>3.4482758620689655E-2</v>
      </c>
      <c r="AI43" s="431">
        <f t="shared" ref="AI43" si="36">AH43+AI42</f>
        <v>0.68965517241379304</v>
      </c>
      <c r="AJ43" s="433"/>
      <c r="AK43" s="46" t="str">
        <f t="array" ref="AK43">IF( ISERROR(INDEX(Häufigkeiten!AL:AL,SMALL(IF(Häufigkeiten!AL$7:AL$51&lt;&gt;0,ROW($7:$51)),ROW(AL37)))),"",INDEX(Häufigkeiten!AK:AK,SMALL(IF(Häufigkeiten!AL$7:AL$51&lt;&gt;0,ROW($7:$51)),ROW(AL37))))</f>
        <v/>
      </c>
      <c r="AL43" s="46" t="str">
        <f t="array" ref="AL43">IF( ISERROR(INDEX(Häufigkeiten!AL:AL,SMALL(IF(Häufigkeiten!AL$7:AL$51&lt;&gt;0,ROW($7:$51)),ROW(AL37)))),"",INDEX(Häufigkeiten!AL:AL,SMALL(IF(Häufigkeiten!AL$7:AL$51&lt;&gt;0,ROW($7:$51)),ROW(AL37))))</f>
        <v/>
      </c>
      <c r="AM43" s="431" t="str">
        <f t="shared" si="5"/>
        <v/>
      </c>
      <c r="AN43" s="90"/>
    </row>
    <row r="44" spans="1:40" s="46" customFormat="1" x14ac:dyDescent="0.25">
      <c r="A44" s="46">
        <f t="shared" si="6"/>
        <v>25</v>
      </c>
      <c r="B44" s="431">
        <f t="shared" si="7"/>
        <v>8.5714285714285715E-2</v>
      </c>
      <c r="C44" s="431">
        <f t="shared" ref="C44" si="37">B44+C42</f>
        <v>0.75714285714285723</v>
      </c>
      <c r="D44" s="433"/>
      <c r="E44" s="46" t="str">
        <f t="array" ref="E44">IF( ISERROR(INDEX(Häufigkeiten!F:F,SMALL(IF(Häufigkeiten!F$7:F$51&lt;&gt;0,ROW($7:$51)),ROW(F38)))),"",INDEX(Häufigkeiten!E:E,SMALL(IF(Häufigkeiten!F$7:F$51&lt;&gt;0,ROW($7:$51)),ROW(F38))))</f>
        <v/>
      </c>
      <c r="F44" s="46" t="str">
        <f t="array" ref="F44">IF( ISERROR(INDEX(Häufigkeiten!F:F,SMALL(IF(Häufigkeiten!F$7:F$51&lt;&gt;0,ROW($7:$51)),ROW(F38)))),"",INDEX(Häufigkeiten!F:F,SMALL(IF(Häufigkeiten!F$7:F$51&lt;&gt;0,ROW($7:$51)),ROW(F38))))</f>
        <v/>
      </c>
      <c r="G44" s="431" t="str">
        <f t="shared" si="22"/>
        <v/>
      </c>
      <c r="H44" s="90"/>
      <c r="I44" s="46" t="s">
        <v>177</v>
      </c>
      <c r="J44" s="46" t="s">
        <v>177</v>
      </c>
      <c r="K44" s="46" t="s">
        <v>177</v>
      </c>
      <c r="Q44" s="46">
        <f t="shared" si="9"/>
        <v>25</v>
      </c>
      <c r="R44" s="431">
        <f t="shared" si="10"/>
        <v>0.12195121951219512</v>
      </c>
      <c r="S44" s="431">
        <f t="shared" ref="S44" si="38">R44+S42</f>
        <v>0.80487804878048785</v>
      </c>
      <c r="T44" s="433"/>
      <c r="U44" s="46" t="str">
        <f t="array" ref="U44">IF( ISERROR(INDEX(Häufigkeiten!V:V,SMALL(IF(Häufigkeiten!V$7:V$51&lt;&gt;0,ROW($7:$51)),ROW(V38)))),"",INDEX(Häufigkeiten!U:U,SMALL(IF(Häufigkeiten!V$7:V$51&lt;&gt;0,ROW($7:$51)),ROW(V38))))</f>
        <v/>
      </c>
      <c r="V44" s="46" t="str">
        <f t="array" ref="V44">IF( ISERROR(INDEX(Häufigkeiten!V:V,SMALL(IF(Häufigkeiten!V$7:V$51&lt;&gt;0,ROW($7:$51)),ROW(V38)))),"",INDEX(Häufigkeiten!V:V,SMALL(IF(Häufigkeiten!V$7:V$51&lt;&gt;0,ROW($7:$51)),ROW(V38))))</f>
        <v/>
      </c>
      <c r="W44" s="431" t="str">
        <f t="shared" si="3"/>
        <v/>
      </c>
      <c r="X44" s="90"/>
      <c r="AG44" s="46">
        <f t="shared" si="11"/>
        <v>25</v>
      </c>
      <c r="AH44" s="431">
        <f t="shared" si="12"/>
        <v>3.4482758620689655E-2</v>
      </c>
      <c r="AI44" s="431">
        <f t="shared" ref="AI44" si="39">AH44+AI42</f>
        <v>0.68965517241379304</v>
      </c>
      <c r="AJ44" s="433"/>
      <c r="AK44" s="46" t="str">
        <f t="array" ref="AK44">IF( ISERROR(INDEX(Häufigkeiten!AL:AL,SMALL(IF(Häufigkeiten!AL$7:AL$51&lt;&gt;0,ROW($7:$51)),ROW(AL38)))),"",INDEX(Häufigkeiten!AK:AK,SMALL(IF(Häufigkeiten!AL$7:AL$51&lt;&gt;0,ROW($7:$51)),ROW(AL38))))</f>
        <v/>
      </c>
      <c r="AL44" s="46" t="str">
        <f t="array" ref="AL44">IF( ISERROR(INDEX(Häufigkeiten!AL:AL,SMALL(IF(Häufigkeiten!AL$7:AL$51&lt;&gt;0,ROW($7:$51)),ROW(AL38)))),"",INDEX(Häufigkeiten!AL:AL,SMALL(IF(Häufigkeiten!AL$7:AL$51&lt;&gt;0,ROW($7:$51)),ROW(AL38))))</f>
        <v/>
      </c>
      <c r="AM44" s="431" t="str">
        <f t="shared" si="5"/>
        <v/>
      </c>
      <c r="AN44" s="90"/>
    </row>
    <row r="45" spans="1:40" s="46" customFormat="1" x14ac:dyDescent="0.25">
      <c r="A45" s="46">
        <f t="shared" si="6"/>
        <v>25</v>
      </c>
      <c r="B45" s="431">
        <f t="shared" si="7"/>
        <v>0.11428571428571428</v>
      </c>
      <c r="C45" s="431">
        <f t="shared" ref="C45" si="40">B45+C44</f>
        <v>0.87142857142857155</v>
      </c>
      <c r="D45" s="433"/>
      <c r="E45" s="46" t="str">
        <f t="array" ref="E45">IF( ISERROR(INDEX(Häufigkeiten!F:F,SMALL(IF(Häufigkeiten!F$7:F$51&lt;&gt;0,ROW($7:$51)),ROW(F39)))),"",INDEX(Häufigkeiten!E:E,SMALL(IF(Häufigkeiten!F$7:F$51&lt;&gt;0,ROW($7:$51)),ROW(F39))))</f>
        <v/>
      </c>
      <c r="F45" s="46" t="str">
        <f t="array" ref="F45">IF( ISERROR(INDEX(Häufigkeiten!F:F,SMALL(IF(Häufigkeiten!F$7:F$51&lt;&gt;0,ROW($7:$51)),ROW(F39)))),"",INDEX(Häufigkeiten!F:F,SMALL(IF(Häufigkeiten!F$7:F$51&lt;&gt;0,ROW($7:$51)),ROW(F39))))</f>
        <v/>
      </c>
      <c r="G45" s="431" t="str">
        <f t="shared" si="22"/>
        <v/>
      </c>
      <c r="H45" s="90"/>
      <c r="I45" s="46" t="s">
        <v>177</v>
      </c>
      <c r="J45" s="46" t="s">
        <v>177</v>
      </c>
      <c r="K45" s="46" t="s">
        <v>177</v>
      </c>
      <c r="Q45" s="46">
        <f t="shared" si="9"/>
        <v>25</v>
      </c>
      <c r="R45" s="431">
        <f t="shared" si="10"/>
        <v>7.3170731707317069E-2</v>
      </c>
      <c r="S45" s="431">
        <f t="shared" ref="S45" si="41">R45+S44</f>
        <v>0.87804878048780488</v>
      </c>
      <c r="T45" s="433"/>
      <c r="U45" s="46" t="str">
        <f t="array" ref="U45">IF( ISERROR(INDEX(Häufigkeiten!V:V,SMALL(IF(Häufigkeiten!V$7:V$51&lt;&gt;0,ROW($7:$51)),ROW(V39)))),"",INDEX(Häufigkeiten!U:U,SMALL(IF(Häufigkeiten!V$7:V$51&lt;&gt;0,ROW($7:$51)),ROW(V39))))</f>
        <v/>
      </c>
      <c r="V45" s="46" t="str">
        <f t="array" ref="V45">IF( ISERROR(INDEX(Häufigkeiten!V:V,SMALL(IF(Häufigkeiten!V$7:V$51&lt;&gt;0,ROW($7:$51)),ROW(V39)))),"",INDEX(Häufigkeiten!V:V,SMALL(IF(Häufigkeiten!V$7:V$51&lt;&gt;0,ROW($7:$51)),ROW(V39))))</f>
        <v/>
      </c>
      <c r="W45" s="431" t="str">
        <f t="shared" si="3"/>
        <v/>
      </c>
      <c r="X45" s="90"/>
      <c r="AG45" s="46">
        <f t="shared" si="11"/>
        <v>25</v>
      </c>
      <c r="AH45" s="431">
        <f t="shared" si="12"/>
        <v>0.17241379310344829</v>
      </c>
      <c r="AI45" s="431">
        <f t="shared" ref="AI45" si="42">AH45+AI44</f>
        <v>0.86206896551724133</v>
      </c>
      <c r="AJ45" s="433"/>
      <c r="AK45" s="46" t="str">
        <f t="array" ref="AK45">IF( ISERROR(INDEX(Häufigkeiten!AL:AL,SMALL(IF(Häufigkeiten!AL$7:AL$51&lt;&gt;0,ROW($7:$51)),ROW(AL39)))),"",INDEX(Häufigkeiten!AK:AK,SMALL(IF(Häufigkeiten!AL$7:AL$51&lt;&gt;0,ROW($7:$51)),ROW(AL39))))</f>
        <v/>
      </c>
      <c r="AL45" s="46" t="str">
        <f t="array" ref="AL45">IF( ISERROR(INDEX(Häufigkeiten!AL:AL,SMALL(IF(Häufigkeiten!AL$7:AL$51&lt;&gt;0,ROW($7:$51)),ROW(AL39)))),"",INDEX(Häufigkeiten!AL:AL,SMALL(IF(Häufigkeiten!AL$7:AL$51&lt;&gt;0,ROW($7:$51)),ROW(AL39))))</f>
        <v/>
      </c>
      <c r="AM45" s="431" t="str">
        <f t="shared" si="5"/>
        <v/>
      </c>
      <c r="AN45" s="90"/>
    </row>
    <row r="46" spans="1:40" s="46" customFormat="1" x14ac:dyDescent="0.25">
      <c r="A46" s="46">
        <f t="shared" si="6"/>
        <v>26</v>
      </c>
      <c r="B46" s="431">
        <f t="shared" si="7"/>
        <v>0.11428571428571428</v>
      </c>
      <c r="C46" s="431">
        <f t="shared" ref="C46" si="43">B46+C44</f>
        <v>0.87142857142857155</v>
      </c>
      <c r="D46" s="433"/>
      <c r="E46" s="46" t="str">
        <f t="array" ref="E46">IF( ISERROR(INDEX(Häufigkeiten!F:F,SMALL(IF(Häufigkeiten!F$7:F$51&lt;&gt;0,ROW($7:$51)),ROW(F40)))),"",INDEX(Häufigkeiten!E:E,SMALL(IF(Häufigkeiten!F$7:F$51&lt;&gt;0,ROW($7:$51)),ROW(F40))))</f>
        <v/>
      </c>
      <c r="F46" s="46" t="str">
        <f t="array" ref="F46">IF( ISERROR(INDEX(Häufigkeiten!F:F,SMALL(IF(Häufigkeiten!F$7:F$51&lt;&gt;0,ROW($7:$51)),ROW(F40)))),"",INDEX(Häufigkeiten!F:F,SMALL(IF(Häufigkeiten!F$7:F$51&lt;&gt;0,ROW($7:$51)),ROW(F40))))</f>
        <v/>
      </c>
      <c r="G46" s="431" t="str">
        <f t="shared" si="22"/>
        <v/>
      </c>
      <c r="H46" s="90"/>
      <c r="I46" s="46" t="s">
        <v>177</v>
      </c>
      <c r="J46" s="46" t="s">
        <v>177</v>
      </c>
      <c r="K46" s="46" t="s">
        <v>177</v>
      </c>
      <c r="Q46" s="46">
        <f t="shared" si="9"/>
        <v>26</v>
      </c>
      <c r="R46" s="431">
        <f t="shared" si="10"/>
        <v>7.3170731707317069E-2</v>
      </c>
      <c r="S46" s="431">
        <f t="shared" ref="S46" si="44">R46+S44</f>
        <v>0.87804878048780488</v>
      </c>
      <c r="T46" s="433"/>
      <c r="U46" s="46" t="str">
        <f t="array" ref="U46">IF( ISERROR(INDEX(Häufigkeiten!V:V,SMALL(IF(Häufigkeiten!V$7:V$51&lt;&gt;0,ROW($7:$51)),ROW(V40)))),"",INDEX(Häufigkeiten!U:U,SMALL(IF(Häufigkeiten!V$7:V$51&lt;&gt;0,ROW($7:$51)),ROW(V40))))</f>
        <v/>
      </c>
      <c r="V46" s="46" t="str">
        <f t="array" ref="V46">IF( ISERROR(INDEX(Häufigkeiten!V:V,SMALL(IF(Häufigkeiten!V$7:V$51&lt;&gt;0,ROW($7:$51)),ROW(V40)))),"",INDEX(Häufigkeiten!V:V,SMALL(IF(Häufigkeiten!V$7:V$51&lt;&gt;0,ROW($7:$51)),ROW(V40))))</f>
        <v/>
      </c>
      <c r="W46" s="431" t="str">
        <f t="shared" si="3"/>
        <v/>
      </c>
      <c r="X46" s="90"/>
      <c r="AG46" s="46">
        <f t="shared" si="11"/>
        <v>26</v>
      </c>
      <c r="AH46" s="431">
        <f t="shared" si="12"/>
        <v>0.17241379310344829</v>
      </c>
      <c r="AI46" s="431">
        <f t="shared" ref="AI46" si="45">AH46+AI44</f>
        <v>0.86206896551724133</v>
      </c>
      <c r="AJ46" s="433"/>
      <c r="AK46" s="46" t="str">
        <f t="array" ref="AK46">IF( ISERROR(INDEX(Häufigkeiten!AL:AL,SMALL(IF(Häufigkeiten!AL$7:AL$51&lt;&gt;0,ROW($7:$51)),ROW(AL40)))),"",INDEX(Häufigkeiten!AK:AK,SMALL(IF(Häufigkeiten!AL$7:AL$51&lt;&gt;0,ROW($7:$51)),ROW(AL40))))</f>
        <v/>
      </c>
      <c r="AL46" s="46" t="str">
        <f t="array" ref="AL46">IF( ISERROR(INDEX(Häufigkeiten!AL:AL,SMALL(IF(Häufigkeiten!AL$7:AL$51&lt;&gt;0,ROW($7:$51)),ROW(AL40)))),"",INDEX(Häufigkeiten!AL:AL,SMALL(IF(Häufigkeiten!AL$7:AL$51&lt;&gt;0,ROW($7:$51)),ROW(AL40))))</f>
        <v/>
      </c>
      <c r="AM46" s="431" t="str">
        <f t="shared" si="5"/>
        <v/>
      </c>
      <c r="AN46" s="90"/>
    </row>
    <row r="47" spans="1:40" s="46" customFormat="1" x14ac:dyDescent="0.25">
      <c r="A47" s="46">
        <f t="shared" si="6"/>
        <v>26</v>
      </c>
      <c r="B47" s="431">
        <f t="shared" si="7"/>
        <v>8.5714285714285715E-2</v>
      </c>
      <c r="C47" s="431">
        <f t="shared" ref="C47" si="46">B47+C46</f>
        <v>0.9571428571428573</v>
      </c>
      <c r="D47" s="433"/>
      <c r="E47" s="46" t="str">
        <f t="array" ref="E47">IF( ISERROR(INDEX(Häufigkeiten!F:F,SMALL(IF(Häufigkeiten!F$7:F$51&lt;&gt;0,ROW($7:$51)),ROW(F41)))),"",INDEX(Häufigkeiten!E:E,SMALL(IF(Häufigkeiten!F$7:F$51&lt;&gt;0,ROW($7:$51)),ROW(F41))))</f>
        <v/>
      </c>
      <c r="F47" s="46" t="str">
        <f t="array" ref="F47">IF( ISERROR(INDEX(Häufigkeiten!F:F,SMALL(IF(Häufigkeiten!F$7:F$51&lt;&gt;0,ROW($7:$51)),ROW(F41)))),"",INDEX(Häufigkeiten!F:F,SMALL(IF(Häufigkeiten!F$7:F$51&lt;&gt;0,ROW($7:$51)),ROW(F41))))</f>
        <v/>
      </c>
      <c r="G47" s="431" t="str">
        <f t="shared" si="22"/>
        <v/>
      </c>
      <c r="H47" s="90"/>
      <c r="I47" s="46" t="s">
        <v>177</v>
      </c>
      <c r="J47" s="46" t="s">
        <v>177</v>
      </c>
      <c r="K47" s="46" t="s">
        <v>177</v>
      </c>
      <c r="Q47" s="46">
        <f t="shared" si="9"/>
        <v>26</v>
      </c>
      <c r="R47" s="431">
        <f t="shared" si="10"/>
        <v>4.878048780487805E-2</v>
      </c>
      <c r="S47" s="431">
        <f t="shared" ref="S47" si="47">R47+S46</f>
        <v>0.92682926829268297</v>
      </c>
      <c r="T47" s="433"/>
      <c r="U47" s="46" t="str">
        <f t="array" ref="U47">IF( ISERROR(INDEX(Häufigkeiten!V:V,SMALL(IF(Häufigkeiten!V$7:V$51&lt;&gt;0,ROW($7:$51)),ROW(V41)))),"",INDEX(Häufigkeiten!U:U,SMALL(IF(Häufigkeiten!V$7:V$51&lt;&gt;0,ROW($7:$51)),ROW(V41))))</f>
        <v/>
      </c>
      <c r="V47" s="46" t="str">
        <f t="array" ref="V47">IF( ISERROR(INDEX(Häufigkeiten!V:V,SMALL(IF(Häufigkeiten!V$7:V$51&lt;&gt;0,ROW($7:$51)),ROW(V41)))),"",INDEX(Häufigkeiten!V:V,SMALL(IF(Häufigkeiten!V$7:V$51&lt;&gt;0,ROW($7:$51)),ROW(V41))))</f>
        <v/>
      </c>
      <c r="W47" s="431" t="str">
        <f t="shared" si="3"/>
        <v/>
      </c>
      <c r="X47" s="90"/>
      <c r="AG47" s="46">
        <f t="shared" si="11"/>
        <v>26</v>
      </c>
      <c r="AH47" s="431">
        <f t="shared" si="12"/>
        <v>0.13793103448275862</v>
      </c>
      <c r="AI47" s="431">
        <f t="shared" ref="AI47" si="48">AH47+AI46</f>
        <v>1</v>
      </c>
      <c r="AJ47" s="433"/>
      <c r="AK47" s="46" t="str">
        <f t="array" ref="AK47">IF( ISERROR(INDEX(Häufigkeiten!AL:AL,SMALL(IF(Häufigkeiten!AL$7:AL$51&lt;&gt;0,ROW($7:$51)),ROW(AL41)))),"",INDEX(Häufigkeiten!AK:AK,SMALL(IF(Häufigkeiten!AL$7:AL$51&lt;&gt;0,ROW($7:$51)),ROW(AL41))))</f>
        <v/>
      </c>
      <c r="AL47" s="46" t="str">
        <f t="array" ref="AL47">IF( ISERROR(INDEX(Häufigkeiten!AL:AL,SMALL(IF(Häufigkeiten!AL$7:AL$51&lt;&gt;0,ROW($7:$51)),ROW(AL41)))),"",INDEX(Häufigkeiten!AL:AL,SMALL(IF(Häufigkeiten!AL$7:AL$51&lt;&gt;0,ROW($7:$51)),ROW(AL41))))</f>
        <v/>
      </c>
      <c r="AM47" s="431" t="str">
        <f t="shared" si="5"/>
        <v/>
      </c>
      <c r="AN47" s="90"/>
    </row>
    <row r="48" spans="1:40" s="46" customFormat="1" x14ac:dyDescent="0.25">
      <c r="A48" s="46">
        <f t="shared" si="6"/>
        <v>27</v>
      </c>
      <c r="B48" s="431">
        <f t="shared" si="7"/>
        <v>8.5714285714285715E-2</v>
      </c>
      <c r="C48" s="431">
        <f t="shared" ref="C48" si="49">B48+C46</f>
        <v>0.9571428571428573</v>
      </c>
      <c r="D48" s="433"/>
      <c r="E48" s="46" t="str">
        <f t="array" ref="E48">IF( ISERROR(INDEX(Häufigkeiten!F:F,SMALL(IF(Häufigkeiten!F$7:F$51&lt;&gt;0,ROW($7:$51)),ROW(F42)))),"",INDEX(Häufigkeiten!E:E,SMALL(IF(Häufigkeiten!F$7:F$51&lt;&gt;0,ROW($7:$51)),ROW(F42))))</f>
        <v/>
      </c>
      <c r="F48" s="46" t="str">
        <f t="array" ref="F48">IF( ISERROR(INDEX(Häufigkeiten!F:F,SMALL(IF(Häufigkeiten!F$7:F$51&lt;&gt;0,ROW($7:$51)),ROW(F42)))),"",INDEX(Häufigkeiten!F:F,SMALL(IF(Häufigkeiten!F$7:F$51&lt;&gt;0,ROW($7:$51)),ROW(F42))))</f>
        <v/>
      </c>
      <c r="G48" s="431" t="str">
        <f t="shared" si="22"/>
        <v/>
      </c>
      <c r="H48" s="90"/>
      <c r="I48" s="46" t="s">
        <v>177</v>
      </c>
      <c r="J48" s="46" t="s">
        <v>177</v>
      </c>
      <c r="K48" s="46" t="s">
        <v>177</v>
      </c>
      <c r="Q48" s="46">
        <f t="shared" si="9"/>
        <v>27</v>
      </c>
      <c r="R48" s="431">
        <f t="shared" si="10"/>
        <v>4.878048780487805E-2</v>
      </c>
      <c r="S48" s="431">
        <f t="shared" ref="S48" si="50">R48+S46</f>
        <v>0.92682926829268297</v>
      </c>
      <c r="T48" s="433"/>
      <c r="U48" s="46" t="str">
        <f t="array" ref="U48">IF( ISERROR(INDEX(Häufigkeiten!V:V,SMALL(IF(Häufigkeiten!V$7:V$51&lt;&gt;0,ROW($7:$51)),ROW(V42)))),"",INDEX(Häufigkeiten!U:U,SMALL(IF(Häufigkeiten!V$7:V$51&lt;&gt;0,ROW($7:$51)),ROW(V42))))</f>
        <v/>
      </c>
      <c r="V48" s="46" t="str">
        <f t="array" ref="V48">IF( ISERROR(INDEX(Häufigkeiten!V:V,SMALL(IF(Häufigkeiten!V$7:V$51&lt;&gt;0,ROW($7:$51)),ROW(V42)))),"",INDEX(Häufigkeiten!V:V,SMALL(IF(Häufigkeiten!V$7:V$51&lt;&gt;0,ROW($7:$51)),ROW(V42))))</f>
        <v/>
      </c>
      <c r="W48" s="431" t="str">
        <f t="shared" si="3"/>
        <v/>
      </c>
      <c r="X48" s="90"/>
      <c r="AG48" s="46" t="str">
        <f t="shared" si="11"/>
        <v/>
      </c>
      <c r="AH48" s="431">
        <f t="shared" si="12"/>
        <v>0.13793103448275862</v>
      </c>
      <c r="AI48" s="431">
        <f t="shared" ref="AI48" si="51">AH48+AI46</f>
        <v>1</v>
      </c>
      <c r="AJ48" s="433"/>
      <c r="AK48" s="46" t="str">
        <f t="array" ref="AK48">IF( ISERROR(INDEX(Häufigkeiten!AL:AL,SMALL(IF(Häufigkeiten!AL$7:AL$51&lt;&gt;0,ROW($7:$51)),ROW(AL42)))),"",INDEX(Häufigkeiten!AK:AK,SMALL(IF(Häufigkeiten!AL$7:AL$51&lt;&gt;0,ROW($7:$51)),ROW(AL42))))</f>
        <v/>
      </c>
      <c r="AL48" s="46" t="str">
        <f t="array" ref="AL48">IF( ISERROR(INDEX(Häufigkeiten!AL:AL,SMALL(IF(Häufigkeiten!AL$7:AL$51&lt;&gt;0,ROW($7:$51)),ROW(AL42)))),"",INDEX(Häufigkeiten!AL:AL,SMALL(IF(Häufigkeiten!AL$7:AL$51&lt;&gt;0,ROW($7:$51)),ROW(AL42))))</f>
        <v/>
      </c>
      <c r="AM48" s="431" t="str">
        <f t="shared" si="5"/>
        <v/>
      </c>
      <c r="AN48" s="90"/>
    </row>
    <row r="49" spans="1:40" s="46" customFormat="1" x14ac:dyDescent="0.25">
      <c r="A49" s="46">
        <f t="shared" si="6"/>
        <v>27</v>
      </c>
      <c r="B49" s="431">
        <f t="shared" si="7"/>
        <v>1.4285714285714285E-2</v>
      </c>
      <c r="C49" s="431">
        <f t="shared" ref="C49" si="52">B49+C48</f>
        <v>0.97142857142857153</v>
      </c>
      <c r="D49" s="433"/>
      <c r="E49" s="46" t="str">
        <f t="array" ref="E49">IF( ISERROR(INDEX(Häufigkeiten!F:F,SMALL(IF(Häufigkeiten!F$7:F$51&lt;&gt;0,ROW($7:$51)),ROW(F43)))),"",INDEX(Häufigkeiten!E:E,SMALL(IF(Häufigkeiten!F$7:F$51&lt;&gt;0,ROW($7:$51)),ROW(F43))))</f>
        <v/>
      </c>
      <c r="F49" s="46" t="str">
        <f t="array" ref="F49">IF( ISERROR(INDEX(Häufigkeiten!F:F,SMALL(IF(Häufigkeiten!F$7:F$51&lt;&gt;0,ROW($7:$51)),ROW(F43)))),"",INDEX(Häufigkeiten!F:F,SMALL(IF(Häufigkeiten!F$7:F$51&lt;&gt;0,ROW($7:$51)),ROW(F43))))</f>
        <v/>
      </c>
      <c r="G49" s="431" t="str">
        <f t="shared" si="22"/>
        <v/>
      </c>
      <c r="H49" s="90"/>
      <c r="I49" s="46" t="s">
        <v>177</v>
      </c>
      <c r="J49" s="46" t="s">
        <v>177</v>
      </c>
      <c r="K49" s="46" t="s">
        <v>177</v>
      </c>
      <c r="Q49" s="46">
        <f t="shared" si="9"/>
        <v>27</v>
      </c>
      <c r="R49" s="431">
        <f t="shared" si="10"/>
        <v>2.4390243902439025E-2</v>
      </c>
      <c r="S49" s="431">
        <f t="shared" ref="S49" si="53">R49+S48</f>
        <v>0.95121951219512202</v>
      </c>
      <c r="T49" s="433"/>
      <c r="U49" s="46" t="str">
        <f t="array" ref="U49">IF( ISERROR(INDEX(Häufigkeiten!V:V,SMALL(IF(Häufigkeiten!V$7:V$51&lt;&gt;0,ROW($7:$51)),ROW(V43)))),"",INDEX(Häufigkeiten!U:U,SMALL(IF(Häufigkeiten!V$7:V$51&lt;&gt;0,ROW($7:$51)),ROW(V43))))</f>
        <v/>
      </c>
      <c r="V49" s="46" t="str">
        <f t="array" ref="V49">IF( ISERROR(INDEX(Häufigkeiten!V:V,SMALL(IF(Häufigkeiten!V$7:V$51&lt;&gt;0,ROW($7:$51)),ROW(V43)))),"",INDEX(Häufigkeiten!V:V,SMALL(IF(Häufigkeiten!V$7:V$51&lt;&gt;0,ROW($7:$51)),ROW(V43))))</f>
        <v/>
      </c>
      <c r="W49" s="431" t="str">
        <f t="shared" si="3"/>
        <v/>
      </c>
      <c r="X49" s="90"/>
      <c r="AG49" s="46" t="str">
        <f t="shared" si="11"/>
        <v/>
      </c>
      <c r="AH49" s="431" t="str">
        <f t="shared" si="12"/>
        <v/>
      </c>
      <c r="AI49" s="431" t="e">
        <f t="shared" ref="AI49" si="54">AH49+AI48</f>
        <v>#VALUE!</v>
      </c>
      <c r="AJ49" s="433"/>
      <c r="AK49" s="46" t="str">
        <f t="array" ref="AK49">IF( ISERROR(INDEX(Häufigkeiten!AL:AL,SMALL(IF(Häufigkeiten!AL$7:AL$51&lt;&gt;0,ROW($7:$51)),ROW(AL43)))),"",INDEX(Häufigkeiten!AK:AK,SMALL(IF(Häufigkeiten!AL$7:AL$51&lt;&gt;0,ROW($7:$51)),ROW(AL43))))</f>
        <v/>
      </c>
      <c r="AL49" s="46" t="str">
        <f t="array" ref="AL49">IF( ISERROR(INDEX(Häufigkeiten!AL:AL,SMALL(IF(Häufigkeiten!AL$7:AL$51&lt;&gt;0,ROW($7:$51)),ROW(AL43)))),"",INDEX(Häufigkeiten!AL:AL,SMALL(IF(Häufigkeiten!AL$7:AL$51&lt;&gt;0,ROW($7:$51)),ROW(AL43))))</f>
        <v/>
      </c>
      <c r="AM49" s="431" t="str">
        <f t="shared" si="5"/>
        <v/>
      </c>
      <c r="AN49" s="90"/>
    </row>
    <row r="50" spans="1:40" s="46" customFormat="1" x14ac:dyDescent="0.25">
      <c r="A50" s="46">
        <f t="shared" si="6"/>
        <v>28</v>
      </c>
      <c r="B50" s="431">
        <f t="shared" si="7"/>
        <v>1.4285714285714285E-2</v>
      </c>
      <c r="C50" s="431">
        <f t="shared" ref="C50" si="55">B50+C48</f>
        <v>0.97142857142857153</v>
      </c>
      <c r="D50" s="433"/>
      <c r="E50" s="46" t="str">
        <f t="array" ref="E50">IF( ISERROR(INDEX(Häufigkeiten!F:F,SMALL(IF(Häufigkeiten!F$7:F$51&lt;&gt;0,ROW($7:$51)),ROW(F44)))),"",INDEX(Häufigkeiten!E:E,SMALL(IF(Häufigkeiten!F$7:F$51&lt;&gt;0,ROW($7:$51)),ROW(F44))))</f>
        <v/>
      </c>
      <c r="F50" s="46" t="str">
        <f t="array" ref="F50">IF( ISERROR(INDEX(Häufigkeiten!F:F,SMALL(IF(Häufigkeiten!F$7:F$51&lt;&gt;0,ROW($7:$51)),ROW(F44)))),"",INDEX(Häufigkeiten!F:F,SMALL(IF(Häufigkeiten!F$7:F$51&lt;&gt;0,ROW($7:$51)),ROW(F44))))</f>
        <v/>
      </c>
      <c r="G50" s="431" t="str">
        <f t="shared" si="22"/>
        <v/>
      </c>
      <c r="H50" s="90"/>
      <c r="I50" s="46" t="s">
        <v>177</v>
      </c>
      <c r="J50" s="46" t="s">
        <v>177</v>
      </c>
      <c r="K50" s="46" t="s">
        <v>177</v>
      </c>
      <c r="Q50" s="46">
        <f t="shared" si="9"/>
        <v>28</v>
      </c>
      <c r="R50" s="431">
        <f t="shared" si="10"/>
        <v>2.4390243902439025E-2</v>
      </c>
      <c r="S50" s="431">
        <f t="shared" ref="S50" si="56">R50+S48</f>
        <v>0.95121951219512202</v>
      </c>
      <c r="T50" s="433"/>
      <c r="U50" s="46" t="str">
        <f t="array" ref="U50">IF( ISERROR(INDEX(Häufigkeiten!V:V,SMALL(IF(Häufigkeiten!V$7:V$51&lt;&gt;0,ROW($7:$51)),ROW(V44)))),"",INDEX(Häufigkeiten!U:U,SMALL(IF(Häufigkeiten!V$7:V$51&lt;&gt;0,ROW($7:$51)),ROW(V44))))</f>
        <v/>
      </c>
      <c r="V50" s="46" t="str">
        <f t="array" ref="V50">IF( ISERROR(INDEX(Häufigkeiten!V:V,SMALL(IF(Häufigkeiten!V$7:V$51&lt;&gt;0,ROW($7:$51)),ROW(V44)))),"",INDEX(Häufigkeiten!V:V,SMALL(IF(Häufigkeiten!V$7:V$51&lt;&gt;0,ROW($7:$51)),ROW(V44))))</f>
        <v/>
      </c>
      <c r="W50" s="431" t="str">
        <f t="shared" si="3"/>
        <v/>
      </c>
      <c r="X50" s="90"/>
      <c r="AG50" s="46" t="str">
        <f t="shared" si="11"/>
        <v/>
      </c>
      <c r="AH50" s="431" t="str">
        <f t="shared" si="12"/>
        <v/>
      </c>
      <c r="AI50" s="431" t="e">
        <f t="shared" ref="AI50" si="57">AH50+AI48</f>
        <v>#VALUE!</v>
      </c>
      <c r="AJ50" s="433"/>
      <c r="AK50" s="46" t="str">
        <f t="array" ref="AK50">IF( ISERROR(INDEX(Häufigkeiten!AL:AL,SMALL(IF(Häufigkeiten!AL$7:AL$51&lt;&gt;0,ROW($7:$51)),ROW(AL44)))),"",INDEX(Häufigkeiten!AK:AK,SMALL(IF(Häufigkeiten!AL$7:AL$51&lt;&gt;0,ROW($7:$51)),ROW(AL44))))</f>
        <v/>
      </c>
      <c r="AL50" s="46" t="str">
        <f t="array" ref="AL50">IF( ISERROR(INDEX(Häufigkeiten!AL:AL,SMALL(IF(Häufigkeiten!AL$7:AL$51&lt;&gt;0,ROW($7:$51)),ROW(AL44)))),"",INDEX(Häufigkeiten!AL:AL,SMALL(IF(Häufigkeiten!AL$7:AL$51&lt;&gt;0,ROW($7:$51)),ROW(AL44))))</f>
        <v/>
      </c>
      <c r="AM50" s="431" t="str">
        <f t="shared" si="5"/>
        <v/>
      </c>
      <c r="AN50" s="90"/>
    </row>
    <row r="51" spans="1:40" s="46" customFormat="1" ht="15.75" thickBot="1" x14ac:dyDescent="0.3">
      <c r="A51" s="46">
        <f t="shared" si="6"/>
        <v>28</v>
      </c>
      <c r="B51" s="431">
        <f t="shared" si="7"/>
        <v>2.8571428571428571E-2</v>
      </c>
      <c r="C51" s="431">
        <f t="shared" ref="C51" si="58">B51+C50</f>
        <v>1</v>
      </c>
      <c r="D51" s="433"/>
      <c r="E51" s="46" t="str">
        <f t="array" ref="E51">IF( ISERROR(INDEX(Häufigkeiten!F:F,SMALL(IF(Häufigkeiten!F$7:F$51&lt;&gt;0,ROW($7:$51)),ROW(F45)))),"",INDEX(Häufigkeiten!E:E,SMALL(IF(Häufigkeiten!F$7:F$51&lt;&gt;0,ROW($7:$51)),ROW(F45))))</f>
        <v/>
      </c>
      <c r="F51" s="46" t="str">
        <f t="array" ref="F51">IF( ISERROR(INDEX(Häufigkeiten!F:F,SMALL(IF(Häufigkeiten!F$7:F$51&lt;&gt;0,ROW($7:$51)),ROW(F45)))),"",INDEX(Häufigkeiten!F:F,SMALL(IF(Häufigkeiten!F$7:F$51&lt;&gt;0,ROW($7:$51)),ROW(F45))))</f>
        <v/>
      </c>
      <c r="G51" s="432" t="str">
        <f t="shared" si="22"/>
        <v/>
      </c>
      <c r="H51" s="90"/>
      <c r="I51" s="46" t="s">
        <v>177</v>
      </c>
      <c r="J51" s="46" t="s">
        <v>177</v>
      </c>
      <c r="K51" s="46" t="s">
        <v>177</v>
      </c>
      <c r="Q51" s="46">
        <f t="shared" si="9"/>
        <v>28</v>
      </c>
      <c r="R51" s="431">
        <f t="shared" si="10"/>
        <v>4.878048780487805E-2</v>
      </c>
      <c r="S51" s="431">
        <f t="shared" ref="S51" si="59">R51+S50</f>
        <v>1</v>
      </c>
      <c r="T51" s="433"/>
      <c r="U51" s="430" t="str">
        <f t="array" ref="U51">IF( ISERROR(INDEX(Häufigkeiten!V:V,SMALL(IF(Häufigkeiten!V$7:V$51&lt;&gt;0,ROW($7:$51)),ROW(V45)))),"",INDEX(Häufigkeiten!U:U,SMALL(IF(Häufigkeiten!V$7:V$51&lt;&gt;0,ROW($7:$51)),ROW(V45))))</f>
        <v/>
      </c>
      <c r="V51" s="430" t="str">
        <f t="array" ref="V51">IF( ISERROR(INDEX(Häufigkeiten!V:V,SMALL(IF(Häufigkeiten!V$7:V$51&lt;&gt;0,ROW($7:$51)),ROW(V45)))),"",INDEX(Häufigkeiten!V:V,SMALL(IF(Häufigkeiten!V$7:V$51&lt;&gt;0,ROW($7:$51)),ROW(V45))))</f>
        <v/>
      </c>
      <c r="W51" s="432" t="str">
        <f t="shared" si="3"/>
        <v/>
      </c>
      <c r="X51" s="90"/>
      <c r="AG51" s="46" t="str">
        <f t="shared" si="11"/>
        <v/>
      </c>
      <c r="AH51" s="431" t="str">
        <f t="shared" si="12"/>
        <v/>
      </c>
      <c r="AI51" s="431" t="e">
        <f t="shared" ref="AI51" si="60">AH51+AI50</f>
        <v>#VALUE!</v>
      </c>
      <c r="AJ51" s="433"/>
      <c r="AK51" s="430" t="str">
        <f t="array" ref="AK51">IF( ISERROR(INDEX(Häufigkeiten!AL:AL,SMALL(IF(Häufigkeiten!AL$7:AL$51&lt;&gt;0,ROW($7:$51)),ROW(AL45)))),"",INDEX(Häufigkeiten!AK:AK,SMALL(IF(Häufigkeiten!AL$7:AL$51&lt;&gt;0,ROW($7:$51)),ROW(AL45))))</f>
        <v/>
      </c>
      <c r="AL51" s="430" t="str">
        <f t="array" ref="AL51">IF( ISERROR(INDEX(Häufigkeiten!AL:AL,SMALL(IF(Häufigkeiten!AL$7:AL$51&lt;&gt;0,ROW($7:$51)),ROW(AL45)))),"",INDEX(Häufigkeiten!AL:AL,SMALL(IF(Häufigkeiten!AL$7:AL$51&lt;&gt;0,ROW($7:$51)),ROW(AL45))))</f>
        <v/>
      </c>
      <c r="AM51" s="432" t="str">
        <f t="shared" si="5"/>
        <v/>
      </c>
      <c r="AN51" s="90"/>
    </row>
    <row r="52" spans="1:40" x14ac:dyDescent="0.25">
      <c r="A52" s="46" t="str">
        <f t="shared" si="6"/>
        <v/>
      </c>
      <c r="B52" s="431">
        <f t="shared" si="7"/>
        <v>2.8571428571428571E-2</v>
      </c>
      <c r="C52" s="431">
        <f t="shared" ref="C52" si="61">B52+C50</f>
        <v>1</v>
      </c>
      <c r="D52" s="433"/>
      <c r="E52" s="46">
        <f>INDEX(E$1:E$51,ROUNDDOWN(QUOTIENT(2*ROW()+1,4),0)-19,1)</f>
        <v>155</v>
      </c>
      <c r="F52" s="431">
        <v>0</v>
      </c>
      <c r="G52" s="431">
        <v>0</v>
      </c>
      <c r="H52" s="434"/>
      <c r="I52" s="8" t="s">
        <v>177</v>
      </c>
      <c r="J52" s="8" t="s">
        <v>177</v>
      </c>
      <c r="K52" s="8" t="s">
        <v>177</v>
      </c>
      <c r="Q52" s="46" t="str">
        <f t="shared" si="9"/>
        <v/>
      </c>
      <c r="R52" s="431">
        <f t="shared" si="10"/>
        <v>4.878048780487805E-2</v>
      </c>
      <c r="S52" s="431">
        <f t="shared" ref="S52" si="62">R52+S50</f>
        <v>1</v>
      </c>
      <c r="T52" s="434"/>
      <c r="U52" s="46">
        <f>INDEX(U$1:U$51,ROUNDDOWN(QUOTIENT(2*ROW()+1,4),0)-19,1)</f>
        <v>160</v>
      </c>
      <c r="V52" s="431">
        <v>0</v>
      </c>
      <c r="W52" s="431">
        <v>0</v>
      </c>
      <c r="X52" s="434"/>
      <c r="AG52" s="46" t="str">
        <f t="shared" si="11"/>
        <v/>
      </c>
      <c r="AH52" s="431" t="str">
        <f t="shared" si="12"/>
        <v/>
      </c>
      <c r="AI52" s="431" t="e">
        <f t="shared" ref="AI52" si="63">AH52+AI50</f>
        <v>#VALUE!</v>
      </c>
      <c r="AJ52" s="434"/>
      <c r="AK52" s="46">
        <f>INDEX(AK$1:AK$51,ROUNDDOWN(QUOTIENT(2*ROW()+1,4),0)-19,1)</f>
        <v>155</v>
      </c>
      <c r="AL52" s="431">
        <v>0</v>
      </c>
      <c r="AM52" s="431">
        <v>0</v>
      </c>
      <c r="AN52" s="434"/>
    </row>
    <row r="53" spans="1:40" x14ac:dyDescent="0.25">
      <c r="A53" s="46" t="str">
        <f t="shared" si="6"/>
        <v/>
      </c>
      <c r="B53" s="431" t="str">
        <f t="shared" si="7"/>
        <v/>
      </c>
      <c r="C53" s="431" t="e">
        <f t="shared" ref="C53" si="64">B53+C52</f>
        <v>#VALUE!</v>
      </c>
      <c r="D53" s="433"/>
      <c r="E53" s="46">
        <f>INDEX(E$1:E$51,ROUNDDOWN(QUOTIENT(2*ROW()+1,4),0)-19,1)</f>
        <v>155</v>
      </c>
      <c r="F53" s="431">
        <f>INDEX(G$1:G$51,ROUNDDOWN(QUOTIENT(2*(ROW()-1)+1,4),0)-19,1)</f>
        <v>1.4285714285714285E-2</v>
      </c>
      <c r="G53" s="431">
        <f>F53+G52</f>
        <v>1.4285714285714285E-2</v>
      </c>
      <c r="H53" s="434"/>
      <c r="I53" s="8" t="s">
        <v>177</v>
      </c>
      <c r="J53" s="8" t="s">
        <v>177</v>
      </c>
      <c r="K53" s="8" t="s">
        <v>177</v>
      </c>
      <c r="Q53" s="46" t="str">
        <f t="shared" si="9"/>
        <v/>
      </c>
      <c r="R53" s="431" t="str">
        <f t="shared" si="10"/>
        <v/>
      </c>
      <c r="S53" s="431" t="e">
        <f t="shared" ref="S53" si="65">R53+S52</f>
        <v>#VALUE!</v>
      </c>
      <c r="T53" s="434"/>
      <c r="U53" s="46">
        <f>INDEX(U$1:U$51,ROUNDDOWN(QUOTIENT(2*ROW()+1,4),0)-19,1)</f>
        <v>160</v>
      </c>
      <c r="V53" s="431">
        <f>INDEX(W$1:W$51,ROUNDDOWN(QUOTIENT(2*(ROW()-1)+1,4),0)-19,1)</f>
        <v>7.3170731707317069E-2</v>
      </c>
      <c r="W53" s="431">
        <f>V53+W52</f>
        <v>7.3170731707317069E-2</v>
      </c>
      <c r="X53" s="434"/>
      <c r="AG53" s="46" t="str">
        <f t="shared" si="11"/>
        <v/>
      </c>
      <c r="AH53" s="431" t="str">
        <f t="shared" si="12"/>
        <v/>
      </c>
      <c r="AI53" s="431" t="e">
        <f t="shared" ref="AI53" si="66">AH53+AI52</f>
        <v>#VALUE!</v>
      </c>
      <c r="AJ53" s="434"/>
      <c r="AK53" s="46">
        <f>INDEX(AK$1:AK$51,ROUNDDOWN(QUOTIENT(2*ROW()+1,4),0)-19,1)</f>
        <v>155</v>
      </c>
      <c r="AL53" s="431">
        <f>INDEX(AM$1:AM$51,ROUNDDOWN(QUOTIENT(2*(ROW()-1)+1,4),0)-19,1)</f>
        <v>3.4482758620689655E-2</v>
      </c>
      <c r="AM53" s="431">
        <f>AL53+AM52</f>
        <v>3.4482758620689655E-2</v>
      </c>
      <c r="AN53" s="434"/>
    </row>
    <row r="54" spans="1:40" x14ac:dyDescent="0.25">
      <c r="A54" s="46" t="str">
        <f t="shared" si="6"/>
        <v/>
      </c>
      <c r="B54" s="431" t="str">
        <f t="shared" si="7"/>
        <v/>
      </c>
      <c r="C54" s="431" t="e">
        <f t="shared" ref="C54" si="67">B54+C52</f>
        <v>#VALUE!</v>
      </c>
      <c r="D54" s="433"/>
      <c r="E54" s="46">
        <f>INDEX(E$1:E$51,ROUNDDOWN(QUOTIENT(2*ROW()+1,4),0)-19,1)</f>
        <v>160</v>
      </c>
      <c r="F54" s="431">
        <f>INDEX(G$1:G$51,ROUNDDOWN(QUOTIENT(2*(ROW()-1)+1,4),0)-19,1)</f>
        <v>1.4285714285714285E-2</v>
      </c>
      <c r="G54" s="431">
        <f>F54+G52</f>
        <v>1.4285714285714285E-2</v>
      </c>
      <c r="H54" s="434"/>
      <c r="Q54" s="46" t="str">
        <f t="shared" si="9"/>
        <v/>
      </c>
      <c r="R54" s="431" t="str">
        <f t="shared" si="10"/>
        <v/>
      </c>
      <c r="S54" s="431" t="e">
        <f t="shared" ref="S54" si="68">R54+S52</f>
        <v>#VALUE!</v>
      </c>
      <c r="T54" s="434"/>
      <c r="U54" s="46">
        <f>INDEX(U$1:U$51,ROUNDDOWN(QUOTIENT(2*ROW()+1,4),0)-19,1)</f>
        <v>161</v>
      </c>
      <c r="V54" s="431">
        <f>INDEX(W$1:W$51,ROUNDDOWN(QUOTIENT(2*(ROW()-1)+1,4),0)-19,1)</f>
        <v>7.3170731707317069E-2</v>
      </c>
      <c r="W54" s="431">
        <f>V54+W52</f>
        <v>7.3170731707317069E-2</v>
      </c>
      <c r="X54" s="434"/>
      <c r="AG54" s="46" t="str">
        <f t="shared" si="11"/>
        <v/>
      </c>
      <c r="AH54" s="431" t="str">
        <f t="shared" si="12"/>
        <v/>
      </c>
      <c r="AI54" s="431" t="e">
        <f t="shared" ref="AI54" si="69">AH54+AI52</f>
        <v>#VALUE!</v>
      </c>
      <c r="AJ54" s="434"/>
      <c r="AK54" s="46">
        <f>INDEX(AK$1:AK$51,ROUNDDOWN(QUOTIENT(2*ROW()+1,4),0)-19,1)</f>
        <v>160</v>
      </c>
      <c r="AL54" s="431">
        <f>INDEX(AM$1:AM$51,ROUNDDOWN(QUOTIENT(2*(ROW()-1)+1,4),0)-19,1)</f>
        <v>3.4482758620689655E-2</v>
      </c>
      <c r="AM54" s="431">
        <f>AL54+AM52</f>
        <v>3.4482758620689655E-2</v>
      </c>
      <c r="AN54" s="434"/>
    </row>
    <row r="55" spans="1:40" x14ac:dyDescent="0.25">
      <c r="A55" s="46" t="str">
        <f t="shared" si="6"/>
        <v/>
      </c>
      <c r="B55" s="431" t="str">
        <f t="shared" si="7"/>
        <v/>
      </c>
      <c r="C55" s="431" t="e">
        <f t="shared" ref="C55" si="70">B55+C54</f>
        <v>#VALUE!</v>
      </c>
      <c r="D55" s="433"/>
      <c r="E55" s="46">
        <f>INDEX(E$1:E$51,ROUNDDOWN(QUOTIENT(2*ROW()+1,4),0)-19,1)</f>
        <v>160</v>
      </c>
      <c r="F55" s="431">
        <f>INDEX(G$1:G$51,ROUNDDOWN(QUOTIENT(2*(ROW()-1)+1,4),0)-19,1)</f>
        <v>7.1428571428571425E-2</v>
      </c>
      <c r="G55" s="431">
        <f>F55+G54</f>
        <v>8.5714285714285715E-2</v>
      </c>
      <c r="H55" s="434"/>
      <c r="Q55" s="46" t="str">
        <f t="shared" si="9"/>
        <v/>
      </c>
      <c r="R55" s="431" t="str">
        <f t="shared" si="10"/>
        <v/>
      </c>
      <c r="S55" s="431" t="e">
        <f t="shared" ref="S55" si="71">R55+S54</f>
        <v>#VALUE!</v>
      </c>
      <c r="T55" s="434"/>
      <c r="U55" s="46">
        <f>INDEX(U$1:U$51,ROUNDDOWN(QUOTIENT(2*ROW()+1,4),0)-19,1)</f>
        <v>161</v>
      </c>
      <c r="V55" s="431">
        <f>INDEX(W$1:W$51,ROUNDDOWN(QUOTIENT(2*(ROW()-1)+1,4),0)-19,1)</f>
        <v>2.4390243902439025E-2</v>
      </c>
      <c r="W55" s="431">
        <f>V55+W54</f>
        <v>9.7560975609756101E-2</v>
      </c>
      <c r="X55" s="434"/>
      <c r="AG55" s="46" t="str">
        <f t="shared" si="11"/>
        <v/>
      </c>
      <c r="AH55" s="431" t="str">
        <f t="shared" si="12"/>
        <v/>
      </c>
      <c r="AI55" s="431" t="e">
        <f t="shared" ref="AI55" si="72">AH55+AI54</f>
        <v>#VALUE!</v>
      </c>
      <c r="AJ55" s="434"/>
      <c r="AK55" s="46">
        <f>INDEX(AK$1:AK$51,ROUNDDOWN(QUOTIENT(2*ROW()+1,4),0)-19,1)</f>
        <v>160</v>
      </c>
      <c r="AL55" s="431">
        <f>INDEX(AM$1:AM$51,ROUNDDOWN(QUOTIENT(2*(ROW()-1)+1,4),0)-19,1)</f>
        <v>6.8965517241379309E-2</v>
      </c>
      <c r="AM55" s="431">
        <f>AL55+AM54</f>
        <v>0.10344827586206896</v>
      </c>
      <c r="AN55" s="434"/>
    </row>
    <row r="56" spans="1:40" x14ac:dyDescent="0.25">
      <c r="A56" s="46" t="str">
        <f t="shared" si="6"/>
        <v/>
      </c>
      <c r="B56" s="431" t="str">
        <f t="shared" si="7"/>
        <v/>
      </c>
      <c r="C56" s="431" t="e">
        <f t="shared" ref="C56" si="73">B56+C54</f>
        <v>#VALUE!</v>
      </c>
      <c r="D56" s="433"/>
      <c r="E56" s="46">
        <f t="shared" ref="E56:E119" si="74">INDEX(E$1:E$51,ROUNDDOWN(QUOTIENT(2*ROW()+1,4),0)-19,1)</f>
        <v>161</v>
      </c>
      <c r="F56" s="431">
        <f t="shared" ref="F56:F119" si="75">INDEX(G$1:G$51,ROUNDDOWN(QUOTIENT(2*(ROW()-1)+1,4),0)-19,1)</f>
        <v>7.1428571428571425E-2</v>
      </c>
      <c r="G56" s="431">
        <f t="shared" ref="G56" si="76">F56+G54</f>
        <v>8.5714285714285715E-2</v>
      </c>
      <c r="H56" s="434"/>
      <c r="Q56" s="46" t="str">
        <f t="shared" si="9"/>
        <v/>
      </c>
      <c r="R56" s="431" t="str">
        <f t="shared" si="10"/>
        <v/>
      </c>
      <c r="S56" s="431" t="e">
        <f t="shared" ref="S56" si="77">R56+S54</f>
        <v>#VALUE!</v>
      </c>
      <c r="T56" s="434"/>
      <c r="U56" s="46">
        <f t="shared" ref="U56:U119" si="78">INDEX(U$1:U$51,ROUNDDOWN(QUOTIENT(2*ROW()+1,4),0)-19,1)</f>
        <v>163</v>
      </c>
      <c r="V56" s="431">
        <f t="shared" ref="V56:V119" si="79">INDEX(W$1:W$51,ROUNDDOWN(QUOTIENT(2*(ROW()-1)+1,4),0)-19,1)</f>
        <v>2.4390243902439025E-2</v>
      </c>
      <c r="W56" s="431">
        <f t="shared" ref="W56" si="80">V56+W54</f>
        <v>9.7560975609756101E-2</v>
      </c>
      <c r="X56" s="434"/>
      <c r="AG56" s="46" t="str">
        <f t="shared" si="11"/>
        <v/>
      </c>
      <c r="AH56" s="431" t="str">
        <f t="shared" si="12"/>
        <v/>
      </c>
      <c r="AI56" s="431" t="e">
        <f t="shared" ref="AI56" si="81">AH56+AI54</f>
        <v>#VALUE!</v>
      </c>
      <c r="AJ56" s="434"/>
      <c r="AK56" s="46">
        <f t="shared" ref="AK56:AK119" si="82">INDEX(AK$1:AK$51,ROUNDDOWN(QUOTIENT(2*ROW()+1,4),0)-19,1)</f>
        <v>165</v>
      </c>
      <c r="AL56" s="431">
        <f t="shared" ref="AL56:AL119" si="83">INDEX(AM$1:AM$51,ROUNDDOWN(QUOTIENT(2*(ROW()-1)+1,4),0)-19,1)</f>
        <v>6.8965517241379309E-2</v>
      </c>
      <c r="AM56" s="431">
        <f t="shared" ref="AM56" si="84">AL56+AM54</f>
        <v>0.10344827586206896</v>
      </c>
      <c r="AN56" s="434"/>
    </row>
    <row r="57" spans="1:40" x14ac:dyDescent="0.25">
      <c r="A57" s="46" t="str">
        <f t="shared" si="6"/>
        <v/>
      </c>
      <c r="B57" s="431" t="str">
        <f t="shared" si="7"/>
        <v/>
      </c>
      <c r="C57" s="431" t="e">
        <f t="shared" ref="C57" si="85">B57+C56</f>
        <v>#VALUE!</v>
      </c>
      <c r="D57" s="433"/>
      <c r="E57" s="46">
        <f t="shared" si="74"/>
        <v>161</v>
      </c>
      <c r="F57" s="431">
        <f t="shared" si="75"/>
        <v>1.4285714285714285E-2</v>
      </c>
      <c r="G57" s="431">
        <f t="shared" ref="G57" si="86">F57+G56</f>
        <v>0.1</v>
      </c>
      <c r="H57" s="434"/>
      <c r="Q57" s="46" t="str">
        <f t="shared" si="9"/>
        <v/>
      </c>
      <c r="R57" s="431" t="str">
        <f t="shared" si="10"/>
        <v/>
      </c>
      <c r="S57" s="431" t="e">
        <f t="shared" ref="S57" si="87">R57+S56</f>
        <v>#VALUE!</v>
      </c>
      <c r="T57" s="434"/>
      <c r="U57" s="46">
        <f t="shared" si="78"/>
        <v>163</v>
      </c>
      <c r="V57" s="431">
        <f t="shared" si="79"/>
        <v>7.3170731707317069E-2</v>
      </c>
      <c r="W57" s="431">
        <f t="shared" ref="W57" si="88">V57+W56</f>
        <v>0.17073170731707316</v>
      </c>
      <c r="X57" s="434"/>
      <c r="AG57" s="46" t="str">
        <f t="shared" si="11"/>
        <v/>
      </c>
      <c r="AH57" s="431" t="str">
        <f t="shared" si="12"/>
        <v/>
      </c>
      <c r="AI57" s="431" t="e">
        <f t="shared" ref="AI57" si="89">AH57+AI56</f>
        <v>#VALUE!</v>
      </c>
      <c r="AJ57" s="434"/>
      <c r="AK57" s="46">
        <f t="shared" si="82"/>
        <v>165</v>
      </c>
      <c r="AL57" s="431">
        <f t="shared" si="83"/>
        <v>6.8965517241379309E-2</v>
      </c>
      <c r="AM57" s="431">
        <f t="shared" ref="AM57" si="90">AL57+AM56</f>
        <v>0.17241379310344829</v>
      </c>
      <c r="AN57" s="434"/>
    </row>
    <row r="58" spans="1:40" x14ac:dyDescent="0.25">
      <c r="A58" s="46" t="str">
        <f t="shared" si="6"/>
        <v/>
      </c>
      <c r="B58" s="431" t="str">
        <f t="shared" si="7"/>
        <v/>
      </c>
      <c r="C58" s="431" t="e">
        <f t="shared" ref="C58" si="91">B58+C56</f>
        <v>#VALUE!</v>
      </c>
      <c r="D58" s="433"/>
      <c r="E58" s="46">
        <f t="shared" si="74"/>
        <v>163</v>
      </c>
      <c r="F58" s="431">
        <f t="shared" si="75"/>
        <v>1.4285714285714285E-2</v>
      </c>
      <c r="G58" s="431">
        <f t="shared" ref="G58" si="92">F58+G56</f>
        <v>0.1</v>
      </c>
      <c r="H58" s="434"/>
      <c r="Q58" s="46" t="str">
        <f t="shared" si="9"/>
        <v/>
      </c>
      <c r="R58" s="431" t="str">
        <f t="shared" si="10"/>
        <v/>
      </c>
      <c r="S58" s="431" t="e">
        <f t="shared" ref="S58" si="93">R58+S56</f>
        <v>#VALUE!</v>
      </c>
      <c r="T58" s="434"/>
      <c r="U58" s="46">
        <f t="shared" si="78"/>
        <v>164</v>
      </c>
      <c r="V58" s="431">
        <f t="shared" si="79"/>
        <v>7.3170731707317069E-2</v>
      </c>
      <c r="W58" s="431">
        <f t="shared" ref="W58" si="94">V58+W56</f>
        <v>0.17073170731707316</v>
      </c>
      <c r="X58" s="434"/>
      <c r="AG58" s="46" t="str">
        <f t="shared" si="11"/>
        <v/>
      </c>
      <c r="AH58" s="431" t="str">
        <f t="shared" si="12"/>
        <v/>
      </c>
      <c r="AI58" s="431" t="e">
        <f t="shared" ref="AI58" si="95">AH58+AI56</f>
        <v>#VALUE!</v>
      </c>
      <c r="AJ58" s="434"/>
      <c r="AK58" s="46">
        <f t="shared" si="82"/>
        <v>170</v>
      </c>
      <c r="AL58" s="431">
        <f t="shared" si="83"/>
        <v>6.8965517241379309E-2</v>
      </c>
      <c r="AM58" s="431">
        <f t="shared" ref="AM58" si="96">AL58+AM56</f>
        <v>0.17241379310344829</v>
      </c>
      <c r="AN58" s="434"/>
    </row>
    <row r="59" spans="1:40" x14ac:dyDescent="0.25">
      <c r="A59" s="46" t="str">
        <f t="shared" si="6"/>
        <v/>
      </c>
      <c r="B59" s="431" t="str">
        <f t="shared" si="7"/>
        <v/>
      </c>
      <c r="C59" s="431" t="e">
        <f t="shared" ref="C59" si="97">B59+C58</f>
        <v>#VALUE!</v>
      </c>
      <c r="D59" s="433"/>
      <c r="E59" s="46">
        <f t="shared" si="74"/>
        <v>163</v>
      </c>
      <c r="F59" s="431">
        <f t="shared" si="75"/>
        <v>4.2857142857142858E-2</v>
      </c>
      <c r="G59" s="431">
        <f t="shared" ref="G59" si="98">F59+G58</f>
        <v>0.14285714285714285</v>
      </c>
      <c r="H59" s="434"/>
      <c r="Q59" s="46" t="str">
        <f t="shared" si="9"/>
        <v/>
      </c>
      <c r="R59" s="431" t="str">
        <f t="shared" si="10"/>
        <v/>
      </c>
      <c r="S59" s="431" t="e">
        <f t="shared" ref="S59" si="99">R59+S58</f>
        <v>#VALUE!</v>
      </c>
      <c r="T59" s="434"/>
      <c r="U59" s="46">
        <f t="shared" si="78"/>
        <v>164</v>
      </c>
      <c r="V59" s="431">
        <f t="shared" si="79"/>
        <v>2.4390243902439025E-2</v>
      </c>
      <c r="W59" s="431">
        <f t="shared" ref="W59" si="100">V59+W58</f>
        <v>0.19512195121951217</v>
      </c>
      <c r="X59" s="434"/>
      <c r="AG59" s="46" t="str">
        <f t="shared" si="11"/>
        <v/>
      </c>
      <c r="AH59" s="431" t="str">
        <f t="shared" si="12"/>
        <v/>
      </c>
      <c r="AI59" s="431" t="e">
        <f t="shared" ref="AI59" si="101">AH59+AI58</f>
        <v>#VALUE!</v>
      </c>
      <c r="AJ59" s="434"/>
      <c r="AK59" s="46">
        <f t="shared" si="82"/>
        <v>170</v>
      </c>
      <c r="AL59" s="431">
        <f t="shared" si="83"/>
        <v>6.8965517241379309E-2</v>
      </c>
      <c r="AM59" s="431">
        <f t="shared" ref="AM59" si="102">AL59+AM58</f>
        <v>0.2413793103448276</v>
      </c>
      <c r="AN59" s="434"/>
    </row>
    <row r="60" spans="1:40" x14ac:dyDescent="0.25">
      <c r="A60" s="46" t="str">
        <f t="shared" si="6"/>
        <v/>
      </c>
      <c r="B60" s="431" t="str">
        <f t="shared" si="7"/>
        <v/>
      </c>
      <c r="C60" s="431" t="e">
        <f t="shared" ref="C60" si="103">B60+C58</f>
        <v>#VALUE!</v>
      </c>
      <c r="D60" s="433"/>
      <c r="E60" s="46">
        <f t="shared" si="74"/>
        <v>164</v>
      </c>
      <c r="F60" s="431">
        <f t="shared" si="75"/>
        <v>4.2857142857142858E-2</v>
      </c>
      <c r="G60" s="431">
        <f t="shared" ref="G60" si="104">F60+G58</f>
        <v>0.14285714285714285</v>
      </c>
      <c r="H60" s="434"/>
      <c r="Q60" s="46" t="str">
        <f t="shared" si="9"/>
        <v/>
      </c>
      <c r="R60" s="431" t="str">
        <f t="shared" si="10"/>
        <v/>
      </c>
      <c r="S60" s="431" t="e">
        <f t="shared" ref="S60" si="105">R60+S58</f>
        <v>#VALUE!</v>
      </c>
      <c r="T60" s="434"/>
      <c r="U60" s="46">
        <f t="shared" si="78"/>
        <v>165</v>
      </c>
      <c r="V60" s="431">
        <f t="shared" si="79"/>
        <v>2.4390243902439025E-2</v>
      </c>
      <c r="W60" s="431">
        <f t="shared" ref="W60" si="106">V60+W58</f>
        <v>0.19512195121951217</v>
      </c>
      <c r="X60" s="434"/>
      <c r="AG60" s="46" t="str">
        <f t="shared" si="11"/>
        <v/>
      </c>
      <c r="AH60" s="431" t="str">
        <f t="shared" si="12"/>
        <v/>
      </c>
      <c r="AI60" s="431" t="e">
        <f t="shared" ref="AI60" si="107">AH60+AI58</f>
        <v>#VALUE!</v>
      </c>
      <c r="AJ60" s="434"/>
      <c r="AK60" s="46">
        <f t="shared" si="82"/>
        <v>174</v>
      </c>
      <c r="AL60" s="431">
        <f t="shared" si="83"/>
        <v>6.8965517241379309E-2</v>
      </c>
      <c r="AM60" s="431">
        <f t="shared" ref="AM60" si="108">AL60+AM58</f>
        <v>0.2413793103448276</v>
      </c>
      <c r="AN60" s="434"/>
    </row>
    <row r="61" spans="1:40" x14ac:dyDescent="0.25">
      <c r="A61" s="46" t="str">
        <f t="shared" si="6"/>
        <v/>
      </c>
      <c r="B61" s="431" t="str">
        <f t="shared" si="7"/>
        <v/>
      </c>
      <c r="C61" s="431" t="e">
        <f t="shared" ref="C61" si="109">B61+C60</f>
        <v>#VALUE!</v>
      </c>
      <c r="D61" s="433"/>
      <c r="E61" s="46">
        <f t="shared" si="74"/>
        <v>164</v>
      </c>
      <c r="F61" s="431">
        <f t="shared" si="75"/>
        <v>1.4285714285714285E-2</v>
      </c>
      <c r="G61" s="431">
        <f t="shared" ref="G61" si="110">F61+G60</f>
        <v>0.15714285714285714</v>
      </c>
      <c r="H61" s="434"/>
      <c r="Q61" s="46" t="str">
        <f t="shared" si="9"/>
        <v/>
      </c>
      <c r="R61" s="431" t="str">
        <f t="shared" si="10"/>
        <v/>
      </c>
      <c r="S61" s="431" t="e">
        <f t="shared" ref="S61" si="111">R61+S60</f>
        <v>#VALUE!</v>
      </c>
      <c r="T61" s="434"/>
      <c r="U61" s="46">
        <f t="shared" si="78"/>
        <v>165</v>
      </c>
      <c r="V61" s="431">
        <f t="shared" si="79"/>
        <v>2.4390243902439025E-2</v>
      </c>
      <c r="W61" s="431">
        <f t="shared" ref="W61" si="112">V61+W60</f>
        <v>0.21951219512195119</v>
      </c>
      <c r="X61" s="434"/>
      <c r="AG61" s="46" t="str">
        <f t="shared" si="11"/>
        <v/>
      </c>
      <c r="AH61" s="431" t="str">
        <f t="shared" si="12"/>
        <v/>
      </c>
      <c r="AI61" s="431" t="e">
        <f t="shared" ref="AI61" si="113">AH61+AI60</f>
        <v>#VALUE!</v>
      </c>
      <c r="AJ61" s="434"/>
      <c r="AK61" s="46">
        <f t="shared" si="82"/>
        <v>174</v>
      </c>
      <c r="AL61" s="431">
        <f t="shared" si="83"/>
        <v>3.4482758620689655E-2</v>
      </c>
      <c r="AM61" s="431">
        <f t="shared" ref="AM61" si="114">AL61+AM60</f>
        <v>0.27586206896551724</v>
      </c>
      <c r="AN61" s="434"/>
    </row>
    <row r="62" spans="1:40" x14ac:dyDescent="0.25">
      <c r="A62" s="46" t="str">
        <f t="shared" si="6"/>
        <v/>
      </c>
      <c r="B62" s="431" t="str">
        <f t="shared" si="7"/>
        <v/>
      </c>
      <c r="C62" s="431" t="e">
        <f t="shared" ref="C62" si="115">B62+C60</f>
        <v>#VALUE!</v>
      </c>
      <c r="D62" s="433"/>
      <c r="E62" s="46">
        <f t="shared" si="74"/>
        <v>165</v>
      </c>
      <c r="F62" s="431">
        <f t="shared" si="75"/>
        <v>1.4285714285714285E-2</v>
      </c>
      <c r="G62" s="431">
        <f t="shared" ref="G62" si="116">F62+G60</f>
        <v>0.15714285714285714</v>
      </c>
      <c r="H62" s="434"/>
      <c r="Q62" s="46" t="str">
        <f t="shared" si="9"/>
        <v/>
      </c>
      <c r="R62" s="431" t="str">
        <f t="shared" si="10"/>
        <v/>
      </c>
      <c r="S62" s="431" t="e">
        <f t="shared" ref="S62" si="117">R62+S60</f>
        <v>#VALUE!</v>
      </c>
      <c r="T62" s="434"/>
      <c r="U62" s="46">
        <f t="shared" si="78"/>
        <v>168</v>
      </c>
      <c r="V62" s="431">
        <f t="shared" si="79"/>
        <v>2.4390243902439025E-2</v>
      </c>
      <c r="W62" s="431">
        <f t="shared" ref="W62" si="118">V62+W60</f>
        <v>0.21951219512195119</v>
      </c>
      <c r="X62" s="434"/>
      <c r="AG62" s="46" t="str">
        <f t="shared" si="11"/>
        <v/>
      </c>
      <c r="AH62" s="431" t="str">
        <f t="shared" si="12"/>
        <v/>
      </c>
      <c r="AI62" s="431" t="e">
        <f t="shared" ref="AI62" si="119">AH62+AI60</f>
        <v>#VALUE!</v>
      </c>
      <c r="AJ62" s="434"/>
      <c r="AK62" s="46">
        <f t="shared" si="82"/>
        <v>175</v>
      </c>
      <c r="AL62" s="431">
        <f t="shared" si="83"/>
        <v>3.4482758620689655E-2</v>
      </c>
      <c r="AM62" s="431">
        <f t="shared" ref="AM62" si="120">AL62+AM60</f>
        <v>0.27586206896551724</v>
      </c>
      <c r="AN62" s="434"/>
    </row>
    <row r="63" spans="1:40" x14ac:dyDescent="0.25">
      <c r="A63" s="46" t="str">
        <f t="shared" si="6"/>
        <v/>
      </c>
      <c r="B63" s="431" t="str">
        <f t="shared" si="7"/>
        <v/>
      </c>
      <c r="C63" s="431" t="e">
        <f t="shared" ref="C63" si="121">B63+C62</f>
        <v>#VALUE!</v>
      </c>
      <c r="D63" s="433"/>
      <c r="E63" s="46">
        <f t="shared" si="74"/>
        <v>165</v>
      </c>
      <c r="F63" s="431">
        <f t="shared" si="75"/>
        <v>4.2857142857142858E-2</v>
      </c>
      <c r="G63" s="431">
        <f t="shared" ref="G63" si="122">F63+G62</f>
        <v>0.2</v>
      </c>
      <c r="H63" s="434"/>
      <c r="Q63" s="46" t="str">
        <f t="shared" si="9"/>
        <v/>
      </c>
      <c r="R63" s="431" t="str">
        <f t="shared" si="10"/>
        <v/>
      </c>
      <c r="S63" s="431" t="e">
        <f t="shared" ref="S63" si="123">R63+S62</f>
        <v>#VALUE!</v>
      </c>
      <c r="T63" s="434"/>
      <c r="U63" s="46">
        <f t="shared" si="78"/>
        <v>168</v>
      </c>
      <c r="V63" s="431">
        <f t="shared" si="79"/>
        <v>2.4390243902439025E-2</v>
      </c>
      <c r="W63" s="431">
        <f t="shared" ref="W63" si="124">V63+W62</f>
        <v>0.24390243902439021</v>
      </c>
      <c r="X63" s="434"/>
      <c r="AG63" s="46" t="str">
        <f t="shared" si="11"/>
        <v/>
      </c>
      <c r="AH63" s="431" t="str">
        <f t="shared" si="12"/>
        <v/>
      </c>
      <c r="AI63" s="431" t="e">
        <f t="shared" ref="AI63" si="125">AH63+AI62</f>
        <v>#VALUE!</v>
      </c>
      <c r="AJ63" s="434"/>
      <c r="AK63" s="46">
        <f t="shared" si="82"/>
        <v>175</v>
      </c>
      <c r="AL63" s="431">
        <f t="shared" si="83"/>
        <v>3.4482758620689655E-2</v>
      </c>
      <c r="AM63" s="431">
        <f t="shared" ref="AM63" si="126">AL63+AM62</f>
        <v>0.31034482758620691</v>
      </c>
      <c r="AN63" s="434"/>
    </row>
    <row r="64" spans="1:40" x14ac:dyDescent="0.25">
      <c r="A64" s="46" t="str">
        <f t="shared" si="6"/>
        <v/>
      </c>
      <c r="B64" s="431" t="str">
        <f t="shared" si="7"/>
        <v/>
      </c>
      <c r="C64" s="431" t="e">
        <f t="shared" ref="C64" si="127">B64+C62</f>
        <v>#VALUE!</v>
      </c>
      <c r="D64" s="433"/>
      <c r="E64" s="46">
        <f t="shared" si="74"/>
        <v>168</v>
      </c>
      <c r="F64" s="431">
        <f t="shared" si="75"/>
        <v>4.2857142857142858E-2</v>
      </c>
      <c r="G64" s="431">
        <f t="shared" ref="G64" si="128">F64+G62</f>
        <v>0.2</v>
      </c>
      <c r="H64" s="434"/>
      <c r="Q64" s="46" t="str">
        <f t="shared" si="9"/>
        <v/>
      </c>
      <c r="R64" s="431" t="str">
        <f t="shared" si="10"/>
        <v/>
      </c>
      <c r="S64" s="431" t="e">
        <f t="shared" ref="S64" si="129">R64+S62</f>
        <v>#VALUE!</v>
      </c>
      <c r="T64" s="434"/>
      <c r="U64" s="46">
        <f t="shared" si="78"/>
        <v>169</v>
      </c>
      <c r="V64" s="431">
        <f t="shared" si="79"/>
        <v>2.4390243902439025E-2</v>
      </c>
      <c r="W64" s="431">
        <f t="shared" ref="W64" si="130">V64+W62</f>
        <v>0.24390243902439021</v>
      </c>
      <c r="X64" s="434"/>
      <c r="AG64" s="46" t="str">
        <f t="shared" si="11"/>
        <v/>
      </c>
      <c r="AH64" s="431" t="str">
        <f t="shared" si="12"/>
        <v/>
      </c>
      <c r="AI64" s="431" t="e">
        <f t="shared" ref="AI64" si="131">AH64+AI62</f>
        <v>#VALUE!</v>
      </c>
      <c r="AJ64" s="434"/>
      <c r="AK64" s="46">
        <f t="shared" si="82"/>
        <v>176</v>
      </c>
      <c r="AL64" s="431">
        <f t="shared" si="83"/>
        <v>3.4482758620689655E-2</v>
      </c>
      <c r="AM64" s="431">
        <f t="shared" ref="AM64" si="132">AL64+AM62</f>
        <v>0.31034482758620691</v>
      </c>
      <c r="AN64" s="434"/>
    </row>
    <row r="65" spans="1:40" x14ac:dyDescent="0.25">
      <c r="A65" s="46" t="str">
        <f t="shared" si="6"/>
        <v/>
      </c>
      <c r="B65" s="431" t="str">
        <f t="shared" si="7"/>
        <v/>
      </c>
      <c r="C65" s="431" t="e">
        <f t="shared" ref="C65" si="133">B65+C64</f>
        <v>#VALUE!</v>
      </c>
      <c r="D65" s="433"/>
      <c r="E65" s="46">
        <f t="shared" si="74"/>
        <v>168</v>
      </c>
      <c r="F65" s="431">
        <f t="shared" si="75"/>
        <v>1.4285714285714285E-2</v>
      </c>
      <c r="G65" s="431">
        <f t="shared" ref="G65" si="134">F65+G64</f>
        <v>0.2142857142857143</v>
      </c>
      <c r="H65" s="434"/>
      <c r="Q65" s="46" t="str">
        <f t="shared" si="9"/>
        <v/>
      </c>
      <c r="R65" s="431" t="str">
        <f t="shared" si="10"/>
        <v/>
      </c>
      <c r="S65" s="431" t="e">
        <f t="shared" ref="S65" si="135">R65+S64</f>
        <v>#VALUE!</v>
      </c>
      <c r="T65" s="434"/>
      <c r="U65" s="46">
        <f t="shared" si="78"/>
        <v>169</v>
      </c>
      <c r="V65" s="431">
        <f t="shared" si="79"/>
        <v>2.4390243902439025E-2</v>
      </c>
      <c r="W65" s="431">
        <f t="shared" ref="W65" si="136">V65+W64</f>
        <v>0.26829268292682923</v>
      </c>
      <c r="X65" s="434"/>
      <c r="AG65" s="46" t="str">
        <f t="shared" si="11"/>
        <v/>
      </c>
      <c r="AH65" s="431" t="str">
        <f t="shared" si="12"/>
        <v/>
      </c>
      <c r="AI65" s="431" t="e">
        <f t="shared" ref="AI65" si="137">AH65+AI64</f>
        <v>#VALUE!</v>
      </c>
      <c r="AJ65" s="434"/>
      <c r="AK65" s="46">
        <f t="shared" si="82"/>
        <v>176</v>
      </c>
      <c r="AL65" s="431">
        <f t="shared" si="83"/>
        <v>0.17241379310344829</v>
      </c>
      <c r="AM65" s="431">
        <f t="shared" ref="AM65" si="138">AL65+AM64</f>
        <v>0.48275862068965519</v>
      </c>
      <c r="AN65" s="434"/>
    </row>
    <row r="66" spans="1:40" x14ac:dyDescent="0.25">
      <c r="A66" s="46" t="str">
        <f t="shared" si="6"/>
        <v/>
      </c>
      <c r="B66" s="431" t="str">
        <f t="shared" si="7"/>
        <v/>
      </c>
      <c r="C66" s="431" t="e">
        <f t="shared" ref="C66" si="139">B66+C64</f>
        <v>#VALUE!</v>
      </c>
      <c r="D66" s="433"/>
      <c r="E66" s="46">
        <f t="shared" si="74"/>
        <v>169</v>
      </c>
      <c r="F66" s="431">
        <f t="shared" si="75"/>
        <v>1.4285714285714285E-2</v>
      </c>
      <c r="G66" s="431">
        <f t="shared" ref="G66" si="140">F66+G64</f>
        <v>0.2142857142857143</v>
      </c>
      <c r="H66" s="434"/>
      <c r="Q66" s="46" t="str">
        <f t="shared" si="9"/>
        <v/>
      </c>
      <c r="R66" s="431" t="str">
        <f t="shared" si="10"/>
        <v/>
      </c>
      <c r="S66" s="431" t="e">
        <f t="shared" ref="S66" si="141">R66+S64</f>
        <v>#VALUE!</v>
      </c>
      <c r="T66" s="434"/>
      <c r="U66" s="46">
        <f t="shared" si="78"/>
        <v>170</v>
      </c>
      <c r="V66" s="431">
        <f t="shared" si="79"/>
        <v>2.4390243902439025E-2</v>
      </c>
      <c r="W66" s="431">
        <f t="shared" ref="W66" si="142">V66+W64</f>
        <v>0.26829268292682923</v>
      </c>
      <c r="X66" s="434"/>
      <c r="AG66" s="46" t="str">
        <f t="shared" si="11"/>
        <v/>
      </c>
      <c r="AH66" s="431" t="str">
        <f t="shared" si="12"/>
        <v/>
      </c>
      <c r="AI66" s="431" t="e">
        <f t="shared" ref="AI66" si="143">AH66+AI64</f>
        <v>#VALUE!</v>
      </c>
      <c r="AJ66" s="434"/>
      <c r="AK66" s="46">
        <f t="shared" si="82"/>
        <v>178</v>
      </c>
      <c r="AL66" s="431">
        <f t="shared" si="83"/>
        <v>0.17241379310344829</v>
      </c>
      <c r="AM66" s="431">
        <f t="shared" ref="AM66" si="144">AL66+AM64</f>
        <v>0.48275862068965519</v>
      </c>
      <c r="AN66" s="434"/>
    </row>
    <row r="67" spans="1:40" x14ac:dyDescent="0.25">
      <c r="A67" s="46" t="str">
        <f t="shared" si="6"/>
        <v/>
      </c>
      <c r="B67" s="431" t="str">
        <f t="shared" si="7"/>
        <v/>
      </c>
      <c r="C67" s="431" t="e">
        <f t="shared" ref="C67" si="145">B67+C66</f>
        <v>#VALUE!</v>
      </c>
      <c r="D67" s="433"/>
      <c r="E67" s="46">
        <f t="shared" si="74"/>
        <v>169</v>
      </c>
      <c r="F67" s="431">
        <f t="shared" si="75"/>
        <v>1.4285714285714285E-2</v>
      </c>
      <c r="G67" s="431">
        <f t="shared" ref="G67" si="146">F67+G66</f>
        <v>0.22857142857142859</v>
      </c>
      <c r="H67" s="434"/>
      <c r="Q67" s="46" t="str">
        <f t="shared" si="9"/>
        <v/>
      </c>
      <c r="R67" s="431" t="str">
        <f t="shared" si="10"/>
        <v/>
      </c>
      <c r="S67" s="431" t="e">
        <f t="shared" ref="S67" si="147">R67+S66</f>
        <v>#VALUE!</v>
      </c>
      <c r="T67" s="434"/>
      <c r="U67" s="46">
        <f t="shared" si="78"/>
        <v>170</v>
      </c>
      <c r="V67" s="431">
        <f t="shared" si="79"/>
        <v>0.12195121951219512</v>
      </c>
      <c r="W67" s="431">
        <f t="shared" ref="W67" si="148">V67+W66</f>
        <v>0.39024390243902435</v>
      </c>
      <c r="X67" s="434"/>
      <c r="AG67" s="46" t="str">
        <f t="shared" si="11"/>
        <v/>
      </c>
      <c r="AH67" s="431" t="str">
        <f t="shared" si="12"/>
        <v/>
      </c>
      <c r="AI67" s="431" t="e">
        <f t="shared" ref="AI67" si="149">AH67+AI66</f>
        <v>#VALUE!</v>
      </c>
      <c r="AJ67" s="434"/>
      <c r="AK67" s="46">
        <f t="shared" si="82"/>
        <v>178</v>
      </c>
      <c r="AL67" s="431">
        <f t="shared" si="83"/>
        <v>6.8965517241379309E-2</v>
      </c>
      <c r="AM67" s="431">
        <f t="shared" ref="AM67" si="150">AL67+AM66</f>
        <v>0.55172413793103448</v>
      </c>
      <c r="AN67" s="434"/>
    </row>
    <row r="68" spans="1:40" x14ac:dyDescent="0.25">
      <c r="A68" s="46" t="str">
        <f t="shared" si="6"/>
        <v/>
      </c>
      <c r="B68" s="431" t="str">
        <f t="shared" si="7"/>
        <v/>
      </c>
      <c r="C68" s="431" t="e">
        <f t="shared" ref="C68" si="151">B68+C66</f>
        <v>#VALUE!</v>
      </c>
      <c r="D68" s="433"/>
      <c r="E68" s="46">
        <f t="shared" si="74"/>
        <v>170</v>
      </c>
      <c r="F68" s="431">
        <f t="shared" si="75"/>
        <v>1.4285714285714285E-2</v>
      </c>
      <c r="G68" s="431">
        <f t="shared" ref="G68" si="152">F68+G66</f>
        <v>0.22857142857142859</v>
      </c>
      <c r="H68" s="434"/>
      <c r="Q68" s="46" t="str">
        <f t="shared" si="9"/>
        <v/>
      </c>
      <c r="R68" s="431" t="str">
        <f t="shared" si="10"/>
        <v/>
      </c>
      <c r="S68" s="431" t="e">
        <f t="shared" ref="S68" si="153">R68+S66</f>
        <v>#VALUE!</v>
      </c>
      <c r="T68" s="434"/>
      <c r="U68" s="46">
        <f t="shared" si="78"/>
        <v>171</v>
      </c>
      <c r="V68" s="431">
        <f t="shared" si="79"/>
        <v>0.12195121951219512</v>
      </c>
      <c r="W68" s="431">
        <f t="shared" ref="W68" si="154">V68+W66</f>
        <v>0.39024390243902435</v>
      </c>
      <c r="X68" s="434"/>
      <c r="AG68" s="46" t="str">
        <f t="shared" si="11"/>
        <v/>
      </c>
      <c r="AH68" s="431" t="str">
        <f t="shared" si="12"/>
        <v/>
      </c>
      <c r="AI68" s="431" t="e">
        <f t="shared" ref="AI68" si="155">AH68+AI66</f>
        <v>#VALUE!</v>
      </c>
      <c r="AJ68" s="434"/>
      <c r="AK68" s="46">
        <f t="shared" si="82"/>
        <v>180</v>
      </c>
      <c r="AL68" s="431">
        <f t="shared" si="83"/>
        <v>6.8965517241379309E-2</v>
      </c>
      <c r="AM68" s="431">
        <f t="shared" ref="AM68" si="156">AL68+AM66</f>
        <v>0.55172413793103448</v>
      </c>
      <c r="AN68" s="434"/>
    </row>
    <row r="69" spans="1:40" x14ac:dyDescent="0.25">
      <c r="A69" s="46" t="str">
        <f t="shared" si="6"/>
        <v/>
      </c>
      <c r="B69" s="431" t="str">
        <f t="shared" si="7"/>
        <v/>
      </c>
      <c r="C69" s="431" t="e">
        <f t="shared" ref="C69" si="157">B69+C68</f>
        <v>#VALUE!</v>
      </c>
      <c r="D69" s="433"/>
      <c r="E69" s="46">
        <f t="shared" si="74"/>
        <v>170</v>
      </c>
      <c r="F69" s="431">
        <f t="shared" si="75"/>
        <v>0.1</v>
      </c>
      <c r="G69" s="431">
        <f t="shared" ref="G69" si="158">F69+G68</f>
        <v>0.32857142857142863</v>
      </c>
      <c r="H69" s="434"/>
      <c r="Q69" s="46" t="str">
        <f t="shared" si="9"/>
        <v/>
      </c>
      <c r="R69" s="431" t="str">
        <f t="shared" si="10"/>
        <v/>
      </c>
      <c r="S69" s="431" t="e">
        <f t="shared" ref="S69" si="159">R69+S68</f>
        <v>#VALUE!</v>
      </c>
      <c r="T69" s="434"/>
      <c r="U69" s="46">
        <f t="shared" si="78"/>
        <v>171</v>
      </c>
      <c r="V69" s="431">
        <f t="shared" si="79"/>
        <v>2.4390243902439025E-2</v>
      </c>
      <c r="W69" s="431">
        <f t="shared" ref="W69" si="160">V69+W68</f>
        <v>0.41463414634146339</v>
      </c>
      <c r="X69" s="434"/>
      <c r="AG69" s="46" t="str">
        <f t="shared" si="11"/>
        <v/>
      </c>
      <c r="AH69" s="431" t="str">
        <f t="shared" si="12"/>
        <v/>
      </c>
      <c r="AI69" s="431" t="e">
        <f t="shared" ref="AI69" si="161">AH69+AI68</f>
        <v>#VALUE!</v>
      </c>
      <c r="AJ69" s="434"/>
      <c r="AK69" s="46">
        <f t="shared" si="82"/>
        <v>180</v>
      </c>
      <c r="AL69" s="431">
        <f t="shared" si="83"/>
        <v>3.4482758620689655E-2</v>
      </c>
      <c r="AM69" s="431">
        <f t="shared" ref="AM69" si="162">AL69+AM68</f>
        <v>0.58620689655172409</v>
      </c>
      <c r="AN69" s="434"/>
    </row>
    <row r="70" spans="1:40" x14ac:dyDescent="0.25">
      <c r="A70" s="46" t="str">
        <f t="shared" si="6"/>
        <v/>
      </c>
      <c r="B70" s="431" t="str">
        <f t="shared" si="7"/>
        <v/>
      </c>
      <c r="C70" s="431" t="e">
        <f t="shared" ref="C70" si="163">B70+C68</f>
        <v>#VALUE!</v>
      </c>
      <c r="D70" s="433"/>
      <c r="E70" s="46">
        <f t="shared" si="74"/>
        <v>171</v>
      </c>
      <c r="F70" s="431">
        <f t="shared" si="75"/>
        <v>0.1</v>
      </c>
      <c r="G70" s="431">
        <f t="shared" ref="G70" si="164">F70+G68</f>
        <v>0.32857142857142863</v>
      </c>
      <c r="H70" s="434"/>
      <c r="Q70" s="46" t="str">
        <f t="shared" si="9"/>
        <v/>
      </c>
      <c r="R70" s="431" t="str">
        <f t="shared" si="10"/>
        <v/>
      </c>
      <c r="S70" s="431" t="e">
        <f t="shared" ref="S70" si="165">R70+S68</f>
        <v>#VALUE!</v>
      </c>
      <c r="T70" s="434"/>
      <c r="U70" s="46">
        <f t="shared" si="78"/>
        <v>172</v>
      </c>
      <c r="V70" s="431">
        <f t="shared" si="79"/>
        <v>2.4390243902439025E-2</v>
      </c>
      <c r="W70" s="431">
        <f t="shared" ref="W70" si="166">V70+W68</f>
        <v>0.41463414634146339</v>
      </c>
      <c r="X70" s="434"/>
      <c r="AG70" s="46" t="str">
        <f t="shared" si="11"/>
        <v/>
      </c>
      <c r="AH70" s="431" t="str">
        <f t="shared" si="12"/>
        <v/>
      </c>
      <c r="AI70" s="431" t="e">
        <f t="shared" ref="AI70" si="167">AH70+AI68</f>
        <v>#VALUE!</v>
      </c>
      <c r="AJ70" s="434"/>
      <c r="AK70" s="46">
        <f t="shared" si="82"/>
        <v>182</v>
      </c>
      <c r="AL70" s="431">
        <f t="shared" si="83"/>
        <v>3.4482758620689655E-2</v>
      </c>
      <c r="AM70" s="431">
        <f t="shared" ref="AM70" si="168">AL70+AM68</f>
        <v>0.58620689655172409</v>
      </c>
      <c r="AN70" s="434"/>
    </row>
    <row r="71" spans="1:40" x14ac:dyDescent="0.25">
      <c r="A71" s="46" t="str">
        <f t="shared" si="6"/>
        <v/>
      </c>
      <c r="B71" s="431" t="str">
        <f t="shared" si="7"/>
        <v/>
      </c>
      <c r="C71" s="431" t="e">
        <f t="shared" ref="C71" si="169">B71+C70</f>
        <v>#VALUE!</v>
      </c>
      <c r="D71" s="433"/>
      <c r="E71" s="46">
        <f t="shared" si="74"/>
        <v>171</v>
      </c>
      <c r="F71" s="431">
        <f t="shared" si="75"/>
        <v>1.4285714285714285E-2</v>
      </c>
      <c r="G71" s="431">
        <f t="shared" ref="G71" si="170">F71+G70</f>
        <v>0.34285714285714292</v>
      </c>
      <c r="H71" s="434"/>
      <c r="Q71" s="46" t="str">
        <f t="shared" si="9"/>
        <v/>
      </c>
      <c r="R71" s="431" t="str">
        <f t="shared" si="10"/>
        <v/>
      </c>
      <c r="S71" s="431" t="e">
        <f t="shared" ref="S71" si="171">R71+S70</f>
        <v>#VALUE!</v>
      </c>
      <c r="T71" s="434"/>
      <c r="U71" s="46">
        <f t="shared" si="78"/>
        <v>172</v>
      </c>
      <c r="V71" s="431">
        <f t="shared" si="79"/>
        <v>2.4390243902439025E-2</v>
      </c>
      <c r="W71" s="431">
        <f t="shared" ref="W71" si="172">V71+W70</f>
        <v>0.43902439024390244</v>
      </c>
      <c r="X71" s="434"/>
      <c r="AG71" s="46" t="str">
        <f t="shared" si="11"/>
        <v/>
      </c>
      <c r="AH71" s="431" t="str">
        <f t="shared" si="12"/>
        <v/>
      </c>
      <c r="AI71" s="431" t="e">
        <f t="shared" ref="AI71" si="173">AH71+AI70</f>
        <v>#VALUE!</v>
      </c>
      <c r="AJ71" s="434"/>
      <c r="AK71" s="46">
        <f t="shared" si="82"/>
        <v>182</v>
      </c>
      <c r="AL71" s="431">
        <f t="shared" si="83"/>
        <v>6.8965517241379309E-2</v>
      </c>
      <c r="AM71" s="431">
        <f t="shared" ref="AM71" si="174">AL71+AM70</f>
        <v>0.65517241379310343</v>
      </c>
      <c r="AN71" s="434"/>
    </row>
    <row r="72" spans="1:40" x14ac:dyDescent="0.25">
      <c r="A72" s="46" t="str">
        <f t="shared" si="6"/>
        <v/>
      </c>
      <c r="B72" s="431" t="str">
        <f t="shared" si="7"/>
        <v/>
      </c>
      <c r="C72" s="431" t="e">
        <f t="shared" ref="C72" si="175">B72+C70</f>
        <v>#VALUE!</v>
      </c>
      <c r="D72" s="433"/>
      <c r="E72" s="46">
        <f t="shared" si="74"/>
        <v>172</v>
      </c>
      <c r="F72" s="431">
        <f t="shared" si="75"/>
        <v>1.4285714285714285E-2</v>
      </c>
      <c r="G72" s="431">
        <f t="shared" ref="G72" si="176">F72+G70</f>
        <v>0.34285714285714292</v>
      </c>
      <c r="H72" s="434"/>
      <c r="Q72" s="46" t="str">
        <f t="shared" si="9"/>
        <v/>
      </c>
      <c r="R72" s="431" t="str">
        <f t="shared" si="10"/>
        <v/>
      </c>
      <c r="S72" s="431" t="e">
        <f t="shared" ref="S72" si="177">R72+S70</f>
        <v>#VALUE!</v>
      </c>
      <c r="T72" s="434"/>
      <c r="U72" s="46">
        <f t="shared" si="78"/>
        <v>173</v>
      </c>
      <c r="V72" s="431">
        <f t="shared" si="79"/>
        <v>2.4390243902439025E-2</v>
      </c>
      <c r="W72" s="431">
        <f t="shared" ref="W72" si="178">V72+W70</f>
        <v>0.43902439024390244</v>
      </c>
      <c r="X72" s="434"/>
      <c r="AG72" s="46" t="str">
        <f t="shared" si="11"/>
        <v/>
      </c>
      <c r="AH72" s="431" t="str">
        <f t="shared" si="12"/>
        <v/>
      </c>
      <c r="AI72" s="431" t="e">
        <f t="shared" ref="AI72" si="179">AH72+AI70</f>
        <v>#VALUE!</v>
      </c>
      <c r="AJ72" s="434"/>
      <c r="AK72" s="46">
        <f t="shared" si="82"/>
        <v>183</v>
      </c>
      <c r="AL72" s="431">
        <f t="shared" si="83"/>
        <v>6.8965517241379309E-2</v>
      </c>
      <c r="AM72" s="431">
        <f t="shared" ref="AM72" si="180">AL72+AM70</f>
        <v>0.65517241379310343</v>
      </c>
      <c r="AN72" s="434"/>
    </row>
    <row r="73" spans="1:40" x14ac:dyDescent="0.25">
      <c r="A73" s="46" t="str">
        <f t="shared" si="6"/>
        <v/>
      </c>
      <c r="B73" s="431" t="str">
        <f t="shared" si="7"/>
        <v/>
      </c>
      <c r="C73" s="431" t="e">
        <f t="shared" ref="C73" si="181">B73+C72</f>
        <v>#VALUE!</v>
      </c>
      <c r="D73" s="433"/>
      <c r="E73" s="46">
        <f t="shared" si="74"/>
        <v>172</v>
      </c>
      <c r="F73" s="431">
        <f t="shared" si="75"/>
        <v>1.4285714285714285E-2</v>
      </c>
      <c r="G73" s="431">
        <f t="shared" ref="G73" si="182">F73+G72</f>
        <v>0.35714285714285721</v>
      </c>
      <c r="H73" s="434"/>
      <c r="Q73" s="46" t="str">
        <f t="shared" si="9"/>
        <v/>
      </c>
      <c r="R73" s="431" t="str">
        <f t="shared" si="10"/>
        <v/>
      </c>
      <c r="S73" s="431" t="e">
        <f t="shared" ref="S73" si="183">R73+S72</f>
        <v>#VALUE!</v>
      </c>
      <c r="T73" s="434"/>
      <c r="U73" s="46">
        <f t="shared" si="78"/>
        <v>173</v>
      </c>
      <c r="V73" s="431">
        <f t="shared" si="79"/>
        <v>2.4390243902439025E-2</v>
      </c>
      <c r="W73" s="431">
        <f t="shared" ref="W73" si="184">V73+W72</f>
        <v>0.46341463414634149</v>
      </c>
      <c r="X73" s="434"/>
      <c r="AG73" s="46" t="str">
        <f t="shared" si="11"/>
        <v/>
      </c>
      <c r="AH73" s="431" t="str">
        <f t="shared" si="12"/>
        <v/>
      </c>
      <c r="AI73" s="431" t="e">
        <f t="shared" ref="AI73" si="185">AH73+AI72</f>
        <v>#VALUE!</v>
      </c>
      <c r="AJ73" s="434"/>
      <c r="AK73" s="46">
        <f t="shared" si="82"/>
        <v>183</v>
      </c>
      <c r="AL73" s="431">
        <f t="shared" si="83"/>
        <v>6.8965517241379309E-2</v>
      </c>
      <c r="AM73" s="431">
        <f t="shared" ref="AM73" si="186">AL73+AM72</f>
        <v>0.72413793103448276</v>
      </c>
      <c r="AN73" s="434"/>
    </row>
    <row r="74" spans="1:40" x14ac:dyDescent="0.25">
      <c r="A74" s="46" t="str">
        <f t="shared" si="6"/>
        <v/>
      </c>
      <c r="B74" s="431" t="str">
        <f t="shared" si="7"/>
        <v/>
      </c>
      <c r="C74" s="431" t="e">
        <f t="shared" ref="C74" si="187">B74+C72</f>
        <v>#VALUE!</v>
      </c>
      <c r="D74" s="433"/>
      <c r="E74" s="46">
        <f t="shared" si="74"/>
        <v>173</v>
      </c>
      <c r="F74" s="431">
        <f t="shared" si="75"/>
        <v>1.4285714285714285E-2</v>
      </c>
      <c r="G74" s="431">
        <f t="shared" ref="G74" si="188">F74+G72</f>
        <v>0.35714285714285721</v>
      </c>
      <c r="H74" s="434"/>
      <c r="Q74" s="46" t="str">
        <f t="shared" si="9"/>
        <v/>
      </c>
      <c r="R74" s="431" t="str">
        <f t="shared" si="10"/>
        <v/>
      </c>
      <c r="S74" s="431" t="e">
        <f t="shared" ref="S74" si="189">R74+S72</f>
        <v>#VALUE!</v>
      </c>
      <c r="T74" s="434"/>
      <c r="U74" s="46">
        <f t="shared" si="78"/>
        <v>174</v>
      </c>
      <c r="V74" s="431">
        <f t="shared" si="79"/>
        <v>2.4390243902439025E-2</v>
      </c>
      <c r="W74" s="431">
        <f t="shared" ref="W74" si="190">V74+W72</f>
        <v>0.46341463414634149</v>
      </c>
      <c r="X74" s="434"/>
      <c r="AG74" s="46" t="str">
        <f t="shared" si="11"/>
        <v/>
      </c>
      <c r="AH74" s="431" t="str">
        <f t="shared" si="12"/>
        <v/>
      </c>
      <c r="AI74" s="431" t="e">
        <f t="shared" ref="AI74" si="191">AH74+AI72</f>
        <v>#VALUE!</v>
      </c>
      <c r="AJ74" s="434"/>
      <c r="AK74" s="46">
        <f t="shared" si="82"/>
        <v>184</v>
      </c>
      <c r="AL74" s="431">
        <f t="shared" si="83"/>
        <v>6.8965517241379309E-2</v>
      </c>
      <c r="AM74" s="431">
        <f t="shared" ref="AM74" si="192">AL74+AM72</f>
        <v>0.72413793103448276</v>
      </c>
      <c r="AN74" s="434"/>
    </row>
    <row r="75" spans="1:40" x14ac:dyDescent="0.25">
      <c r="A75" s="46" t="str">
        <f t="shared" si="6"/>
        <v/>
      </c>
      <c r="B75" s="431" t="str">
        <f t="shared" si="7"/>
        <v/>
      </c>
      <c r="C75" s="431" t="e">
        <f t="shared" ref="C75" si="193">B75+C74</f>
        <v>#VALUE!</v>
      </c>
      <c r="D75" s="433"/>
      <c r="E75" s="46">
        <f t="shared" si="74"/>
        <v>173</v>
      </c>
      <c r="F75" s="431">
        <f t="shared" si="75"/>
        <v>1.4285714285714285E-2</v>
      </c>
      <c r="G75" s="431">
        <f t="shared" ref="G75" si="194">F75+G74</f>
        <v>0.3714285714285715</v>
      </c>
      <c r="H75" s="434"/>
      <c r="Q75" s="46" t="str">
        <f t="shared" si="9"/>
        <v/>
      </c>
      <c r="R75" s="431" t="str">
        <f t="shared" si="10"/>
        <v/>
      </c>
      <c r="S75" s="431" t="e">
        <f t="shared" ref="S75" si="195">R75+S74</f>
        <v>#VALUE!</v>
      </c>
      <c r="T75" s="434"/>
      <c r="U75" s="46">
        <f t="shared" si="78"/>
        <v>174</v>
      </c>
      <c r="V75" s="431">
        <f t="shared" si="79"/>
        <v>4.878048780487805E-2</v>
      </c>
      <c r="W75" s="431">
        <f t="shared" ref="W75" si="196">V75+W74</f>
        <v>0.51219512195121952</v>
      </c>
      <c r="X75" s="434"/>
      <c r="AG75" s="46" t="str">
        <f t="shared" si="11"/>
        <v/>
      </c>
      <c r="AH75" s="431" t="str">
        <f t="shared" si="12"/>
        <v/>
      </c>
      <c r="AI75" s="431" t="e">
        <f t="shared" ref="AI75" si="197">AH75+AI74</f>
        <v>#VALUE!</v>
      </c>
      <c r="AJ75" s="434"/>
      <c r="AK75" s="46">
        <f t="shared" si="82"/>
        <v>184</v>
      </c>
      <c r="AL75" s="431">
        <f t="shared" si="83"/>
        <v>6.8965517241379309E-2</v>
      </c>
      <c r="AM75" s="431">
        <f t="shared" ref="AM75" si="198">AL75+AM74</f>
        <v>0.7931034482758621</v>
      </c>
      <c r="AN75" s="434"/>
    </row>
    <row r="76" spans="1:40" x14ac:dyDescent="0.25">
      <c r="A76" s="46" t="str">
        <f t="shared" si="6"/>
        <v/>
      </c>
      <c r="B76" s="431" t="str">
        <f t="shared" si="7"/>
        <v/>
      </c>
      <c r="C76" s="431" t="e">
        <f t="shared" ref="C76" si="199">B76+C74</f>
        <v>#VALUE!</v>
      </c>
      <c r="D76" s="433"/>
      <c r="E76" s="46">
        <f t="shared" si="74"/>
        <v>174</v>
      </c>
      <c r="F76" s="431">
        <f t="shared" si="75"/>
        <v>1.4285714285714285E-2</v>
      </c>
      <c r="G76" s="431">
        <f t="shared" ref="G76" si="200">F76+G74</f>
        <v>0.3714285714285715</v>
      </c>
      <c r="H76" s="434"/>
      <c r="Q76" s="46" t="str">
        <f t="shared" si="9"/>
        <v/>
      </c>
      <c r="R76" s="431" t="str">
        <f t="shared" si="10"/>
        <v/>
      </c>
      <c r="S76" s="431" t="e">
        <f t="shared" ref="S76" si="201">R76+S74</f>
        <v>#VALUE!</v>
      </c>
      <c r="T76" s="434"/>
      <c r="U76" s="46">
        <f t="shared" si="78"/>
        <v>176</v>
      </c>
      <c r="V76" s="431">
        <f t="shared" si="79"/>
        <v>4.878048780487805E-2</v>
      </c>
      <c r="W76" s="431">
        <f t="shared" ref="W76" si="202">V76+W74</f>
        <v>0.51219512195121952</v>
      </c>
      <c r="X76" s="434"/>
      <c r="AG76" s="46" t="str">
        <f t="shared" si="11"/>
        <v/>
      </c>
      <c r="AH76" s="431" t="str">
        <f t="shared" si="12"/>
        <v/>
      </c>
      <c r="AI76" s="431" t="e">
        <f t="shared" ref="AI76" si="203">AH76+AI74</f>
        <v>#VALUE!</v>
      </c>
      <c r="AJ76" s="434"/>
      <c r="AK76" s="46">
        <f t="shared" si="82"/>
        <v>185</v>
      </c>
      <c r="AL76" s="431">
        <f t="shared" si="83"/>
        <v>6.8965517241379309E-2</v>
      </c>
      <c r="AM76" s="431">
        <f t="shared" ref="AM76" si="204">AL76+AM74</f>
        <v>0.7931034482758621</v>
      </c>
      <c r="AN76" s="434"/>
    </row>
    <row r="77" spans="1:40" x14ac:dyDescent="0.25">
      <c r="A77" s="46" t="str">
        <f t="shared" si="6"/>
        <v/>
      </c>
      <c r="B77" s="431" t="str">
        <f t="shared" si="7"/>
        <v/>
      </c>
      <c r="C77" s="431" t="e">
        <f t="shared" ref="C77" si="205">B77+C76</f>
        <v>#VALUE!</v>
      </c>
      <c r="D77" s="433"/>
      <c r="E77" s="46">
        <f t="shared" si="74"/>
        <v>174</v>
      </c>
      <c r="F77" s="431">
        <f t="shared" si="75"/>
        <v>4.2857142857142858E-2</v>
      </c>
      <c r="G77" s="431">
        <f t="shared" ref="G77" si="206">F77+G76</f>
        <v>0.41428571428571437</v>
      </c>
      <c r="H77" s="434"/>
      <c r="Q77" s="46" t="str">
        <f t="shared" si="9"/>
        <v/>
      </c>
      <c r="R77" s="431" t="str">
        <f t="shared" si="10"/>
        <v/>
      </c>
      <c r="S77" s="431" t="e">
        <f t="shared" ref="S77" si="207">R77+S76</f>
        <v>#VALUE!</v>
      </c>
      <c r="T77" s="434"/>
      <c r="U77" s="46">
        <f t="shared" si="78"/>
        <v>176</v>
      </c>
      <c r="V77" s="431">
        <f t="shared" si="79"/>
        <v>2.4390243902439025E-2</v>
      </c>
      <c r="W77" s="431">
        <f t="shared" ref="W77" si="208">V77+W76</f>
        <v>0.53658536585365857</v>
      </c>
      <c r="X77" s="434"/>
      <c r="AG77" s="46" t="str">
        <f t="shared" si="11"/>
        <v/>
      </c>
      <c r="AH77" s="431" t="str">
        <f t="shared" si="12"/>
        <v/>
      </c>
      <c r="AI77" s="431" t="e">
        <f t="shared" ref="AI77" si="209">AH77+AI76</f>
        <v>#VALUE!</v>
      </c>
      <c r="AJ77" s="434"/>
      <c r="AK77" s="46">
        <f t="shared" si="82"/>
        <v>185</v>
      </c>
      <c r="AL77" s="431">
        <f t="shared" si="83"/>
        <v>0.13793103448275862</v>
      </c>
      <c r="AM77" s="431">
        <f t="shared" ref="AM77" si="210">AL77+AM76</f>
        <v>0.93103448275862077</v>
      </c>
      <c r="AN77" s="434"/>
    </row>
    <row r="78" spans="1:40" x14ac:dyDescent="0.25">
      <c r="A78" s="46" t="str">
        <f t="shared" si="6"/>
        <v/>
      </c>
      <c r="B78" s="431" t="str">
        <f t="shared" si="7"/>
        <v/>
      </c>
      <c r="C78" s="431" t="e">
        <f t="shared" ref="C78" si="211">B78+C76</f>
        <v>#VALUE!</v>
      </c>
      <c r="D78" s="433"/>
      <c r="E78" s="46">
        <f t="shared" si="74"/>
        <v>175</v>
      </c>
      <c r="F78" s="431">
        <f t="shared" si="75"/>
        <v>4.2857142857142858E-2</v>
      </c>
      <c r="G78" s="431">
        <f t="shared" ref="G78" si="212">F78+G76</f>
        <v>0.41428571428571437</v>
      </c>
      <c r="H78" s="434"/>
      <c r="Q78" s="46" t="str">
        <f t="shared" si="9"/>
        <v/>
      </c>
      <c r="R78" s="431" t="str">
        <f t="shared" si="10"/>
        <v/>
      </c>
      <c r="S78" s="431" t="e">
        <f t="shared" ref="S78" si="213">R78+S76</f>
        <v>#VALUE!</v>
      </c>
      <c r="T78" s="434"/>
      <c r="U78" s="46">
        <f t="shared" si="78"/>
        <v>178</v>
      </c>
      <c r="V78" s="431">
        <f t="shared" si="79"/>
        <v>2.4390243902439025E-2</v>
      </c>
      <c r="W78" s="431">
        <f t="shared" ref="W78" si="214">V78+W76</f>
        <v>0.53658536585365857</v>
      </c>
      <c r="X78" s="434"/>
      <c r="AG78" s="46" t="str">
        <f t="shared" si="11"/>
        <v/>
      </c>
      <c r="AH78" s="431" t="str">
        <f t="shared" si="12"/>
        <v/>
      </c>
      <c r="AI78" s="431" t="e">
        <f t="shared" ref="AI78" si="215">AH78+AI76</f>
        <v>#VALUE!</v>
      </c>
      <c r="AJ78" s="434"/>
      <c r="AK78" s="46">
        <f t="shared" si="82"/>
        <v>188</v>
      </c>
      <c r="AL78" s="431">
        <f t="shared" si="83"/>
        <v>0.13793103448275862</v>
      </c>
      <c r="AM78" s="431">
        <f t="shared" ref="AM78" si="216">AL78+AM76</f>
        <v>0.93103448275862077</v>
      </c>
      <c r="AN78" s="434"/>
    </row>
    <row r="79" spans="1:40" x14ac:dyDescent="0.25">
      <c r="A79" s="46" t="str">
        <f t="shared" si="6"/>
        <v/>
      </c>
      <c r="B79" s="431" t="str">
        <f t="shared" si="7"/>
        <v/>
      </c>
      <c r="C79" s="431" t="e">
        <f t="shared" ref="C79" si="217">B79+C78</f>
        <v>#VALUE!</v>
      </c>
      <c r="D79" s="433"/>
      <c r="E79" s="46">
        <f t="shared" si="74"/>
        <v>175</v>
      </c>
      <c r="F79" s="431">
        <f t="shared" si="75"/>
        <v>1.4285714285714285E-2</v>
      </c>
      <c r="G79" s="431">
        <f t="shared" ref="G79" si="218">F79+G78</f>
        <v>0.42857142857142866</v>
      </c>
      <c r="H79" s="434"/>
      <c r="Q79" s="46" t="str">
        <f t="shared" si="9"/>
        <v/>
      </c>
      <c r="R79" s="431" t="str">
        <f t="shared" si="10"/>
        <v/>
      </c>
      <c r="S79" s="431" t="e">
        <f t="shared" ref="S79" si="219">R79+S78</f>
        <v>#VALUE!</v>
      </c>
      <c r="T79" s="434"/>
      <c r="U79" s="46">
        <f t="shared" si="78"/>
        <v>178</v>
      </c>
      <c r="V79" s="431">
        <f t="shared" si="79"/>
        <v>2.4390243902439025E-2</v>
      </c>
      <c r="W79" s="431">
        <f t="shared" ref="W79" si="220">V79+W78</f>
        <v>0.56097560975609762</v>
      </c>
      <c r="X79" s="434"/>
      <c r="AG79" s="46" t="str">
        <f t="shared" si="11"/>
        <v/>
      </c>
      <c r="AH79" s="431" t="str">
        <f t="shared" si="12"/>
        <v/>
      </c>
      <c r="AI79" s="431" t="e">
        <f t="shared" ref="AI79" si="221">AH79+AI78</f>
        <v>#VALUE!</v>
      </c>
      <c r="AJ79" s="434"/>
      <c r="AK79" s="46">
        <f t="shared" si="82"/>
        <v>188</v>
      </c>
      <c r="AL79" s="431">
        <f t="shared" si="83"/>
        <v>3.4482758620689655E-2</v>
      </c>
      <c r="AM79" s="431">
        <f t="shared" ref="AM79" si="222">AL79+AM78</f>
        <v>0.96551724137931039</v>
      </c>
      <c r="AN79" s="434"/>
    </row>
    <row r="80" spans="1:40" x14ac:dyDescent="0.25">
      <c r="A80" s="46" t="str">
        <f t="shared" si="6"/>
        <v/>
      </c>
      <c r="B80" s="431" t="str">
        <f t="shared" si="7"/>
        <v/>
      </c>
      <c r="C80" s="431" t="e">
        <f t="shared" ref="C80" si="223">B80+C78</f>
        <v>#VALUE!</v>
      </c>
      <c r="D80" s="433"/>
      <c r="E80" s="46">
        <f t="shared" si="74"/>
        <v>176</v>
      </c>
      <c r="F80" s="431">
        <f t="shared" si="75"/>
        <v>1.4285714285714285E-2</v>
      </c>
      <c r="G80" s="431">
        <f t="shared" ref="G80" si="224">F80+G78</f>
        <v>0.42857142857142866</v>
      </c>
      <c r="H80" s="434"/>
      <c r="Q80" s="46" t="str">
        <f t="shared" si="9"/>
        <v/>
      </c>
      <c r="R80" s="431" t="str">
        <f t="shared" si="10"/>
        <v/>
      </c>
      <c r="S80" s="431" t="e">
        <f t="shared" ref="S80" si="225">R80+S78</f>
        <v>#VALUE!</v>
      </c>
      <c r="T80" s="434"/>
      <c r="U80" s="46">
        <f t="shared" si="78"/>
        <v>180</v>
      </c>
      <c r="V80" s="431">
        <f t="shared" si="79"/>
        <v>2.4390243902439025E-2</v>
      </c>
      <c r="W80" s="431">
        <f t="shared" ref="W80" si="226">V80+W78</f>
        <v>0.56097560975609762</v>
      </c>
      <c r="X80" s="434"/>
      <c r="AG80" s="46" t="str">
        <f t="shared" si="11"/>
        <v/>
      </c>
      <c r="AH80" s="431" t="str">
        <f t="shared" si="12"/>
        <v/>
      </c>
      <c r="AI80" s="431" t="e">
        <f t="shared" ref="AI80" si="227">AH80+AI78</f>
        <v>#VALUE!</v>
      </c>
      <c r="AJ80" s="434"/>
      <c r="AK80" s="46">
        <f t="shared" si="82"/>
        <v>195</v>
      </c>
      <c r="AL80" s="431">
        <f t="shared" si="83"/>
        <v>3.4482758620689655E-2</v>
      </c>
      <c r="AM80" s="431">
        <f t="shared" ref="AM80" si="228">AL80+AM78</f>
        <v>0.96551724137931039</v>
      </c>
      <c r="AN80" s="434"/>
    </row>
    <row r="81" spans="1:40" x14ac:dyDescent="0.25">
      <c r="A81" s="46" t="str">
        <f t="shared" si="6"/>
        <v/>
      </c>
      <c r="B81" s="431" t="str">
        <f t="shared" si="7"/>
        <v/>
      </c>
      <c r="C81" s="431" t="e">
        <f t="shared" ref="C81" si="229">B81+C80</f>
        <v>#VALUE!</v>
      </c>
      <c r="D81" s="433"/>
      <c r="E81" s="46">
        <f t="shared" si="74"/>
        <v>176</v>
      </c>
      <c r="F81" s="431">
        <f t="shared" si="75"/>
        <v>8.5714285714285715E-2</v>
      </c>
      <c r="G81" s="431">
        <f t="shared" ref="G81" si="230">F81+G80</f>
        <v>0.51428571428571435</v>
      </c>
      <c r="H81" s="434"/>
      <c r="Q81" s="46" t="str">
        <f t="shared" si="9"/>
        <v/>
      </c>
      <c r="R81" s="431" t="str">
        <f t="shared" si="10"/>
        <v/>
      </c>
      <c r="S81" s="431" t="e">
        <f t="shared" ref="S81" si="231">R81+S80</f>
        <v>#VALUE!</v>
      </c>
      <c r="T81" s="434"/>
      <c r="U81" s="46">
        <f t="shared" si="78"/>
        <v>180</v>
      </c>
      <c r="V81" s="431">
        <f t="shared" si="79"/>
        <v>7.3170731707317069E-2</v>
      </c>
      <c r="W81" s="431">
        <f t="shared" ref="W81" si="232">V81+W80</f>
        <v>0.63414634146341464</v>
      </c>
      <c r="X81" s="434"/>
      <c r="AG81" s="46" t="str">
        <f t="shared" si="11"/>
        <v/>
      </c>
      <c r="AH81" s="431" t="str">
        <f t="shared" si="12"/>
        <v/>
      </c>
      <c r="AI81" s="431" t="e">
        <f t="shared" ref="AI81" si="233">AH81+AI80</f>
        <v>#VALUE!</v>
      </c>
      <c r="AJ81" s="434"/>
      <c r="AK81" s="46">
        <f t="shared" si="82"/>
        <v>195</v>
      </c>
      <c r="AL81" s="431">
        <f t="shared" si="83"/>
        <v>3.4482758620689655E-2</v>
      </c>
      <c r="AM81" s="431">
        <f t="shared" ref="AM81" si="234">AL81+AM80</f>
        <v>1</v>
      </c>
      <c r="AN81" s="434"/>
    </row>
    <row r="82" spans="1:40" x14ac:dyDescent="0.25">
      <c r="E82" s="46">
        <f t="shared" si="74"/>
        <v>178</v>
      </c>
      <c r="F82" s="431">
        <f t="shared" si="75"/>
        <v>8.5714285714285715E-2</v>
      </c>
      <c r="G82" s="431">
        <f t="shared" ref="G82" si="235">F82+G80</f>
        <v>0.51428571428571435</v>
      </c>
      <c r="H82" s="434"/>
      <c r="U82" s="46">
        <f t="shared" si="78"/>
        <v>182</v>
      </c>
      <c r="V82" s="431">
        <f t="shared" si="79"/>
        <v>7.3170731707317069E-2</v>
      </c>
      <c r="W82" s="431">
        <f t="shared" ref="W82" si="236">V82+W80</f>
        <v>0.63414634146341464</v>
      </c>
      <c r="X82" s="434"/>
      <c r="AK82" s="46" t="str">
        <f t="shared" si="82"/>
        <v/>
      </c>
      <c r="AL82" s="431">
        <f t="shared" si="83"/>
        <v>3.4482758620689655E-2</v>
      </c>
      <c r="AM82" s="431">
        <f t="shared" ref="AM82" si="237">AL82+AM80</f>
        <v>1</v>
      </c>
      <c r="AN82" s="434"/>
    </row>
    <row r="83" spans="1:40" x14ac:dyDescent="0.25">
      <c r="E83" s="46">
        <f t="shared" si="74"/>
        <v>178</v>
      </c>
      <c r="F83" s="431">
        <f t="shared" si="75"/>
        <v>4.2857142857142858E-2</v>
      </c>
      <c r="G83" s="431">
        <f t="shared" ref="G83" si="238">F83+G82</f>
        <v>0.55714285714285716</v>
      </c>
      <c r="H83" s="434"/>
      <c r="U83" s="46">
        <f t="shared" si="78"/>
        <v>182</v>
      </c>
      <c r="V83" s="431">
        <f t="shared" si="79"/>
        <v>7.3170731707317069E-2</v>
      </c>
      <c r="W83" s="431">
        <f t="shared" ref="W83" si="239">V83+W82</f>
        <v>0.70731707317073167</v>
      </c>
      <c r="X83" s="434"/>
      <c r="AK83" s="46" t="str">
        <f t="shared" si="82"/>
        <v/>
      </c>
      <c r="AL83" s="431" t="str">
        <f t="shared" si="83"/>
        <v/>
      </c>
      <c r="AM83" s="431" t="e">
        <f t="shared" ref="AM83" si="240">AL83+AM82</f>
        <v>#VALUE!</v>
      </c>
      <c r="AN83" s="434"/>
    </row>
    <row r="84" spans="1:40" x14ac:dyDescent="0.25">
      <c r="E84" s="46">
        <f t="shared" si="74"/>
        <v>180</v>
      </c>
      <c r="F84" s="431">
        <f t="shared" si="75"/>
        <v>4.2857142857142858E-2</v>
      </c>
      <c r="G84" s="431">
        <f t="shared" ref="G84" si="241">F84+G82</f>
        <v>0.55714285714285716</v>
      </c>
      <c r="H84" s="434"/>
      <c r="U84" s="46">
        <f t="shared" si="78"/>
        <v>183</v>
      </c>
      <c r="V84" s="431">
        <f t="shared" si="79"/>
        <v>7.3170731707317069E-2</v>
      </c>
      <c r="W84" s="431">
        <f t="shared" ref="W84" si="242">V84+W82</f>
        <v>0.70731707317073167</v>
      </c>
      <c r="X84" s="434"/>
      <c r="AK84" s="46" t="str">
        <f t="shared" si="82"/>
        <v/>
      </c>
      <c r="AL84" s="431" t="str">
        <f t="shared" si="83"/>
        <v/>
      </c>
      <c r="AM84" s="431" t="e">
        <f t="shared" ref="AM84" si="243">AL84+AM82</f>
        <v>#VALUE!</v>
      </c>
      <c r="AN84" s="434"/>
    </row>
    <row r="85" spans="1:40" x14ac:dyDescent="0.25">
      <c r="E85" s="46">
        <f t="shared" si="74"/>
        <v>180</v>
      </c>
      <c r="F85" s="431">
        <f t="shared" si="75"/>
        <v>5.7142857142857141E-2</v>
      </c>
      <c r="G85" s="431">
        <f t="shared" ref="G85" si="244">F85+G84</f>
        <v>0.61428571428571432</v>
      </c>
      <c r="H85" s="434"/>
      <c r="U85" s="46">
        <f t="shared" si="78"/>
        <v>183</v>
      </c>
      <c r="V85" s="431">
        <f t="shared" si="79"/>
        <v>4.878048780487805E-2</v>
      </c>
      <c r="W85" s="431">
        <f t="shared" ref="W85" si="245">V85+W84</f>
        <v>0.75609756097560976</v>
      </c>
      <c r="X85" s="434"/>
      <c r="AK85" s="46" t="str">
        <f t="shared" si="82"/>
        <v/>
      </c>
      <c r="AL85" s="431" t="str">
        <f t="shared" si="83"/>
        <v/>
      </c>
      <c r="AM85" s="431" t="e">
        <f t="shared" ref="AM85" si="246">AL85+AM84</f>
        <v>#VALUE!</v>
      </c>
      <c r="AN85" s="434"/>
    </row>
    <row r="86" spans="1:40" x14ac:dyDescent="0.25">
      <c r="E86" s="46">
        <f t="shared" si="74"/>
        <v>182</v>
      </c>
      <c r="F86" s="431">
        <f t="shared" si="75"/>
        <v>5.7142857142857141E-2</v>
      </c>
      <c r="G86" s="431">
        <f t="shared" ref="G86" si="247">F86+G84</f>
        <v>0.61428571428571432</v>
      </c>
      <c r="H86" s="434"/>
      <c r="U86" s="46">
        <f t="shared" si="78"/>
        <v>184</v>
      </c>
      <c r="V86" s="431">
        <f t="shared" si="79"/>
        <v>4.878048780487805E-2</v>
      </c>
      <c r="W86" s="431">
        <f t="shared" ref="W86" si="248">V86+W84</f>
        <v>0.75609756097560976</v>
      </c>
      <c r="X86" s="434"/>
      <c r="AK86" s="46" t="str">
        <f t="shared" si="82"/>
        <v/>
      </c>
      <c r="AL86" s="431" t="str">
        <f t="shared" si="83"/>
        <v/>
      </c>
      <c r="AM86" s="431" t="e">
        <f t="shared" ref="AM86" si="249">AL86+AM84</f>
        <v>#VALUE!</v>
      </c>
      <c r="AN86" s="434"/>
    </row>
    <row r="87" spans="1:40" x14ac:dyDescent="0.25">
      <c r="E87" s="46">
        <f t="shared" si="74"/>
        <v>182</v>
      </c>
      <c r="F87" s="431">
        <f t="shared" si="75"/>
        <v>7.1428571428571425E-2</v>
      </c>
      <c r="G87" s="431">
        <f t="shared" ref="G87" si="250">F87+G86</f>
        <v>0.68571428571428572</v>
      </c>
      <c r="H87" s="434"/>
      <c r="U87" s="46">
        <f t="shared" si="78"/>
        <v>184</v>
      </c>
      <c r="V87" s="431">
        <f t="shared" si="79"/>
        <v>2.4390243902439025E-2</v>
      </c>
      <c r="W87" s="431">
        <f t="shared" ref="W87" si="251">V87+W86</f>
        <v>0.78048780487804881</v>
      </c>
      <c r="X87" s="434"/>
      <c r="AK87" s="46" t="str">
        <f t="shared" si="82"/>
        <v/>
      </c>
      <c r="AL87" s="431" t="str">
        <f t="shared" si="83"/>
        <v/>
      </c>
      <c r="AM87" s="431" t="e">
        <f t="shared" ref="AM87" si="252">AL87+AM86</f>
        <v>#VALUE!</v>
      </c>
      <c r="AN87" s="434"/>
    </row>
    <row r="88" spans="1:40" x14ac:dyDescent="0.25">
      <c r="E88" s="46">
        <f t="shared" si="74"/>
        <v>183</v>
      </c>
      <c r="F88" s="431">
        <f t="shared" si="75"/>
        <v>7.1428571428571425E-2</v>
      </c>
      <c r="G88" s="431">
        <f t="shared" ref="G88" si="253">F88+G86</f>
        <v>0.68571428571428572</v>
      </c>
      <c r="H88" s="434"/>
      <c r="U88" s="46">
        <f t="shared" si="78"/>
        <v>185</v>
      </c>
      <c r="V88" s="431">
        <f t="shared" si="79"/>
        <v>2.4390243902439025E-2</v>
      </c>
      <c r="W88" s="431">
        <f t="shared" ref="W88" si="254">V88+W86</f>
        <v>0.78048780487804881</v>
      </c>
      <c r="X88" s="434"/>
      <c r="AK88" s="46" t="str">
        <f t="shared" si="82"/>
        <v/>
      </c>
      <c r="AL88" s="431" t="str">
        <f t="shared" si="83"/>
        <v/>
      </c>
      <c r="AM88" s="431" t="e">
        <f t="shared" ref="AM88" si="255">AL88+AM86</f>
        <v>#VALUE!</v>
      </c>
      <c r="AN88" s="434"/>
    </row>
    <row r="89" spans="1:40" x14ac:dyDescent="0.25">
      <c r="E89" s="46">
        <f t="shared" si="74"/>
        <v>183</v>
      </c>
      <c r="F89" s="431">
        <f t="shared" si="75"/>
        <v>5.7142857142857141E-2</v>
      </c>
      <c r="G89" s="431">
        <f t="shared" ref="G89" si="256">F89+G88</f>
        <v>0.74285714285714288</v>
      </c>
      <c r="H89" s="434"/>
      <c r="U89" s="46">
        <f t="shared" si="78"/>
        <v>185</v>
      </c>
      <c r="V89" s="431">
        <f t="shared" si="79"/>
        <v>7.3170731707317069E-2</v>
      </c>
      <c r="W89" s="431">
        <f t="shared" ref="W89" si="257">V89+W88</f>
        <v>0.85365853658536583</v>
      </c>
      <c r="X89" s="434"/>
      <c r="AK89" s="46" t="str">
        <f t="shared" si="82"/>
        <v/>
      </c>
      <c r="AL89" s="431" t="str">
        <f t="shared" si="83"/>
        <v/>
      </c>
      <c r="AM89" s="431" t="e">
        <f t="shared" ref="AM89" si="258">AL89+AM88</f>
        <v>#VALUE!</v>
      </c>
      <c r="AN89" s="434"/>
    </row>
    <row r="90" spans="1:40" x14ac:dyDescent="0.25">
      <c r="E90" s="46">
        <f t="shared" si="74"/>
        <v>184</v>
      </c>
      <c r="F90" s="431">
        <f t="shared" si="75"/>
        <v>5.7142857142857141E-2</v>
      </c>
      <c r="G90" s="431">
        <f t="shared" ref="G90" si="259">F90+G88</f>
        <v>0.74285714285714288</v>
      </c>
      <c r="H90" s="434"/>
      <c r="U90" s="46">
        <f t="shared" si="78"/>
        <v>187</v>
      </c>
      <c r="V90" s="431">
        <f t="shared" si="79"/>
        <v>7.3170731707317069E-2</v>
      </c>
      <c r="W90" s="431">
        <f t="shared" ref="W90" si="260">V90+W88</f>
        <v>0.85365853658536583</v>
      </c>
      <c r="X90" s="434"/>
      <c r="AK90" s="46" t="str">
        <f t="shared" si="82"/>
        <v/>
      </c>
      <c r="AL90" s="431" t="str">
        <f t="shared" si="83"/>
        <v/>
      </c>
      <c r="AM90" s="431" t="e">
        <f t="shared" ref="AM90" si="261">AL90+AM88</f>
        <v>#VALUE!</v>
      </c>
      <c r="AN90" s="434"/>
    </row>
    <row r="91" spans="1:40" x14ac:dyDescent="0.25">
      <c r="E91" s="46">
        <f t="shared" si="74"/>
        <v>184</v>
      </c>
      <c r="F91" s="431">
        <f t="shared" si="75"/>
        <v>4.2857142857142858E-2</v>
      </c>
      <c r="G91" s="431">
        <f t="shared" ref="G91" si="262">F91+G90</f>
        <v>0.7857142857142857</v>
      </c>
      <c r="H91" s="434"/>
      <c r="U91" s="46">
        <f t="shared" si="78"/>
        <v>187</v>
      </c>
      <c r="V91" s="431">
        <f t="shared" si="79"/>
        <v>4.878048780487805E-2</v>
      </c>
      <c r="W91" s="431">
        <f t="shared" ref="W91" si="263">V91+W90</f>
        <v>0.90243902439024393</v>
      </c>
      <c r="X91" s="434"/>
      <c r="AK91" s="46" t="str">
        <f t="shared" si="82"/>
        <v/>
      </c>
      <c r="AL91" s="431" t="str">
        <f t="shared" si="83"/>
        <v/>
      </c>
      <c r="AM91" s="431" t="e">
        <f t="shared" ref="AM91" si="264">AL91+AM90</f>
        <v>#VALUE!</v>
      </c>
      <c r="AN91" s="434"/>
    </row>
    <row r="92" spans="1:40" x14ac:dyDescent="0.25">
      <c r="E92" s="46">
        <f t="shared" si="74"/>
        <v>185</v>
      </c>
      <c r="F92" s="431">
        <f t="shared" si="75"/>
        <v>4.2857142857142858E-2</v>
      </c>
      <c r="G92" s="431">
        <f t="shared" ref="G92" si="265">F92+G90</f>
        <v>0.7857142857142857</v>
      </c>
      <c r="H92" s="434"/>
      <c r="U92" s="46">
        <f t="shared" si="78"/>
        <v>189</v>
      </c>
      <c r="V92" s="431">
        <f t="shared" si="79"/>
        <v>4.878048780487805E-2</v>
      </c>
      <c r="W92" s="431">
        <f t="shared" ref="W92" si="266">V92+W90</f>
        <v>0.90243902439024393</v>
      </c>
      <c r="X92" s="434"/>
      <c r="AK92" s="46" t="str">
        <f t="shared" si="82"/>
        <v/>
      </c>
      <c r="AL92" s="431" t="str">
        <f t="shared" si="83"/>
        <v/>
      </c>
      <c r="AM92" s="431" t="e">
        <f t="shared" ref="AM92" si="267">AL92+AM90</f>
        <v>#VALUE!</v>
      </c>
      <c r="AN92" s="434"/>
    </row>
    <row r="93" spans="1:40" x14ac:dyDescent="0.25">
      <c r="E93" s="46">
        <f t="shared" si="74"/>
        <v>185</v>
      </c>
      <c r="F93" s="431">
        <f t="shared" si="75"/>
        <v>0.1</v>
      </c>
      <c r="G93" s="431">
        <f t="shared" ref="G93" si="268">F93+G92</f>
        <v>0.88571428571428568</v>
      </c>
      <c r="H93" s="434"/>
      <c r="U93" s="46">
        <f t="shared" si="78"/>
        <v>189</v>
      </c>
      <c r="V93" s="431">
        <f t="shared" si="79"/>
        <v>2.4390243902439025E-2</v>
      </c>
      <c r="W93" s="431">
        <f t="shared" ref="W93" si="269">V93+W92</f>
        <v>0.92682926829268297</v>
      </c>
      <c r="X93" s="434"/>
      <c r="AK93" s="46" t="str">
        <f t="shared" si="82"/>
        <v/>
      </c>
      <c r="AL93" s="431" t="str">
        <f t="shared" si="83"/>
        <v/>
      </c>
      <c r="AM93" s="431" t="e">
        <f t="shared" ref="AM93" si="270">AL93+AM92</f>
        <v>#VALUE!</v>
      </c>
      <c r="AN93" s="434"/>
    </row>
    <row r="94" spans="1:40" x14ac:dyDescent="0.25">
      <c r="E94" s="46">
        <f t="shared" si="74"/>
        <v>187</v>
      </c>
      <c r="F94" s="431">
        <f t="shared" si="75"/>
        <v>0.1</v>
      </c>
      <c r="G94" s="431">
        <f t="shared" ref="G94" si="271">F94+G92</f>
        <v>0.88571428571428568</v>
      </c>
      <c r="H94" s="434"/>
      <c r="U94" s="46">
        <f t="shared" si="78"/>
        <v>190</v>
      </c>
      <c r="V94" s="431">
        <f t="shared" si="79"/>
        <v>2.4390243902439025E-2</v>
      </c>
      <c r="W94" s="431">
        <f t="shared" ref="W94" si="272">V94+W92</f>
        <v>0.92682926829268297</v>
      </c>
      <c r="X94" s="434"/>
      <c r="AK94" s="46" t="str">
        <f t="shared" si="82"/>
        <v/>
      </c>
      <c r="AL94" s="431" t="str">
        <f t="shared" si="83"/>
        <v/>
      </c>
      <c r="AM94" s="431" t="e">
        <f t="shared" ref="AM94" si="273">AL94+AM92</f>
        <v>#VALUE!</v>
      </c>
      <c r="AN94" s="434"/>
    </row>
    <row r="95" spans="1:40" x14ac:dyDescent="0.25">
      <c r="E95" s="46">
        <f t="shared" si="74"/>
        <v>187</v>
      </c>
      <c r="F95" s="431">
        <f t="shared" si="75"/>
        <v>2.8571428571428571E-2</v>
      </c>
      <c r="G95" s="431">
        <f t="shared" ref="G95" si="274">F95+G94</f>
        <v>0.91428571428571426</v>
      </c>
      <c r="H95" s="434"/>
      <c r="U95" s="46">
        <f t="shared" si="78"/>
        <v>190</v>
      </c>
      <c r="V95" s="431">
        <f t="shared" si="79"/>
        <v>2.4390243902439025E-2</v>
      </c>
      <c r="W95" s="431">
        <f t="shared" ref="W95" si="275">V95+W94</f>
        <v>0.95121951219512202</v>
      </c>
      <c r="X95" s="434"/>
      <c r="AK95" s="46" t="str">
        <f t="shared" si="82"/>
        <v/>
      </c>
      <c r="AL95" s="431" t="str">
        <f t="shared" si="83"/>
        <v/>
      </c>
      <c r="AM95" s="431" t="e">
        <f t="shared" ref="AM95" si="276">AL95+AM94</f>
        <v>#VALUE!</v>
      </c>
      <c r="AN95" s="434"/>
    </row>
    <row r="96" spans="1:40" x14ac:dyDescent="0.25">
      <c r="E96" s="46">
        <f t="shared" si="74"/>
        <v>188</v>
      </c>
      <c r="F96" s="431">
        <f t="shared" si="75"/>
        <v>2.8571428571428571E-2</v>
      </c>
      <c r="G96" s="431">
        <f t="shared" ref="G96" si="277">F96+G94</f>
        <v>0.91428571428571426</v>
      </c>
      <c r="H96" s="434"/>
      <c r="U96" s="46">
        <f t="shared" si="78"/>
        <v>193</v>
      </c>
      <c r="V96" s="431">
        <f t="shared" si="79"/>
        <v>2.4390243902439025E-2</v>
      </c>
      <c r="W96" s="431">
        <f t="shared" ref="W96" si="278">V96+W94</f>
        <v>0.95121951219512202</v>
      </c>
      <c r="X96" s="434"/>
      <c r="AK96" s="46" t="str">
        <f t="shared" si="82"/>
        <v/>
      </c>
      <c r="AL96" s="431" t="str">
        <f t="shared" si="83"/>
        <v/>
      </c>
      <c r="AM96" s="431" t="e">
        <f t="shared" ref="AM96" si="279">AL96+AM94</f>
        <v>#VALUE!</v>
      </c>
      <c r="AN96" s="434"/>
    </row>
    <row r="97" spans="5:40" x14ac:dyDescent="0.25">
      <c r="E97" s="46">
        <f t="shared" si="74"/>
        <v>188</v>
      </c>
      <c r="F97" s="431">
        <f t="shared" si="75"/>
        <v>1.4285714285714285E-2</v>
      </c>
      <c r="G97" s="431">
        <f t="shared" ref="G97" si="280">F97+G96</f>
        <v>0.92857142857142849</v>
      </c>
      <c r="H97" s="434"/>
      <c r="U97" s="46">
        <f t="shared" si="78"/>
        <v>193</v>
      </c>
      <c r="V97" s="431">
        <f t="shared" si="79"/>
        <v>4.878048780487805E-2</v>
      </c>
      <c r="W97" s="431">
        <f t="shared" ref="W97" si="281">V97+W96</f>
        <v>1</v>
      </c>
      <c r="X97" s="434"/>
      <c r="AK97" s="46" t="str">
        <f t="shared" si="82"/>
        <v/>
      </c>
      <c r="AL97" s="431" t="str">
        <f t="shared" si="83"/>
        <v/>
      </c>
      <c r="AM97" s="431" t="e">
        <f t="shared" ref="AM97" si="282">AL97+AM96</f>
        <v>#VALUE!</v>
      </c>
      <c r="AN97" s="434"/>
    </row>
    <row r="98" spans="5:40" x14ac:dyDescent="0.25">
      <c r="E98" s="46">
        <f t="shared" si="74"/>
        <v>189</v>
      </c>
      <c r="F98" s="431">
        <f t="shared" si="75"/>
        <v>1.4285714285714285E-2</v>
      </c>
      <c r="G98" s="431">
        <f t="shared" ref="G98" si="283">F98+G96</f>
        <v>0.92857142857142849</v>
      </c>
      <c r="H98" s="434"/>
      <c r="U98" s="46" t="str">
        <f t="shared" si="78"/>
        <v/>
      </c>
      <c r="V98" s="431">
        <f t="shared" si="79"/>
        <v>4.878048780487805E-2</v>
      </c>
      <c r="W98" s="431">
        <f t="shared" ref="W98" si="284">V98+W96</f>
        <v>1</v>
      </c>
      <c r="X98" s="434"/>
      <c r="AK98" s="46" t="str">
        <f t="shared" si="82"/>
        <v/>
      </c>
      <c r="AL98" s="431" t="str">
        <f t="shared" si="83"/>
        <v/>
      </c>
      <c r="AM98" s="431" t="e">
        <f t="shared" ref="AM98" si="285">AL98+AM96</f>
        <v>#VALUE!</v>
      </c>
      <c r="AN98" s="434"/>
    </row>
    <row r="99" spans="5:40" x14ac:dyDescent="0.25">
      <c r="E99" s="46">
        <f t="shared" si="74"/>
        <v>189</v>
      </c>
      <c r="F99" s="431">
        <f t="shared" si="75"/>
        <v>1.4285714285714285E-2</v>
      </c>
      <c r="G99" s="431">
        <f t="shared" ref="G99" si="286">F99+G98</f>
        <v>0.94285714285714273</v>
      </c>
      <c r="H99" s="434"/>
      <c r="U99" s="46" t="str">
        <f t="shared" si="78"/>
        <v/>
      </c>
      <c r="V99" s="431" t="str">
        <f t="shared" si="79"/>
        <v/>
      </c>
      <c r="W99" s="431" t="e">
        <f t="shared" ref="W99" si="287">V99+W98</f>
        <v>#VALUE!</v>
      </c>
      <c r="X99" s="434"/>
      <c r="AK99" s="46" t="str">
        <f t="shared" si="82"/>
        <v/>
      </c>
      <c r="AL99" s="431" t="str">
        <f t="shared" si="83"/>
        <v/>
      </c>
      <c r="AM99" s="431" t="e">
        <f t="shared" ref="AM99" si="288">AL99+AM98</f>
        <v>#VALUE!</v>
      </c>
      <c r="AN99" s="434"/>
    </row>
    <row r="100" spans="5:40" x14ac:dyDescent="0.25">
      <c r="E100" s="46">
        <f t="shared" si="74"/>
        <v>190</v>
      </c>
      <c r="F100" s="431">
        <f t="shared" si="75"/>
        <v>1.4285714285714285E-2</v>
      </c>
      <c r="G100" s="431">
        <f t="shared" ref="G100" si="289">F100+G98</f>
        <v>0.94285714285714273</v>
      </c>
      <c r="H100" s="434"/>
      <c r="U100" s="46" t="str">
        <f t="shared" si="78"/>
        <v/>
      </c>
      <c r="V100" s="431" t="str">
        <f t="shared" si="79"/>
        <v/>
      </c>
      <c r="W100" s="431" t="e">
        <f t="shared" ref="W100" si="290">V100+W98</f>
        <v>#VALUE!</v>
      </c>
      <c r="X100" s="434"/>
      <c r="AK100" s="46" t="str">
        <f t="shared" si="82"/>
        <v/>
      </c>
      <c r="AL100" s="431" t="str">
        <f t="shared" si="83"/>
        <v/>
      </c>
      <c r="AM100" s="431" t="e">
        <f t="shared" ref="AM100" si="291">AL100+AM98</f>
        <v>#VALUE!</v>
      </c>
      <c r="AN100" s="434"/>
    </row>
    <row r="101" spans="5:40" x14ac:dyDescent="0.25">
      <c r="E101" s="46">
        <f t="shared" si="74"/>
        <v>190</v>
      </c>
      <c r="F101" s="431">
        <f t="shared" si="75"/>
        <v>1.4285714285714285E-2</v>
      </c>
      <c r="G101" s="431">
        <f t="shared" ref="G101" si="292">F101+G100</f>
        <v>0.95714285714285696</v>
      </c>
      <c r="H101" s="434"/>
      <c r="U101" s="46" t="str">
        <f t="shared" si="78"/>
        <v/>
      </c>
      <c r="V101" s="431" t="str">
        <f t="shared" si="79"/>
        <v/>
      </c>
      <c r="W101" s="431" t="e">
        <f t="shared" ref="W101" si="293">V101+W100</f>
        <v>#VALUE!</v>
      </c>
      <c r="X101" s="434"/>
      <c r="AK101" s="46" t="str">
        <f t="shared" si="82"/>
        <v/>
      </c>
      <c r="AL101" s="431" t="str">
        <f t="shared" si="83"/>
        <v/>
      </c>
      <c r="AM101" s="431" t="e">
        <f t="shared" ref="AM101" si="294">AL101+AM100</f>
        <v>#VALUE!</v>
      </c>
      <c r="AN101" s="434"/>
    </row>
    <row r="102" spans="5:40" x14ac:dyDescent="0.25">
      <c r="E102" s="46">
        <f t="shared" si="74"/>
        <v>193</v>
      </c>
      <c r="F102" s="431">
        <f t="shared" si="75"/>
        <v>1.4285714285714285E-2</v>
      </c>
      <c r="G102" s="431">
        <f t="shared" ref="G102" si="295">F102+G100</f>
        <v>0.95714285714285696</v>
      </c>
      <c r="H102" s="434"/>
      <c r="U102" s="46" t="str">
        <f t="shared" si="78"/>
        <v/>
      </c>
      <c r="V102" s="431" t="str">
        <f t="shared" si="79"/>
        <v/>
      </c>
      <c r="W102" s="431" t="e">
        <f t="shared" ref="W102" si="296">V102+W100</f>
        <v>#VALUE!</v>
      </c>
      <c r="X102" s="434"/>
      <c r="AK102" s="46" t="str">
        <f t="shared" si="82"/>
        <v/>
      </c>
      <c r="AL102" s="431" t="str">
        <f t="shared" si="83"/>
        <v/>
      </c>
      <c r="AM102" s="431" t="e">
        <f t="shared" ref="AM102" si="297">AL102+AM100</f>
        <v>#VALUE!</v>
      </c>
      <c r="AN102" s="434"/>
    </row>
    <row r="103" spans="5:40" x14ac:dyDescent="0.25">
      <c r="E103" s="46">
        <f t="shared" si="74"/>
        <v>193</v>
      </c>
      <c r="F103" s="431">
        <f t="shared" si="75"/>
        <v>2.8571428571428571E-2</v>
      </c>
      <c r="G103" s="431">
        <f t="shared" ref="G103" si="298">F103+G102</f>
        <v>0.98571428571428554</v>
      </c>
      <c r="H103" s="434"/>
      <c r="U103" s="46" t="str">
        <f t="shared" si="78"/>
        <v/>
      </c>
      <c r="V103" s="431" t="str">
        <f t="shared" si="79"/>
        <v/>
      </c>
      <c r="W103" s="431" t="e">
        <f t="shared" ref="W103" si="299">V103+W102</f>
        <v>#VALUE!</v>
      </c>
      <c r="X103" s="434"/>
      <c r="AK103" s="46" t="str">
        <f t="shared" si="82"/>
        <v/>
      </c>
      <c r="AL103" s="431" t="str">
        <f t="shared" si="83"/>
        <v/>
      </c>
      <c r="AM103" s="431" t="e">
        <f t="shared" ref="AM103" si="300">AL103+AM102</f>
        <v>#VALUE!</v>
      </c>
      <c r="AN103" s="434"/>
    </row>
    <row r="104" spans="5:40" x14ac:dyDescent="0.25">
      <c r="E104" s="46">
        <f t="shared" si="74"/>
        <v>195</v>
      </c>
      <c r="F104" s="431">
        <f t="shared" si="75"/>
        <v>2.8571428571428571E-2</v>
      </c>
      <c r="G104" s="431">
        <f t="shared" ref="G104" si="301">F104+G102</f>
        <v>0.98571428571428554</v>
      </c>
      <c r="H104" s="434"/>
      <c r="U104" s="46" t="str">
        <f t="shared" si="78"/>
        <v/>
      </c>
      <c r="V104" s="431" t="str">
        <f t="shared" si="79"/>
        <v/>
      </c>
      <c r="W104" s="431" t="e">
        <f t="shared" ref="W104" si="302">V104+W102</f>
        <v>#VALUE!</v>
      </c>
      <c r="X104" s="434"/>
      <c r="AK104" s="46" t="str">
        <f t="shared" si="82"/>
        <v/>
      </c>
      <c r="AL104" s="431" t="str">
        <f t="shared" si="83"/>
        <v/>
      </c>
      <c r="AM104" s="431" t="e">
        <f t="shared" ref="AM104" si="303">AL104+AM102</f>
        <v>#VALUE!</v>
      </c>
      <c r="AN104" s="434"/>
    </row>
    <row r="105" spans="5:40" x14ac:dyDescent="0.25">
      <c r="E105" s="46">
        <f t="shared" si="74"/>
        <v>195</v>
      </c>
      <c r="F105" s="431">
        <f t="shared" si="75"/>
        <v>1.4285714285714285E-2</v>
      </c>
      <c r="G105" s="431">
        <f t="shared" ref="G105" si="304">F105+G104</f>
        <v>0.99999999999999978</v>
      </c>
      <c r="H105" s="434"/>
      <c r="U105" s="46" t="str">
        <f t="shared" si="78"/>
        <v/>
      </c>
      <c r="V105" s="431" t="str">
        <f t="shared" si="79"/>
        <v/>
      </c>
      <c r="W105" s="431" t="e">
        <f t="shared" ref="W105" si="305">V105+W104</f>
        <v>#VALUE!</v>
      </c>
      <c r="X105" s="434"/>
      <c r="AK105" s="46" t="str">
        <f t="shared" si="82"/>
        <v/>
      </c>
      <c r="AL105" s="431" t="str">
        <f t="shared" si="83"/>
        <v/>
      </c>
      <c r="AM105" s="431" t="e">
        <f t="shared" ref="AM105" si="306">AL105+AM104</f>
        <v>#VALUE!</v>
      </c>
      <c r="AN105" s="434"/>
    </row>
    <row r="106" spans="5:40" x14ac:dyDescent="0.25">
      <c r="E106" s="46" t="str">
        <f t="shared" si="74"/>
        <v/>
      </c>
      <c r="F106" s="431">
        <f t="shared" si="75"/>
        <v>1.4285714285714285E-2</v>
      </c>
      <c r="G106" s="431">
        <f t="shared" ref="G106" si="307">F106+G104</f>
        <v>0.99999999999999978</v>
      </c>
      <c r="H106" s="434"/>
      <c r="U106" s="46" t="str">
        <f t="shared" si="78"/>
        <v/>
      </c>
      <c r="V106" s="431" t="str">
        <f t="shared" si="79"/>
        <v/>
      </c>
      <c r="W106" s="431" t="e">
        <f t="shared" ref="W106" si="308">V106+W104</f>
        <v>#VALUE!</v>
      </c>
      <c r="X106" s="434"/>
      <c r="AK106" s="46" t="str">
        <f t="shared" si="82"/>
        <v/>
      </c>
      <c r="AL106" s="431" t="str">
        <f t="shared" si="83"/>
        <v/>
      </c>
      <c r="AM106" s="431" t="e">
        <f t="shared" ref="AM106" si="309">AL106+AM104</f>
        <v>#VALUE!</v>
      </c>
      <c r="AN106" s="434"/>
    </row>
    <row r="107" spans="5:40" x14ac:dyDescent="0.25">
      <c r="E107" s="46" t="str">
        <f t="shared" si="74"/>
        <v/>
      </c>
      <c r="F107" s="431" t="str">
        <f t="shared" si="75"/>
        <v/>
      </c>
      <c r="G107" s="431" t="e">
        <f t="shared" ref="G107" si="310">F107+G106</f>
        <v>#VALUE!</v>
      </c>
      <c r="H107" s="434"/>
      <c r="U107" s="46" t="str">
        <f t="shared" si="78"/>
        <v/>
      </c>
      <c r="V107" s="431" t="str">
        <f t="shared" si="79"/>
        <v/>
      </c>
      <c r="W107" s="431" t="e">
        <f t="shared" ref="W107" si="311">V107+W106</f>
        <v>#VALUE!</v>
      </c>
      <c r="X107" s="434"/>
      <c r="AK107" s="46" t="str">
        <f t="shared" si="82"/>
        <v/>
      </c>
      <c r="AL107" s="431" t="str">
        <f t="shared" si="83"/>
        <v/>
      </c>
      <c r="AM107" s="431" t="e">
        <f t="shared" ref="AM107" si="312">AL107+AM106</f>
        <v>#VALUE!</v>
      </c>
      <c r="AN107" s="434"/>
    </row>
    <row r="108" spans="5:40" x14ac:dyDescent="0.25">
      <c r="E108" s="46" t="str">
        <f t="shared" si="74"/>
        <v/>
      </c>
      <c r="F108" s="431" t="str">
        <f t="shared" si="75"/>
        <v/>
      </c>
      <c r="G108" s="431" t="e">
        <f t="shared" ref="G108" si="313">F108+G106</f>
        <v>#VALUE!</v>
      </c>
      <c r="H108" s="434"/>
      <c r="U108" s="46" t="str">
        <f t="shared" si="78"/>
        <v/>
      </c>
      <c r="V108" s="431" t="str">
        <f t="shared" si="79"/>
        <v/>
      </c>
      <c r="W108" s="431" t="e">
        <f t="shared" ref="W108" si="314">V108+W106</f>
        <v>#VALUE!</v>
      </c>
      <c r="X108" s="434"/>
      <c r="AK108" s="46" t="str">
        <f t="shared" si="82"/>
        <v/>
      </c>
      <c r="AL108" s="431" t="str">
        <f t="shared" si="83"/>
        <v/>
      </c>
      <c r="AM108" s="431" t="e">
        <f t="shared" ref="AM108" si="315">AL108+AM106</f>
        <v>#VALUE!</v>
      </c>
      <c r="AN108" s="434"/>
    </row>
    <row r="109" spans="5:40" x14ac:dyDescent="0.25">
      <c r="E109" s="46" t="str">
        <f t="shared" si="74"/>
        <v/>
      </c>
      <c r="F109" s="431" t="str">
        <f t="shared" si="75"/>
        <v/>
      </c>
      <c r="G109" s="431" t="e">
        <f t="shared" ref="G109" si="316">F109+G108</f>
        <v>#VALUE!</v>
      </c>
      <c r="H109" s="434"/>
      <c r="U109" s="46" t="str">
        <f t="shared" si="78"/>
        <v/>
      </c>
      <c r="V109" s="431" t="str">
        <f t="shared" si="79"/>
        <v/>
      </c>
      <c r="W109" s="431" t="e">
        <f t="shared" ref="W109" si="317">V109+W108</f>
        <v>#VALUE!</v>
      </c>
      <c r="X109" s="434"/>
      <c r="AK109" s="46" t="str">
        <f t="shared" si="82"/>
        <v/>
      </c>
      <c r="AL109" s="431" t="str">
        <f t="shared" si="83"/>
        <v/>
      </c>
      <c r="AM109" s="431" t="e">
        <f t="shared" ref="AM109" si="318">AL109+AM108</f>
        <v>#VALUE!</v>
      </c>
      <c r="AN109" s="434"/>
    </row>
    <row r="110" spans="5:40" x14ac:dyDescent="0.25">
      <c r="E110" s="46" t="str">
        <f t="shared" si="74"/>
        <v/>
      </c>
      <c r="F110" s="431" t="str">
        <f t="shared" si="75"/>
        <v/>
      </c>
      <c r="G110" s="431" t="e">
        <f t="shared" ref="G110" si="319">F110+G108</f>
        <v>#VALUE!</v>
      </c>
      <c r="H110" s="434"/>
      <c r="U110" s="46" t="str">
        <f t="shared" si="78"/>
        <v/>
      </c>
      <c r="V110" s="431" t="str">
        <f t="shared" si="79"/>
        <v/>
      </c>
      <c r="W110" s="431" t="e">
        <f t="shared" ref="W110" si="320">V110+W108</f>
        <v>#VALUE!</v>
      </c>
      <c r="X110" s="434"/>
      <c r="AK110" s="46" t="str">
        <f t="shared" si="82"/>
        <v/>
      </c>
      <c r="AL110" s="431" t="str">
        <f t="shared" si="83"/>
        <v/>
      </c>
      <c r="AM110" s="431" t="e">
        <f t="shared" ref="AM110" si="321">AL110+AM108</f>
        <v>#VALUE!</v>
      </c>
      <c r="AN110" s="434"/>
    </row>
    <row r="111" spans="5:40" x14ac:dyDescent="0.25">
      <c r="E111" s="46" t="str">
        <f t="shared" si="74"/>
        <v/>
      </c>
      <c r="F111" s="431" t="str">
        <f t="shared" si="75"/>
        <v/>
      </c>
      <c r="G111" s="431" t="e">
        <f t="shared" ref="G111" si="322">F111+G110</f>
        <v>#VALUE!</v>
      </c>
      <c r="H111" s="434"/>
      <c r="U111" s="46" t="str">
        <f t="shared" si="78"/>
        <v/>
      </c>
      <c r="V111" s="431" t="str">
        <f t="shared" si="79"/>
        <v/>
      </c>
      <c r="W111" s="431" t="e">
        <f t="shared" ref="W111" si="323">V111+W110</f>
        <v>#VALUE!</v>
      </c>
      <c r="X111" s="434"/>
      <c r="AK111" s="46" t="str">
        <f t="shared" si="82"/>
        <v/>
      </c>
      <c r="AL111" s="431" t="str">
        <f t="shared" si="83"/>
        <v/>
      </c>
      <c r="AM111" s="431" t="e">
        <f t="shared" ref="AM111" si="324">AL111+AM110</f>
        <v>#VALUE!</v>
      </c>
      <c r="AN111" s="434"/>
    </row>
    <row r="112" spans="5:40" x14ac:dyDescent="0.25">
      <c r="E112" s="46" t="str">
        <f t="shared" si="74"/>
        <v/>
      </c>
      <c r="F112" s="431" t="str">
        <f t="shared" si="75"/>
        <v/>
      </c>
      <c r="G112" s="431" t="e">
        <f t="shared" ref="G112" si="325">F112+G110</f>
        <v>#VALUE!</v>
      </c>
      <c r="H112" s="434"/>
      <c r="U112" s="46" t="str">
        <f t="shared" si="78"/>
        <v/>
      </c>
      <c r="V112" s="431" t="str">
        <f t="shared" si="79"/>
        <v/>
      </c>
      <c r="W112" s="431" t="e">
        <f t="shared" ref="W112" si="326">V112+W110</f>
        <v>#VALUE!</v>
      </c>
      <c r="X112" s="434"/>
      <c r="AK112" s="46" t="str">
        <f t="shared" si="82"/>
        <v/>
      </c>
      <c r="AL112" s="431" t="str">
        <f t="shared" si="83"/>
        <v/>
      </c>
      <c r="AM112" s="431" t="e">
        <f t="shared" ref="AM112" si="327">AL112+AM110</f>
        <v>#VALUE!</v>
      </c>
      <c r="AN112" s="434"/>
    </row>
    <row r="113" spans="5:40" x14ac:dyDescent="0.25">
      <c r="E113" s="46" t="str">
        <f t="shared" si="74"/>
        <v/>
      </c>
      <c r="F113" s="431" t="str">
        <f t="shared" si="75"/>
        <v/>
      </c>
      <c r="G113" s="431" t="e">
        <f t="shared" ref="G113" si="328">F113+G112</f>
        <v>#VALUE!</v>
      </c>
      <c r="H113" s="434"/>
      <c r="U113" s="46" t="str">
        <f t="shared" si="78"/>
        <v/>
      </c>
      <c r="V113" s="431" t="str">
        <f t="shared" si="79"/>
        <v/>
      </c>
      <c r="W113" s="431" t="e">
        <f t="shared" ref="W113" si="329">V113+W112</f>
        <v>#VALUE!</v>
      </c>
      <c r="X113" s="434"/>
      <c r="AK113" s="46" t="str">
        <f t="shared" si="82"/>
        <v/>
      </c>
      <c r="AL113" s="431" t="str">
        <f t="shared" si="83"/>
        <v/>
      </c>
      <c r="AM113" s="431" t="e">
        <f t="shared" ref="AM113" si="330">AL113+AM112</f>
        <v>#VALUE!</v>
      </c>
      <c r="AN113" s="434"/>
    </row>
    <row r="114" spans="5:40" x14ac:dyDescent="0.25">
      <c r="E114" s="46" t="str">
        <f t="shared" si="74"/>
        <v/>
      </c>
      <c r="F114" s="431" t="str">
        <f t="shared" si="75"/>
        <v/>
      </c>
      <c r="G114" s="431" t="e">
        <f t="shared" ref="G114" si="331">F114+G112</f>
        <v>#VALUE!</v>
      </c>
      <c r="H114" s="434"/>
      <c r="U114" s="46" t="str">
        <f t="shared" si="78"/>
        <v/>
      </c>
      <c r="V114" s="431" t="str">
        <f t="shared" si="79"/>
        <v/>
      </c>
      <c r="W114" s="431" t="e">
        <f t="shared" ref="W114" si="332">V114+W112</f>
        <v>#VALUE!</v>
      </c>
      <c r="X114" s="434"/>
      <c r="AK114" s="46" t="str">
        <f t="shared" si="82"/>
        <v/>
      </c>
      <c r="AL114" s="431" t="str">
        <f t="shared" si="83"/>
        <v/>
      </c>
      <c r="AM114" s="431" t="e">
        <f t="shared" ref="AM114" si="333">AL114+AM112</f>
        <v>#VALUE!</v>
      </c>
      <c r="AN114" s="434"/>
    </row>
    <row r="115" spans="5:40" x14ac:dyDescent="0.25">
      <c r="E115" s="46" t="str">
        <f t="shared" si="74"/>
        <v/>
      </c>
      <c r="F115" s="431" t="str">
        <f t="shared" si="75"/>
        <v/>
      </c>
      <c r="G115" s="431" t="e">
        <f t="shared" ref="G115" si="334">F115+G114</f>
        <v>#VALUE!</v>
      </c>
      <c r="H115" s="434"/>
      <c r="U115" s="46" t="str">
        <f t="shared" si="78"/>
        <v/>
      </c>
      <c r="V115" s="431" t="str">
        <f t="shared" si="79"/>
        <v/>
      </c>
      <c r="W115" s="431" t="e">
        <f t="shared" ref="W115" si="335">V115+W114</f>
        <v>#VALUE!</v>
      </c>
      <c r="X115" s="434"/>
      <c r="AK115" s="46" t="str">
        <f t="shared" si="82"/>
        <v/>
      </c>
      <c r="AL115" s="431" t="str">
        <f t="shared" si="83"/>
        <v/>
      </c>
      <c r="AM115" s="431" t="e">
        <f t="shared" ref="AM115" si="336">AL115+AM114</f>
        <v>#VALUE!</v>
      </c>
      <c r="AN115" s="434"/>
    </row>
    <row r="116" spans="5:40" x14ac:dyDescent="0.25">
      <c r="E116" s="46" t="str">
        <f t="shared" si="74"/>
        <v/>
      </c>
      <c r="F116" s="431" t="str">
        <f t="shared" si="75"/>
        <v/>
      </c>
      <c r="G116" s="431" t="e">
        <f t="shared" ref="G116" si="337">F116+G114</f>
        <v>#VALUE!</v>
      </c>
      <c r="H116" s="434"/>
      <c r="U116" s="46" t="str">
        <f t="shared" si="78"/>
        <v/>
      </c>
      <c r="V116" s="431" t="str">
        <f t="shared" si="79"/>
        <v/>
      </c>
      <c r="W116" s="431" t="e">
        <f t="shared" ref="W116" si="338">V116+W114</f>
        <v>#VALUE!</v>
      </c>
      <c r="X116" s="434"/>
      <c r="AK116" s="46" t="str">
        <f t="shared" si="82"/>
        <v/>
      </c>
      <c r="AL116" s="431" t="str">
        <f t="shared" si="83"/>
        <v/>
      </c>
      <c r="AM116" s="431" t="e">
        <f t="shared" ref="AM116" si="339">AL116+AM114</f>
        <v>#VALUE!</v>
      </c>
      <c r="AN116" s="434"/>
    </row>
    <row r="117" spans="5:40" x14ac:dyDescent="0.25">
      <c r="E117" s="46" t="str">
        <f t="shared" si="74"/>
        <v/>
      </c>
      <c r="F117" s="431" t="str">
        <f t="shared" si="75"/>
        <v/>
      </c>
      <c r="G117" s="431" t="e">
        <f t="shared" ref="G117" si="340">F117+G116</f>
        <v>#VALUE!</v>
      </c>
      <c r="H117" s="434"/>
      <c r="U117" s="46" t="str">
        <f t="shared" si="78"/>
        <v/>
      </c>
      <c r="V117" s="431" t="str">
        <f t="shared" si="79"/>
        <v/>
      </c>
      <c r="W117" s="431" t="e">
        <f t="shared" ref="W117" si="341">V117+W116</f>
        <v>#VALUE!</v>
      </c>
      <c r="X117" s="434"/>
      <c r="AK117" s="46" t="str">
        <f t="shared" si="82"/>
        <v/>
      </c>
      <c r="AL117" s="431" t="str">
        <f t="shared" si="83"/>
        <v/>
      </c>
      <c r="AM117" s="431" t="e">
        <f t="shared" ref="AM117" si="342">AL117+AM116</f>
        <v>#VALUE!</v>
      </c>
      <c r="AN117" s="434"/>
    </row>
    <row r="118" spans="5:40" x14ac:dyDescent="0.25">
      <c r="E118" s="46" t="str">
        <f t="shared" si="74"/>
        <v/>
      </c>
      <c r="F118" s="431" t="str">
        <f t="shared" si="75"/>
        <v/>
      </c>
      <c r="G118" s="431" t="e">
        <f t="shared" ref="G118" si="343">F118+G116</f>
        <v>#VALUE!</v>
      </c>
      <c r="H118" s="434"/>
      <c r="U118" s="46" t="str">
        <f t="shared" si="78"/>
        <v/>
      </c>
      <c r="V118" s="431" t="str">
        <f t="shared" si="79"/>
        <v/>
      </c>
      <c r="W118" s="431" t="e">
        <f t="shared" ref="W118" si="344">V118+W116</f>
        <v>#VALUE!</v>
      </c>
      <c r="X118" s="434"/>
      <c r="AK118" s="46" t="str">
        <f t="shared" si="82"/>
        <v/>
      </c>
      <c r="AL118" s="431" t="str">
        <f t="shared" si="83"/>
        <v/>
      </c>
      <c r="AM118" s="431" t="e">
        <f t="shared" ref="AM118" si="345">AL118+AM116</f>
        <v>#VALUE!</v>
      </c>
      <c r="AN118" s="434"/>
    </row>
    <row r="119" spans="5:40" x14ac:dyDescent="0.25">
      <c r="E119" s="46" t="str">
        <f t="shared" si="74"/>
        <v/>
      </c>
      <c r="F119" s="431" t="str">
        <f t="shared" si="75"/>
        <v/>
      </c>
      <c r="G119" s="431" t="e">
        <f t="shared" ref="G119" si="346">F119+G118</f>
        <v>#VALUE!</v>
      </c>
      <c r="H119" s="434"/>
      <c r="U119" s="46" t="str">
        <f t="shared" si="78"/>
        <v/>
      </c>
      <c r="V119" s="431" t="str">
        <f t="shared" si="79"/>
        <v/>
      </c>
      <c r="W119" s="431" t="e">
        <f t="shared" ref="W119" si="347">V119+W118</f>
        <v>#VALUE!</v>
      </c>
      <c r="X119" s="434"/>
      <c r="AK119" s="46" t="str">
        <f t="shared" si="82"/>
        <v/>
      </c>
      <c r="AL119" s="431" t="str">
        <f t="shared" si="83"/>
        <v/>
      </c>
      <c r="AM119" s="431" t="e">
        <f t="shared" ref="AM119" si="348">AL119+AM118</f>
        <v>#VALUE!</v>
      </c>
      <c r="AN119" s="434"/>
    </row>
    <row r="120" spans="5:40" x14ac:dyDescent="0.25">
      <c r="E120" s="46" t="str">
        <f t="shared" ref="E120:E135" si="349">INDEX(E$1:E$51,ROUNDDOWN(QUOTIENT(2*ROW()+1,4),0)-19,1)</f>
        <v/>
      </c>
      <c r="F120" s="431" t="str">
        <f t="shared" ref="F120:F135" si="350">INDEX(G$1:G$51,ROUNDDOWN(QUOTIENT(2*(ROW()-1)+1,4),0)-19,1)</f>
        <v/>
      </c>
      <c r="G120" s="431" t="e">
        <f t="shared" ref="G120" si="351">F120+G118</f>
        <v>#VALUE!</v>
      </c>
      <c r="H120" s="434"/>
      <c r="U120" s="46" t="str">
        <f t="shared" ref="U120:U135" si="352">INDEX(U$1:U$51,ROUNDDOWN(QUOTIENT(2*ROW()+1,4),0)-19,1)</f>
        <v/>
      </c>
      <c r="V120" s="431" t="str">
        <f t="shared" ref="V120:V135" si="353">INDEX(W$1:W$51,ROUNDDOWN(QUOTIENT(2*(ROW()-1)+1,4),0)-19,1)</f>
        <v/>
      </c>
      <c r="W120" s="431" t="e">
        <f t="shared" ref="W120" si="354">V120+W118</f>
        <v>#VALUE!</v>
      </c>
      <c r="X120" s="434"/>
      <c r="AK120" s="46" t="str">
        <f t="shared" ref="AK120:AK135" si="355">INDEX(AK$1:AK$51,ROUNDDOWN(QUOTIENT(2*ROW()+1,4),0)-19,1)</f>
        <v/>
      </c>
      <c r="AL120" s="431" t="str">
        <f t="shared" ref="AL120:AL135" si="356">INDEX(AM$1:AM$51,ROUNDDOWN(QUOTIENT(2*(ROW()-1)+1,4),0)-19,1)</f>
        <v/>
      </c>
      <c r="AM120" s="431" t="e">
        <f t="shared" ref="AM120" si="357">AL120+AM118</f>
        <v>#VALUE!</v>
      </c>
      <c r="AN120" s="434"/>
    </row>
    <row r="121" spans="5:40" x14ac:dyDescent="0.25">
      <c r="E121" s="46" t="str">
        <f t="shared" si="349"/>
        <v/>
      </c>
      <c r="F121" s="431" t="str">
        <f t="shared" si="350"/>
        <v/>
      </c>
      <c r="G121" s="431" t="e">
        <f t="shared" ref="G121" si="358">F121+G120</f>
        <v>#VALUE!</v>
      </c>
      <c r="H121" s="434"/>
      <c r="U121" s="46" t="str">
        <f t="shared" si="352"/>
        <v/>
      </c>
      <c r="V121" s="431" t="str">
        <f t="shared" si="353"/>
        <v/>
      </c>
      <c r="W121" s="431" t="e">
        <f t="shared" ref="W121" si="359">V121+W120</f>
        <v>#VALUE!</v>
      </c>
      <c r="X121" s="434"/>
      <c r="AK121" s="46" t="str">
        <f t="shared" si="355"/>
        <v/>
      </c>
      <c r="AL121" s="431" t="str">
        <f t="shared" si="356"/>
        <v/>
      </c>
      <c r="AM121" s="431" t="e">
        <f t="shared" ref="AM121" si="360">AL121+AM120</f>
        <v>#VALUE!</v>
      </c>
      <c r="AN121" s="434"/>
    </row>
    <row r="122" spans="5:40" x14ac:dyDescent="0.25">
      <c r="E122" s="46" t="str">
        <f t="shared" si="349"/>
        <v/>
      </c>
      <c r="F122" s="431" t="str">
        <f t="shared" si="350"/>
        <v/>
      </c>
      <c r="G122" s="431" t="e">
        <f t="shared" ref="G122" si="361">F122+G120</f>
        <v>#VALUE!</v>
      </c>
      <c r="H122" s="434"/>
      <c r="U122" s="46" t="str">
        <f t="shared" si="352"/>
        <v/>
      </c>
      <c r="V122" s="431" t="str">
        <f t="shared" si="353"/>
        <v/>
      </c>
      <c r="W122" s="431" t="e">
        <f t="shared" ref="W122" si="362">V122+W120</f>
        <v>#VALUE!</v>
      </c>
      <c r="X122" s="434"/>
      <c r="AK122" s="46" t="str">
        <f t="shared" si="355"/>
        <v/>
      </c>
      <c r="AL122" s="431" t="str">
        <f t="shared" si="356"/>
        <v/>
      </c>
      <c r="AM122" s="431" t="e">
        <f t="shared" ref="AM122" si="363">AL122+AM120</f>
        <v>#VALUE!</v>
      </c>
      <c r="AN122" s="434"/>
    </row>
    <row r="123" spans="5:40" x14ac:dyDescent="0.25">
      <c r="E123" s="46" t="str">
        <f t="shared" si="349"/>
        <v/>
      </c>
      <c r="F123" s="431" t="str">
        <f t="shared" si="350"/>
        <v/>
      </c>
      <c r="G123" s="431" t="e">
        <f t="shared" ref="G123" si="364">F123+G122</f>
        <v>#VALUE!</v>
      </c>
      <c r="H123" s="434"/>
      <c r="U123" s="46" t="str">
        <f t="shared" si="352"/>
        <v/>
      </c>
      <c r="V123" s="431" t="str">
        <f t="shared" si="353"/>
        <v/>
      </c>
      <c r="W123" s="431" t="e">
        <f t="shared" ref="W123" si="365">V123+W122</f>
        <v>#VALUE!</v>
      </c>
      <c r="X123" s="434"/>
      <c r="AK123" s="46" t="str">
        <f t="shared" si="355"/>
        <v/>
      </c>
      <c r="AL123" s="431" t="str">
        <f t="shared" si="356"/>
        <v/>
      </c>
      <c r="AM123" s="431" t="e">
        <f t="shared" ref="AM123" si="366">AL123+AM122</f>
        <v>#VALUE!</v>
      </c>
      <c r="AN123" s="434"/>
    </row>
    <row r="124" spans="5:40" x14ac:dyDescent="0.25">
      <c r="E124" s="46" t="str">
        <f t="shared" si="349"/>
        <v/>
      </c>
      <c r="F124" s="431" t="str">
        <f t="shared" si="350"/>
        <v/>
      </c>
      <c r="G124" s="431" t="e">
        <f t="shared" ref="G124" si="367">F124+G122</f>
        <v>#VALUE!</v>
      </c>
      <c r="H124" s="434"/>
      <c r="U124" s="46" t="str">
        <f t="shared" si="352"/>
        <v/>
      </c>
      <c r="V124" s="431" t="str">
        <f t="shared" si="353"/>
        <v/>
      </c>
      <c r="W124" s="431" t="e">
        <f t="shared" ref="W124" si="368">V124+W122</f>
        <v>#VALUE!</v>
      </c>
      <c r="X124" s="434"/>
      <c r="AK124" s="46" t="str">
        <f t="shared" si="355"/>
        <v/>
      </c>
      <c r="AL124" s="431" t="str">
        <f t="shared" si="356"/>
        <v/>
      </c>
      <c r="AM124" s="431" t="e">
        <f t="shared" ref="AM124" si="369">AL124+AM122</f>
        <v>#VALUE!</v>
      </c>
      <c r="AN124" s="434"/>
    </row>
    <row r="125" spans="5:40" x14ac:dyDescent="0.25">
      <c r="E125" s="46" t="str">
        <f t="shared" si="349"/>
        <v/>
      </c>
      <c r="F125" s="431" t="str">
        <f t="shared" si="350"/>
        <v/>
      </c>
      <c r="G125" s="431" t="e">
        <f t="shared" ref="G125" si="370">F125+G124</f>
        <v>#VALUE!</v>
      </c>
      <c r="H125" s="434"/>
      <c r="U125" s="46" t="str">
        <f t="shared" si="352"/>
        <v/>
      </c>
      <c r="V125" s="431" t="str">
        <f t="shared" si="353"/>
        <v/>
      </c>
      <c r="W125" s="431" t="e">
        <f t="shared" ref="W125" si="371">V125+W124</f>
        <v>#VALUE!</v>
      </c>
      <c r="X125" s="434"/>
      <c r="AK125" s="46" t="str">
        <f t="shared" si="355"/>
        <v/>
      </c>
      <c r="AL125" s="431" t="str">
        <f t="shared" si="356"/>
        <v/>
      </c>
      <c r="AM125" s="431" t="e">
        <f t="shared" ref="AM125" si="372">AL125+AM124</f>
        <v>#VALUE!</v>
      </c>
      <c r="AN125" s="434"/>
    </row>
    <row r="126" spans="5:40" x14ac:dyDescent="0.25">
      <c r="E126" s="46" t="str">
        <f t="shared" si="349"/>
        <v/>
      </c>
      <c r="F126" s="431" t="str">
        <f t="shared" si="350"/>
        <v/>
      </c>
      <c r="G126" s="431" t="e">
        <f t="shared" ref="G126" si="373">F126+G124</f>
        <v>#VALUE!</v>
      </c>
      <c r="H126" s="434"/>
      <c r="U126" s="46" t="str">
        <f t="shared" si="352"/>
        <v/>
      </c>
      <c r="V126" s="431" t="str">
        <f t="shared" si="353"/>
        <v/>
      </c>
      <c r="W126" s="431" t="e">
        <f t="shared" ref="W126" si="374">V126+W124</f>
        <v>#VALUE!</v>
      </c>
      <c r="X126" s="434"/>
      <c r="AK126" s="46" t="str">
        <f t="shared" si="355"/>
        <v/>
      </c>
      <c r="AL126" s="431" t="str">
        <f t="shared" si="356"/>
        <v/>
      </c>
      <c r="AM126" s="431" t="e">
        <f t="shared" ref="AM126" si="375">AL126+AM124</f>
        <v>#VALUE!</v>
      </c>
      <c r="AN126" s="434"/>
    </row>
    <row r="127" spans="5:40" x14ac:dyDescent="0.25">
      <c r="E127" s="46" t="str">
        <f t="shared" si="349"/>
        <v/>
      </c>
      <c r="F127" s="431" t="str">
        <f t="shared" si="350"/>
        <v/>
      </c>
      <c r="G127" s="431" t="e">
        <f t="shared" ref="G127" si="376">F127+G126</f>
        <v>#VALUE!</v>
      </c>
      <c r="H127" s="434"/>
      <c r="U127" s="46" t="str">
        <f t="shared" si="352"/>
        <v/>
      </c>
      <c r="V127" s="431" t="str">
        <f t="shared" si="353"/>
        <v/>
      </c>
      <c r="W127" s="431" t="e">
        <f t="shared" ref="W127" si="377">V127+W126</f>
        <v>#VALUE!</v>
      </c>
      <c r="X127" s="434"/>
      <c r="AK127" s="46" t="str">
        <f t="shared" si="355"/>
        <v/>
      </c>
      <c r="AL127" s="431" t="str">
        <f t="shared" si="356"/>
        <v/>
      </c>
      <c r="AM127" s="431" t="e">
        <f t="shared" ref="AM127" si="378">AL127+AM126</f>
        <v>#VALUE!</v>
      </c>
      <c r="AN127" s="434"/>
    </row>
    <row r="128" spans="5:40" x14ac:dyDescent="0.25">
      <c r="E128" s="46" t="str">
        <f t="shared" si="349"/>
        <v/>
      </c>
      <c r="F128" s="431" t="str">
        <f t="shared" si="350"/>
        <v/>
      </c>
      <c r="G128" s="431" t="e">
        <f t="shared" ref="G128" si="379">F128+G126</f>
        <v>#VALUE!</v>
      </c>
      <c r="H128" s="434"/>
      <c r="U128" s="46" t="str">
        <f t="shared" si="352"/>
        <v/>
      </c>
      <c r="V128" s="431" t="str">
        <f t="shared" si="353"/>
        <v/>
      </c>
      <c r="W128" s="431" t="e">
        <f t="shared" ref="W128" si="380">V128+W126</f>
        <v>#VALUE!</v>
      </c>
      <c r="X128" s="434"/>
      <c r="AK128" s="46" t="str">
        <f t="shared" si="355"/>
        <v/>
      </c>
      <c r="AL128" s="431" t="str">
        <f t="shared" si="356"/>
        <v/>
      </c>
      <c r="AM128" s="431" t="e">
        <f t="shared" ref="AM128" si="381">AL128+AM126</f>
        <v>#VALUE!</v>
      </c>
      <c r="AN128" s="434"/>
    </row>
    <row r="129" spans="5:40" x14ac:dyDescent="0.25">
      <c r="E129" s="46" t="str">
        <f t="shared" si="349"/>
        <v/>
      </c>
      <c r="F129" s="431" t="str">
        <f t="shared" si="350"/>
        <v/>
      </c>
      <c r="G129" s="431" t="e">
        <f t="shared" ref="G129" si="382">F129+G128</f>
        <v>#VALUE!</v>
      </c>
      <c r="H129" s="434"/>
      <c r="U129" s="46" t="str">
        <f t="shared" si="352"/>
        <v/>
      </c>
      <c r="V129" s="431" t="str">
        <f t="shared" si="353"/>
        <v/>
      </c>
      <c r="W129" s="431" t="e">
        <f t="shared" ref="W129" si="383">V129+W128</f>
        <v>#VALUE!</v>
      </c>
      <c r="X129" s="434"/>
      <c r="AK129" s="46" t="str">
        <f t="shared" si="355"/>
        <v/>
      </c>
      <c r="AL129" s="431" t="str">
        <f t="shared" si="356"/>
        <v/>
      </c>
      <c r="AM129" s="431" t="e">
        <f t="shared" ref="AM129" si="384">AL129+AM128</f>
        <v>#VALUE!</v>
      </c>
      <c r="AN129" s="434"/>
    </row>
    <row r="130" spans="5:40" x14ac:dyDescent="0.25">
      <c r="E130" s="46" t="str">
        <f t="shared" si="349"/>
        <v/>
      </c>
      <c r="F130" s="431" t="str">
        <f t="shared" si="350"/>
        <v/>
      </c>
      <c r="G130" s="431" t="e">
        <f t="shared" ref="G130" si="385">F130+G128</f>
        <v>#VALUE!</v>
      </c>
      <c r="H130" s="434"/>
      <c r="U130" s="46" t="str">
        <f t="shared" si="352"/>
        <v/>
      </c>
      <c r="V130" s="431" t="str">
        <f t="shared" si="353"/>
        <v/>
      </c>
      <c r="W130" s="431" t="e">
        <f t="shared" ref="W130" si="386">V130+W128</f>
        <v>#VALUE!</v>
      </c>
      <c r="X130" s="434"/>
      <c r="AK130" s="46" t="str">
        <f t="shared" si="355"/>
        <v/>
      </c>
      <c r="AL130" s="431" t="str">
        <f t="shared" si="356"/>
        <v/>
      </c>
      <c r="AM130" s="431" t="e">
        <f t="shared" ref="AM130" si="387">AL130+AM128</f>
        <v>#VALUE!</v>
      </c>
      <c r="AN130" s="434"/>
    </row>
    <row r="131" spans="5:40" x14ac:dyDescent="0.25">
      <c r="E131" s="46" t="str">
        <f t="shared" si="349"/>
        <v/>
      </c>
      <c r="F131" s="431" t="str">
        <f t="shared" si="350"/>
        <v/>
      </c>
      <c r="G131" s="431" t="e">
        <f t="shared" ref="G131" si="388">F131+G130</f>
        <v>#VALUE!</v>
      </c>
      <c r="H131" s="434"/>
      <c r="U131" s="46" t="str">
        <f t="shared" si="352"/>
        <v/>
      </c>
      <c r="V131" s="431" t="str">
        <f t="shared" si="353"/>
        <v/>
      </c>
      <c r="W131" s="431" t="e">
        <f t="shared" ref="W131" si="389">V131+W130</f>
        <v>#VALUE!</v>
      </c>
      <c r="X131" s="434"/>
      <c r="AK131" s="46" t="str">
        <f t="shared" si="355"/>
        <v/>
      </c>
      <c r="AL131" s="431" t="str">
        <f t="shared" si="356"/>
        <v/>
      </c>
      <c r="AM131" s="431" t="e">
        <f t="shared" ref="AM131" si="390">AL131+AM130</f>
        <v>#VALUE!</v>
      </c>
      <c r="AN131" s="434"/>
    </row>
    <row r="132" spans="5:40" x14ac:dyDescent="0.25">
      <c r="E132" s="46" t="str">
        <f t="shared" si="349"/>
        <v/>
      </c>
      <c r="F132" s="431" t="str">
        <f t="shared" si="350"/>
        <v/>
      </c>
      <c r="G132" s="431" t="e">
        <f t="shared" ref="G132" si="391">F132+G130</f>
        <v>#VALUE!</v>
      </c>
      <c r="H132" s="434"/>
      <c r="U132" s="46" t="str">
        <f t="shared" si="352"/>
        <v/>
      </c>
      <c r="V132" s="431" t="str">
        <f t="shared" si="353"/>
        <v/>
      </c>
      <c r="W132" s="431" t="e">
        <f t="shared" ref="W132" si="392">V132+W130</f>
        <v>#VALUE!</v>
      </c>
      <c r="X132" s="434"/>
      <c r="AK132" s="46" t="str">
        <f t="shared" si="355"/>
        <v/>
      </c>
      <c r="AL132" s="431" t="str">
        <f t="shared" si="356"/>
        <v/>
      </c>
      <c r="AM132" s="431" t="e">
        <f t="shared" ref="AM132" si="393">AL132+AM130</f>
        <v>#VALUE!</v>
      </c>
      <c r="AN132" s="434"/>
    </row>
    <row r="133" spans="5:40" x14ac:dyDescent="0.25">
      <c r="E133" s="46" t="str">
        <f t="shared" si="349"/>
        <v/>
      </c>
      <c r="F133" s="431" t="str">
        <f t="shared" si="350"/>
        <v/>
      </c>
      <c r="G133" s="431" t="e">
        <f t="shared" ref="G133" si="394">F133+G132</f>
        <v>#VALUE!</v>
      </c>
      <c r="H133" s="434"/>
      <c r="U133" s="46" t="str">
        <f t="shared" si="352"/>
        <v/>
      </c>
      <c r="V133" s="431" t="str">
        <f t="shared" si="353"/>
        <v/>
      </c>
      <c r="W133" s="431" t="e">
        <f t="shared" ref="W133" si="395">V133+W132</f>
        <v>#VALUE!</v>
      </c>
      <c r="X133" s="434"/>
      <c r="AK133" s="46" t="str">
        <f t="shared" si="355"/>
        <v/>
      </c>
      <c r="AL133" s="431" t="str">
        <f t="shared" si="356"/>
        <v/>
      </c>
      <c r="AM133" s="431" t="e">
        <f t="shared" ref="AM133" si="396">AL133+AM132</f>
        <v>#VALUE!</v>
      </c>
      <c r="AN133" s="434"/>
    </row>
    <row r="134" spans="5:40" x14ac:dyDescent="0.25">
      <c r="E134" s="46" t="str">
        <f t="shared" si="349"/>
        <v/>
      </c>
      <c r="F134" s="431" t="str">
        <f t="shared" si="350"/>
        <v/>
      </c>
      <c r="G134" s="431" t="e">
        <f t="shared" ref="G134" si="397">F134+G132</f>
        <v>#VALUE!</v>
      </c>
      <c r="H134" s="434"/>
      <c r="U134" s="46" t="str">
        <f t="shared" si="352"/>
        <v/>
      </c>
      <c r="V134" s="431" t="str">
        <f t="shared" si="353"/>
        <v/>
      </c>
      <c r="W134" s="431" t="e">
        <f t="shared" ref="W134" si="398">V134+W132</f>
        <v>#VALUE!</v>
      </c>
      <c r="X134" s="434"/>
      <c r="AK134" s="46" t="str">
        <f t="shared" si="355"/>
        <v/>
      </c>
      <c r="AL134" s="431" t="str">
        <f t="shared" si="356"/>
        <v/>
      </c>
      <c r="AM134" s="431" t="e">
        <f t="shared" ref="AM134" si="399">AL134+AM132</f>
        <v>#VALUE!</v>
      </c>
      <c r="AN134" s="434"/>
    </row>
    <row r="135" spans="5:40" x14ac:dyDescent="0.25">
      <c r="E135" s="46" t="str">
        <f t="shared" si="349"/>
        <v/>
      </c>
      <c r="F135" s="431" t="str">
        <f t="shared" si="350"/>
        <v/>
      </c>
      <c r="G135" s="431" t="e">
        <f t="shared" ref="G135" si="400">F135+G134</f>
        <v>#VALUE!</v>
      </c>
      <c r="H135" s="434"/>
      <c r="U135" s="46" t="str">
        <f t="shared" si="352"/>
        <v/>
      </c>
      <c r="V135" s="431" t="str">
        <f t="shared" si="353"/>
        <v/>
      </c>
      <c r="W135" s="431" t="e">
        <f t="shared" ref="W135" si="401">V135+W134</f>
        <v>#VALUE!</v>
      </c>
      <c r="X135" s="434"/>
      <c r="AK135" s="46" t="str">
        <f t="shared" si="355"/>
        <v/>
      </c>
      <c r="AL135" s="431" t="str">
        <f t="shared" si="356"/>
        <v/>
      </c>
      <c r="AM135" s="431" t="e">
        <f t="shared" ref="AM135" si="402">AL135+AM134</f>
        <v>#VALUE!</v>
      </c>
      <c r="AN135" s="434"/>
    </row>
    <row r="136" spans="5:40" x14ac:dyDescent="0.25">
      <c r="E136" s="46" t="str">
        <f>INDEX(E$1:E$51,ROUNDDOWN(QUOTIENT(2*ROW()+1,4),0)-19,1)</f>
        <v/>
      </c>
      <c r="F136" s="431" t="str">
        <f>INDEX(G$1:G$51,ROUNDDOWN(QUOTIENT(2*(ROW()-1)+1,4),0)-19,1)</f>
        <v/>
      </c>
      <c r="G136" s="431" t="e">
        <f>F136+G134</f>
        <v>#VALUE!</v>
      </c>
      <c r="H136" s="434"/>
      <c r="U136" s="46" t="str">
        <f>INDEX(U$1:U$51,ROUNDDOWN(QUOTIENT(2*ROW()+1,4),0)-19,1)</f>
        <v/>
      </c>
      <c r="V136" s="431" t="str">
        <f>INDEX(W$1:W$51,ROUNDDOWN(QUOTIENT(2*(ROW()-1)+1,4),0)-19,1)</f>
        <v/>
      </c>
      <c r="W136" s="431" t="e">
        <f>V136+W134</f>
        <v>#VALUE!</v>
      </c>
      <c r="X136" s="434"/>
      <c r="AK136" s="46" t="str">
        <f>INDEX(AK$1:AK$51,ROUNDDOWN(QUOTIENT(2*ROW()+1,4),0)-19,1)</f>
        <v/>
      </c>
      <c r="AL136" s="431" t="str">
        <f>INDEX(AM$1:AM$51,ROUNDDOWN(QUOTIENT(2*(ROW()-1)+1,4),0)-19,1)</f>
        <v/>
      </c>
      <c r="AM136" s="431" t="e">
        <f>AL136+AM134</f>
        <v>#VALUE!</v>
      </c>
      <c r="AN136" s="434"/>
    </row>
    <row r="137" spans="5:40" x14ac:dyDescent="0.25">
      <c r="E137" s="46" t="str">
        <f>INDEX(E$1:E$51,ROUNDDOWN(QUOTIENT(2*ROW()+1,4),0)-19,1)</f>
        <v/>
      </c>
      <c r="F137" s="431" t="str">
        <f>INDEX(G$1:G$51,ROUNDDOWN(QUOTIENT(2*(ROW()-1)+1,4),0)-19,1)</f>
        <v/>
      </c>
      <c r="G137" s="431" t="e">
        <f>F137+G136</f>
        <v>#VALUE!</v>
      </c>
      <c r="H137" s="434"/>
      <c r="U137" s="46" t="str">
        <f>INDEX(U$1:U$51,ROUNDDOWN(QUOTIENT(2*ROW()+1,4),0)-19,1)</f>
        <v/>
      </c>
      <c r="V137" s="431" t="str">
        <f>INDEX(W$1:W$51,ROUNDDOWN(QUOTIENT(2*(ROW()-1)+1,4),0)-19,1)</f>
        <v/>
      </c>
      <c r="W137" s="431" t="e">
        <f>V137+W136</f>
        <v>#VALUE!</v>
      </c>
      <c r="X137" s="434"/>
      <c r="AK137" s="46" t="str">
        <f>INDEX(AK$1:AK$51,ROUNDDOWN(QUOTIENT(2*ROW()+1,4),0)-19,1)</f>
        <v/>
      </c>
      <c r="AL137" s="431" t="str">
        <f>INDEX(AM$1:AM$51,ROUNDDOWN(QUOTIENT(2*(ROW()-1)+1,4),0)-19,1)</f>
        <v/>
      </c>
      <c r="AM137" s="431" t="e">
        <f>AL137+AM136</f>
        <v>#VALUE!</v>
      </c>
      <c r="AN137" s="434"/>
    </row>
    <row r="138" spans="5:40" x14ac:dyDescent="0.25">
      <c r="E138" s="46" t="str">
        <f t="shared" ref="E138:E141" si="403">INDEX(E$1:E$51,ROUNDDOWN(QUOTIENT(2*ROW()+1,4),0)-19,1)</f>
        <v/>
      </c>
      <c r="F138" s="431" t="str">
        <f t="shared" ref="F138:F141" si="404">INDEX(G$1:G$51,ROUNDDOWN(QUOTIENT(2*(ROW()-1)+1,4),0)-19,1)</f>
        <v/>
      </c>
      <c r="G138" s="431" t="e">
        <f t="shared" ref="G138" si="405">F138+G136</f>
        <v>#VALUE!</v>
      </c>
      <c r="H138" s="434"/>
      <c r="U138" s="46" t="str">
        <f t="shared" ref="U138:U141" si="406">INDEX(U$1:U$51,ROUNDDOWN(QUOTIENT(2*ROW()+1,4),0)-19,1)</f>
        <v/>
      </c>
      <c r="V138" s="431" t="str">
        <f t="shared" ref="V138:V141" si="407">INDEX(W$1:W$51,ROUNDDOWN(QUOTIENT(2*(ROW()-1)+1,4),0)-19,1)</f>
        <v/>
      </c>
      <c r="W138" s="431" t="e">
        <f t="shared" ref="W138" si="408">V138+W136</f>
        <v>#VALUE!</v>
      </c>
      <c r="X138" s="434"/>
      <c r="AK138" s="46" t="str">
        <f t="shared" ref="AK138:AK141" si="409">INDEX(AK$1:AK$51,ROUNDDOWN(QUOTIENT(2*ROW()+1,4),0)-19,1)</f>
        <v/>
      </c>
      <c r="AL138" s="431" t="str">
        <f t="shared" ref="AL138:AL141" si="410">INDEX(AM$1:AM$51,ROUNDDOWN(QUOTIENT(2*(ROW()-1)+1,4),0)-19,1)</f>
        <v/>
      </c>
      <c r="AM138" s="431" t="e">
        <f t="shared" ref="AM138" si="411">AL138+AM136</f>
        <v>#VALUE!</v>
      </c>
      <c r="AN138" s="434"/>
    </row>
    <row r="139" spans="5:40" x14ac:dyDescent="0.25">
      <c r="E139" s="46" t="str">
        <f t="shared" si="403"/>
        <v/>
      </c>
      <c r="F139" s="431" t="str">
        <f t="shared" si="404"/>
        <v/>
      </c>
      <c r="G139" s="431" t="e">
        <f t="shared" ref="G139" si="412">F139+G138</f>
        <v>#VALUE!</v>
      </c>
      <c r="H139" s="434"/>
      <c r="U139" s="46" t="str">
        <f t="shared" si="406"/>
        <v/>
      </c>
      <c r="V139" s="431" t="str">
        <f t="shared" si="407"/>
        <v/>
      </c>
      <c r="W139" s="431" t="e">
        <f t="shared" ref="W139" si="413">V139+W138</f>
        <v>#VALUE!</v>
      </c>
      <c r="X139" s="434"/>
      <c r="AK139" s="46" t="str">
        <f t="shared" si="409"/>
        <v/>
      </c>
      <c r="AL139" s="431" t="str">
        <f t="shared" si="410"/>
        <v/>
      </c>
      <c r="AM139" s="431" t="e">
        <f t="shared" ref="AM139" si="414">AL139+AM138</f>
        <v>#VALUE!</v>
      </c>
      <c r="AN139" s="434"/>
    </row>
    <row r="140" spans="5:40" x14ac:dyDescent="0.25">
      <c r="E140" s="46" t="str">
        <f t="shared" si="403"/>
        <v/>
      </c>
      <c r="F140" s="431" t="str">
        <f t="shared" si="404"/>
        <v/>
      </c>
      <c r="G140" s="431" t="e">
        <f t="shared" ref="G140" si="415">F140+G138</f>
        <v>#VALUE!</v>
      </c>
      <c r="H140" s="434"/>
      <c r="U140" s="46" t="str">
        <f t="shared" si="406"/>
        <v/>
      </c>
      <c r="V140" s="431" t="str">
        <f t="shared" si="407"/>
        <v/>
      </c>
      <c r="W140" s="431" t="e">
        <f t="shared" ref="W140" si="416">V140+W138</f>
        <v>#VALUE!</v>
      </c>
      <c r="X140" s="434"/>
      <c r="AK140" s="46" t="str">
        <f t="shared" si="409"/>
        <v/>
      </c>
      <c r="AL140" s="431" t="str">
        <f t="shared" si="410"/>
        <v/>
      </c>
      <c r="AM140" s="431" t="e">
        <f t="shared" ref="AM140" si="417">AL140+AM138</f>
        <v>#VALUE!</v>
      </c>
      <c r="AN140" s="434"/>
    </row>
    <row r="141" spans="5:40" x14ac:dyDescent="0.25">
      <c r="E141" s="46" t="str">
        <f t="shared" si="403"/>
        <v/>
      </c>
      <c r="F141" s="431" t="str">
        <f t="shared" si="404"/>
        <v/>
      </c>
      <c r="G141" s="431" t="e">
        <f t="shared" ref="G141" si="418">F141+G140</f>
        <v>#VALUE!</v>
      </c>
      <c r="H141" s="434"/>
      <c r="U141" s="46" t="str">
        <f t="shared" si="406"/>
        <v/>
      </c>
      <c r="V141" s="431" t="str">
        <f t="shared" si="407"/>
        <v/>
      </c>
      <c r="W141" s="431" t="e">
        <f t="shared" ref="W141" si="419">V141+W140</f>
        <v>#VALUE!</v>
      </c>
      <c r="X141" s="434"/>
      <c r="AK141" s="46" t="str">
        <f t="shared" si="409"/>
        <v/>
      </c>
      <c r="AL141" s="431" t="str">
        <f t="shared" si="410"/>
        <v/>
      </c>
      <c r="AM141" s="431" t="e">
        <f t="shared" ref="AM141" si="420">AL141+AM140</f>
        <v>#VALUE!</v>
      </c>
      <c r="AN141" s="434"/>
    </row>
    <row r="142" spans="5:40" x14ac:dyDescent="0.25">
      <c r="E142" s="46"/>
      <c r="F142" s="431"/>
      <c r="G142" s="431"/>
    </row>
    <row r="143" spans="5:40" x14ac:dyDescent="0.25">
      <c r="E143" s="46"/>
      <c r="F143" s="431"/>
      <c r="G143" s="431"/>
    </row>
    <row r="144" spans="5:40" x14ac:dyDescent="0.25">
      <c r="E144" s="46"/>
      <c r="F144" s="431"/>
      <c r="G144" s="431"/>
    </row>
    <row r="145" spans="5:7" x14ac:dyDescent="0.25">
      <c r="E145" s="46"/>
      <c r="F145" s="431"/>
      <c r="G145" s="431"/>
    </row>
    <row r="146" spans="5:7" x14ac:dyDescent="0.25">
      <c r="E146" s="46"/>
      <c r="F146" s="431"/>
      <c r="G146" s="431"/>
    </row>
    <row r="147" spans="5:7" x14ac:dyDescent="0.25">
      <c r="E147" s="46"/>
      <c r="F147" s="431"/>
      <c r="G147" s="431"/>
    </row>
    <row r="148" spans="5:7" x14ac:dyDescent="0.25">
      <c r="E148" s="46"/>
      <c r="F148" s="431"/>
      <c r="G148" s="431"/>
    </row>
    <row r="149" spans="5:7" x14ac:dyDescent="0.25">
      <c r="E149" s="46"/>
      <c r="F149" s="431"/>
      <c r="G149" s="431"/>
    </row>
    <row r="150" spans="5:7" x14ac:dyDescent="0.25">
      <c r="E150" s="46"/>
      <c r="F150" s="431"/>
      <c r="G150" s="431"/>
    </row>
    <row r="151" spans="5:7" x14ac:dyDescent="0.25">
      <c r="E151" s="46"/>
      <c r="F151" s="431"/>
      <c r="G151" s="431"/>
    </row>
    <row r="152" spans="5:7" x14ac:dyDescent="0.25">
      <c r="E152" s="46"/>
      <c r="F152" s="431"/>
      <c r="G152" s="431"/>
    </row>
    <row r="153" spans="5:7" x14ac:dyDescent="0.25">
      <c r="E153" s="46"/>
      <c r="F153" s="431"/>
      <c r="G153" s="431"/>
    </row>
    <row r="154" spans="5:7" x14ac:dyDescent="0.25">
      <c r="E154" s="46"/>
      <c r="F154" s="431"/>
      <c r="G154" s="431"/>
    </row>
    <row r="155" spans="5:7" x14ac:dyDescent="0.25">
      <c r="E155" s="46"/>
      <c r="F155" s="431"/>
      <c r="G155" s="431"/>
    </row>
    <row r="156" spans="5:7" x14ac:dyDescent="0.25">
      <c r="E156" s="46"/>
      <c r="F156" s="431"/>
      <c r="G156" s="431"/>
    </row>
  </sheetData>
  <sortState ref="I11:L36">
    <sortCondition ref="I11:I36"/>
    <sortCondition ref="L11:L36"/>
  </sortState>
  <mergeCells count="3">
    <mergeCell ref="A1:O1"/>
    <mergeCell ref="Q1:AE1"/>
    <mergeCell ref="AG1:AU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28"/>
  <sheetViews>
    <sheetView workbookViewId="0">
      <selection activeCell="K4" sqref="K4"/>
    </sheetView>
  </sheetViews>
  <sheetFormatPr baseColWidth="10" defaultRowHeight="15" x14ac:dyDescent="0.25"/>
  <cols>
    <col min="1" max="4" width="6.7109375" customWidth="1"/>
    <col min="5" max="5" width="12.7109375" customWidth="1"/>
    <col min="6" max="6" width="15.7109375" customWidth="1"/>
    <col min="7" max="7" width="12.7109375" customWidth="1"/>
    <col min="14" max="23" width="6.7109375" customWidth="1"/>
  </cols>
  <sheetData>
    <row r="3" spans="1:23" ht="27" thickBot="1" x14ac:dyDescent="0.5">
      <c r="A3" s="450" t="s">
        <v>178</v>
      </c>
      <c r="B3" s="451" t="s">
        <v>205</v>
      </c>
      <c r="C3" s="452" t="s">
        <v>206</v>
      </c>
      <c r="D3" s="453" t="s">
        <v>207</v>
      </c>
      <c r="E3" s="453" t="s">
        <v>208</v>
      </c>
      <c r="F3" s="454" t="s">
        <v>209</v>
      </c>
      <c r="G3" s="452" t="s">
        <v>211</v>
      </c>
    </row>
    <row r="4" spans="1:23" ht="24" thickBot="1" x14ac:dyDescent="0.4">
      <c r="A4" s="455">
        <v>0</v>
      </c>
      <c r="B4" s="455">
        <v>18</v>
      </c>
      <c r="C4" s="455"/>
      <c r="D4" s="455"/>
      <c r="E4" s="455"/>
      <c r="F4" s="455"/>
      <c r="G4" s="456">
        <v>0</v>
      </c>
      <c r="I4" s="2">
        <v>19</v>
      </c>
      <c r="J4" s="2">
        <v>3</v>
      </c>
      <c r="K4" s="2">
        <v>4.2857142857142858E-2</v>
      </c>
      <c r="N4" s="465">
        <v>19</v>
      </c>
      <c r="O4" s="465">
        <v>20</v>
      </c>
      <c r="P4" s="466">
        <v>21</v>
      </c>
      <c r="Q4" s="467">
        <v>22</v>
      </c>
      <c r="R4" s="468">
        <v>23</v>
      </c>
      <c r="S4" s="468">
        <v>24</v>
      </c>
      <c r="T4" s="469">
        <v>25</v>
      </c>
      <c r="U4" s="469">
        <v>26</v>
      </c>
      <c r="V4" s="469">
        <v>27</v>
      </c>
      <c r="W4" s="469">
        <v>28</v>
      </c>
    </row>
    <row r="5" spans="1:23" ht="23.25" x14ac:dyDescent="0.35">
      <c r="A5" s="470">
        <v>1</v>
      </c>
      <c r="B5" s="470">
        <v>20</v>
      </c>
      <c r="C5" s="470">
        <f>B5-B4</f>
        <v>2</v>
      </c>
      <c r="D5" s="470">
        <f>J4+J5</f>
        <v>13</v>
      </c>
      <c r="E5" s="471">
        <f>K4+K5</f>
        <v>0.18571428571428572</v>
      </c>
      <c r="F5" s="472">
        <f>E5/C5</f>
        <v>9.285714285714286E-2</v>
      </c>
      <c r="G5" s="473">
        <v>0.18571428571428572</v>
      </c>
      <c r="I5" s="2">
        <v>20</v>
      </c>
      <c r="J5" s="2">
        <v>10</v>
      </c>
      <c r="K5" s="2">
        <v>0.14285714285714285</v>
      </c>
      <c r="N5" s="460">
        <v>3</v>
      </c>
      <c r="O5" s="460">
        <v>10</v>
      </c>
      <c r="P5" s="461">
        <v>11</v>
      </c>
      <c r="Q5" s="462">
        <v>14</v>
      </c>
      <c r="R5" s="463">
        <v>9</v>
      </c>
      <c r="S5" s="463">
        <v>6</v>
      </c>
      <c r="T5" s="464">
        <v>8</v>
      </c>
      <c r="U5" s="464">
        <v>6</v>
      </c>
      <c r="V5" s="464">
        <v>1</v>
      </c>
      <c r="W5" s="464">
        <v>2</v>
      </c>
    </row>
    <row r="6" spans="1:23" ht="23.25" x14ac:dyDescent="0.35">
      <c r="A6" s="474">
        <v>2</v>
      </c>
      <c r="B6" s="474">
        <v>21</v>
      </c>
      <c r="C6" s="474">
        <f t="shared" ref="C6:C9" si="0">B6-B5</f>
        <v>1</v>
      </c>
      <c r="D6" s="474">
        <f>J6</f>
        <v>11</v>
      </c>
      <c r="E6" s="475">
        <f>K6</f>
        <v>0.15714285714285714</v>
      </c>
      <c r="F6" s="476">
        <f t="shared" ref="F6:F9" si="1">E6/C6</f>
        <v>0.15714285714285714</v>
      </c>
      <c r="G6" s="477">
        <v>0.34285714285714286</v>
      </c>
      <c r="I6" s="48">
        <v>21</v>
      </c>
      <c r="J6" s="48">
        <v>11</v>
      </c>
      <c r="K6" s="48">
        <v>0.15714285714285714</v>
      </c>
    </row>
    <row r="7" spans="1:23" ht="23.25" x14ac:dyDescent="0.35">
      <c r="A7" s="478">
        <v>3</v>
      </c>
      <c r="B7" s="478">
        <v>22</v>
      </c>
      <c r="C7" s="478">
        <f t="shared" si="0"/>
        <v>1</v>
      </c>
      <c r="D7" s="478">
        <f>J7</f>
        <v>14</v>
      </c>
      <c r="E7" s="479">
        <f>K7</f>
        <v>0.2</v>
      </c>
      <c r="F7" s="480">
        <f t="shared" si="1"/>
        <v>0.2</v>
      </c>
      <c r="G7" s="481">
        <v>0.54285714285714293</v>
      </c>
      <c r="I7" s="436">
        <v>22</v>
      </c>
      <c r="J7" s="436">
        <v>14</v>
      </c>
      <c r="K7" s="436">
        <v>0.2</v>
      </c>
    </row>
    <row r="8" spans="1:23" ht="23.25" x14ac:dyDescent="0.35">
      <c r="A8" s="486">
        <v>4</v>
      </c>
      <c r="B8" s="486">
        <v>24</v>
      </c>
      <c r="C8" s="486">
        <f t="shared" si="0"/>
        <v>2</v>
      </c>
      <c r="D8" s="486">
        <f>J8+J9</f>
        <v>15</v>
      </c>
      <c r="E8" s="487">
        <f>K8+K9</f>
        <v>0.21428571428571427</v>
      </c>
      <c r="F8" s="488">
        <f t="shared" si="1"/>
        <v>0.10714285714285714</v>
      </c>
      <c r="G8" s="489">
        <v>0.75714285714285723</v>
      </c>
      <c r="I8" s="437">
        <v>23</v>
      </c>
      <c r="J8" s="437">
        <v>9</v>
      </c>
      <c r="K8" s="437">
        <v>0.12857142857142856</v>
      </c>
    </row>
    <row r="9" spans="1:23" ht="23.25" x14ac:dyDescent="0.35">
      <c r="A9" s="482">
        <v>5</v>
      </c>
      <c r="B9" s="482">
        <v>30</v>
      </c>
      <c r="C9" s="482">
        <f t="shared" si="0"/>
        <v>6</v>
      </c>
      <c r="D9" s="482">
        <f>SUM(J10:J13)</f>
        <v>17</v>
      </c>
      <c r="E9" s="483">
        <f>SUM(K10:K13)</f>
        <v>0.24285714285714288</v>
      </c>
      <c r="F9" s="484">
        <f t="shared" si="1"/>
        <v>4.0476190476190478E-2</v>
      </c>
      <c r="G9" s="485">
        <v>1</v>
      </c>
      <c r="I9" s="437">
        <v>24</v>
      </c>
      <c r="J9" s="437">
        <v>6</v>
      </c>
      <c r="K9" s="437">
        <v>8.5714285714285715E-2</v>
      </c>
    </row>
    <row r="10" spans="1:23" ht="23.25" x14ac:dyDescent="0.35">
      <c r="A10" s="457"/>
      <c r="B10" s="449"/>
      <c r="C10" s="449"/>
      <c r="D10" s="449"/>
      <c r="E10" s="449"/>
      <c r="F10" s="449"/>
      <c r="G10" s="449"/>
      <c r="I10" s="47">
        <v>25</v>
      </c>
      <c r="J10" s="47">
        <v>8</v>
      </c>
      <c r="K10" s="47">
        <v>0.11428571428571428</v>
      </c>
    </row>
    <row r="11" spans="1:23" ht="23.25" x14ac:dyDescent="0.35">
      <c r="A11" s="449"/>
      <c r="B11" s="458" t="s">
        <v>210</v>
      </c>
      <c r="D11" s="455">
        <f>SUM(D5:D9)</f>
        <v>70</v>
      </c>
      <c r="E11" s="459">
        <f>SUM(E5:E9)</f>
        <v>1</v>
      </c>
      <c r="F11" s="449"/>
      <c r="G11" s="449"/>
      <c r="I11" s="47">
        <v>26</v>
      </c>
      <c r="J11" s="47">
        <v>6</v>
      </c>
      <c r="K11" s="47">
        <v>8.5714285714285715E-2</v>
      </c>
    </row>
    <row r="12" spans="1:23" ht="23.25" x14ac:dyDescent="0.35">
      <c r="A12" s="449"/>
      <c r="B12" s="449"/>
      <c r="C12" s="449"/>
      <c r="D12" s="449"/>
      <c r="E12" s="449"/>
      <c r="F12" s="449"/>
      <c r="G12" s="449"/>
      <c r="I12" s="47">
        <v>27</v>
      </c>
      <c r="J12" s="47">
        <v>1</v>
      </c>
      <c r="K12" s="47">
        <v>1.4285714285714285E-2</v>
      </c>
    </row>
    <row r="13" spans="1:23" x14ac:dyDescent="0.25">
      <c r="I13" s="47">
        <v>28</v>
      </c>
      <c r="J13" s="47">
        <v>2</v>
      </c>
      <c r="K13" s="47">
        <v>2.8571428571428571E-2</v>
      </c>
    </row>
    <row r="15" spans="1:23" x14ac:dyDescent="0.25">
      <c r="J15">
        <f>SUM(J4:J13)</f>
        <v>70</v>
      </c>
    </row>
    <row r="17" spans="2:6" x14ac:dyDescent="0.25">
      <c r="B17">
        <v>18</v>
      </c>
      <c r="C17">
        <v>0</v>
      </c>
      <c r="E17">
        <v>18</v>
      </c>
      <c r="F17">
        <f>0</f>
        <v>0</v>
      </c>
    </row>
    <row r="18" spans="2:6" x14ac:dyDescent="0.25">
      <c r="B18">
        <v>18</v>
      </c>
      <c r="C18">
        <f>F5</f>
        <v>9.285714285714286E-2</v>
      </c>
      <c r="E18">
        <v>20</v>
      </c>
      <c r="F18" s="438">
        <f>E5+F17</f>
        <v>0.18571428571428572</v>
      </c>
    </row>
    <row r="19" spans="2:6" x14ac:dyDescent="0.25">
      <c r="B19">
        <v>20</v>
      </c>
      <c r="C19">
        <f>F5</f>
        <v>9.285714285714286E-2</v>
      </c>
      <c r="E19">
        <v>21</v>
      </c>
      <c r="F19" s="438">
        <f t="shared" ref="F19:F22" si="2">E6+F18</f>
        <v>0.34285714285714286</v>
      </c>
    </row>
    <row r="20" spans="2:6" x14ac:dyDescent="0.25">
      <c r="B20">
        <v>20</v>
      </c>
      <c r="C20">
        <f>F6</f>
        <v>0.15714285714285714</v>
      </c>
      <c r="E20">
        <v>22</v>
      </c>
      <c r="F20" s="438">
        <f t="shared" si="2"/>
        <v>0.54285714285714293</v>
      </c>
    </row>
    <row r="21" spans="2:6" x14ac:dyDescent="0.25">
      <c r="B21">
        <v>21</v>
      </c>
      <c r="C21">
        <f>F6</f>
        <v>0.15714285714285714</v>
      </c>
      <c r="E21">
        <v>24</v>
      </c>
      <c r="F21" s="438">
        <f t="shared" si="2"/>
        <v>0.75714285714285723</v>
      </c>
    </row>
    <row r="22" spans="2:6" x14ac:dyDescent="0.25">
      <c r="B22">
        <v>21</v>
      </c>
      <c r="C22">
        <f>F7</f>
        <v>0.2</v>
      </c>
      <c r="E22">
        <v>30</v>
      </c>
      <c r="F22" s="438">
        <f t="shared" si="2"/>
        <v>1</v>
      </c>
    </row>
    <row r="23" spans="2:6" x14ac:dyDescent="0.25">
      <c r="B23">
        <v>22</v>
      </c>
      <c r="C23">
        <f>F7</f>
        <v>0.2</v>
      </c>
    </row>
    <row r="24" spans="2:6" x14ac:dyDescent="0.25">
      <c r="B24">
        <v>22</v>
      </c>
      <c r="C24">
        <f>F8</f>
        <v>0.10714285714285714</v>
      </c>
      <c r="F24" s="438"/>
    </row>
    <row r="25" spans="2:6" x14ac:dyDescent="0.25">
      <c r="B25">
        <v>24</v>
      </c>
      <c r="C25">
        <f>F8</f>
        <v>0.10714285714285714</v>
      </c>
    </row>
    <row r="26" spans="2:6" x14ac:dyDescent="0.25">
      <c r="B26">
        <v>24</v>
      </c>
      <c r="C26">
        <f>F9</f>
        <v>4.0476190476190478E-2</v>
      </c>
    </row>
    <row r="27" spans="2:6" x14ac:dyDescent="0.25">
      <c r="B27">
        <v>30</v>
      </c>
      <c r="C27">
        <f>F9</f>
        <v>4.0476190476190478E-2</v>
      </c>
    </row>
    <row r="28" spans="2:6" x14ac:dyDescent="0.25">
      <c r="B28">
        <v>30</v>
      </c>
      <c r="C28">
        <f>0</f>
        <v>0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AG152"/>
  <sheetViews>
    <sheetView topLeftCell="B79" workbookViewId="0">
      <selection activeCell="E113" sqref="E113"/>
    </sheetView>
  </sheetViews>
  <sheetFormatPr baseColWidth="10" defaultColWidth="11.42578125" defaultRowHeight="15" x14ac:dyDescent="0.25"/>
  <cols>
    <col min="1" max="1" width="14.5703125" style="8" customWidth="1"/>
    <col min="2" max="2" width="8.7109375" style="341" customWidth="1"/>
    <col min="3" max="3" width="6.7109375" style="6" customWidth="1"/>
    <col min="4" max="29" width="6.7109375" style="7" customWidth="1"/>
    <col min="30" max="30" width="6.7109375" style="6" customWidth="1"/>
    <col min="31" max="32" width="11.42578125" style="6"/>
    <col min="33" max="33" width="13.85546875" style="6" bestFit="1" customWidth="1"/>
    <col min="34" max="16384" width="11.42578125" style="6"/>
  </cols>
  <sheetData>
    <row r="1" spans="1:30" ht="15.75" thickBot="1" x14ac:dyDescent="0.3"/>
    <row r="2" spans="1:30" ht="15" customHeight="1" x14ac:dyDescent="0.25">
      <c r="B2" s="769" t="s">
        <v>37</v>
      </c>
      <c r="C2" s="770"/>
      <c r="D2" s="763" t="s">
        <v>39</v>
      </c>
      <c r="E2" s="764"/>
      <c r="F2" s="764"/>
      <c r="G2" s="764"/>
      <c r="H2" s="764"/>
      <c r="I2" s="764"/>
      <c r="J2" s="764"/>
      <c r="K2" s="764"/>
      <c r="L2" s="764"/>
      <c r="M2" s="764"/>
      <c r="N2" s="764"/>
      <c r="O2" s="764"/>
      <c r="P2" s="764"/>
      <c r="Q2" s="764"/>
      <c r="R2" s="764"/>
      <c r="S2" s="764"/>
      <c r="T2" s="764"/>
      <c r="U2" s="764"/>
      <c r="V2" s="764"/>
      <c r="W2" s="764"/>
      <c r="X2" s="764"/>
      <c r="Y2" s="764"/>
      <c r="Z2" s="764"/>
      <c r="AA2" s="764"/>
      <c r="AB2" s="765"/>
    </row>
    <row r="3" spans="1:30" s="7" customFormat="1" ht="15.75" thickBot="1" x14ac:dyDescent="0.3">
      <c r="B3" s="771"/>
      <c r="C3" s="772"/>
      <c r="D3" s="354">
        <f>Häufigkeiten!$A$7</f>
        <v>18</v>
      </c>
      <c r="E3" s="355">
        <f>D3+1</f>
        <v>19</v>
      </c>
      <c r="F3" s="355">
        <f t="shared" ref="F3:AB3" si="0">E3+1</f>
        <v>20</v>
      </c>
      <c r="G3" s="355">
        <f t="shared" si="0"/>
        <v>21</v>
      </c>
      <c r="H3" s="355">
        <f t="shared" si="0"/>
        <v>22</v>
      </c>
      <c r="I3" s="355">
        <f t="shared" si="0"/>
        <v>23</v>
      </c>
      <c r="J3" s="355">
        <f t="shared" si="0"/>
        <v>24</v>
      </c>
      <c r="K3" s="355">
        <f t="shared" si="0"/>
        <v>25</v>
      </c>
      <c r="L3" s="355">
        <f t="shared" si="0"/>
        <v>26</v>
      </c>
      <c r="M3" s="355">
        <f t="shared" si="0"/>
        <v>27</v>
      </c>
      <c r="N3" s="355">
        <f t="shared" si="0"/>
        <v>28</v>
      </c>
      <c r="O3" s="355">
        <f t="shared" si="0"/>
        <v>29</v>
      </c>
      <c r="P3" s="355">
        <f t="shared" si="0"/>
        <v>30</v>
      </c>
      <c r="Q3" s="355">
        <f t="shared" si="0"/>
        <v>31</v>
      </c>
      <c r="R3" s="355">
        <f t="shared" si="0"/>
        <v>32</v>
      </c>
      <c r="S3" s="355">
        <f t="shared" si="0"/>
        <v>33</v>
      </c>
      <c r="T3" s="355">
        <f t="shared" si="0"/>
        <v>34</v>
      </c>
      <c r="U3" s="355">
        <f t="shared" si="0"/>
        <v>35</v>
      </c>
      <c r="V3" s="355">
        <f t="shared" si="0"/>
        <v>36</v>
      </c>
      <c r="W3" s="355">
        <f t="shared" si="0"/>
        <v>37</v>
      </c>
      <c r="X3" s="355">
        <f t="shared" si="0"/>
        <v>38</v>
      </c>
      <c r="Y3" s="355">
        <f t="shared" si="0"/>
        <v>39</v>
      </c>
      <c r="Z3" s="355">
        <f t="shared" si="0"/>
        <v>40</v>
      </c>
      <c r="AA3" s="355">
        <f t="shared" si="0"/>
        <v>41</v>
      </c>
      <c r="AB3" s="356">
        <f t="shared" si="0"/>
        <v>42</v>
      </c>
    </row>
    <row r="4" spans="1:30" ht="15" customHeight="1" x14ac:dyDescent="0.25">
      <c r="A4" s="6"/>
      <c r="B4" s="766" t="s">
        <v>38</v>
      </c>
      <c r="C4" s="501">
        <f>Häufigkeiten!$E$7</f>
        <v>155</v>
      </c>
      <c r="D4" s="344" t="str">
        <f>IF(COUNTIFS(Urlisten!$C$15:$EL$15,'2D-Alter-Größe'!D$3,Urlisten!$C$16:$EL$16,'2D-Alter-Größe'!$C4)&gt;0,COUNTIFS(Urlisten!$C$15:$EL$15,'2D-Alter-Größe'!D$3,Urlisten!$C$16:$EL$16,'2D-Alter-Größe'!$C4),"")</f>
        <v/>
      </c>
      <c r="E4" s="345" t="str">
        <f>IF(COUNTIFS(Urlisten!$C$15:$EL$15,'2D-Alter-Größe'!E$3,Urlisten!$C$16:$EL$16,'2D-Alter-Größe'!$C4)&gt;0,COUNTIFS(Urlisten!$C$15:$EL$15,'2D-Alter-Größe'!E$3,Urlisten!$C$16:$EL$16,'2D-Alter-Größe'!$C4),"")</f>
        <v/>
      </c>
      <c r="F4" s="345" t="str">
        <f>IF(COUNTIFS(Urlisten!$C$15:$EL$15,'2D-Alter-Größe'!F$3,Urlisten!$C$16:$EL$16,'2D-Alter-Größe'!$C4)&gt;0,COUNTIFS(Urlisten!$C$15:$EL$15,'2D-Alter-Größe'!F$3,Urlisten!$C$16:$EL$16,'2D-Alter-Größe'!$C4),"")</f>
        <v/>
      </c>
      <c r="G4" s="345" t="str">
        <f>IF(COUNTIFS(Urlisten!$C$15:$EL$15,'2D-Alter-Größe'!G$3,Urlisten!$C$16:$EL$16,'2D-Alter-Größe'!$C4)&gt;0,COUNTIFS(Urlisten!$C$15:$EL$15,'2D-Alter-Größe'!G$3,Urlisten!$C$16:$EL$16,'2D-Alter-Größe'!$C4),"")</f>
        <v/>
      </c>
      <c r="H4" s="345" t="str">
        <f>IF(COUNTIFS(Urlisten!$C$15:$EL$15,'2D-Alter-Größe'!H$3,Urlisten!$C$16:$EL$16,'2D-Alter-Größe'!$C4)&gt;0,COUNTIFS(Urlisten!$C$15:$EL$15,'2D-Alter-Größe'!H$3,Urlisten!$C$16:$EL$16,'2D-Alter-Größe'!$C4),"")</f>
        <v/>
      </c>
      <c r="I4" s="345">
        <f>IF(COUNTIFS(Urlisten!$C$15:$EL$15,'2D-Alter-Größe'!I$3,Urlisten!$C$16:$EL$16,'2D-Alter-Größe'!$C4)&gt;0,COUNTIFS(Urlisten!$C$15:$EL$15,'2D-Alter-Größe'!I$3,Urlisten!$C$16:$EL$16,'2D-Alter-Größe'!$C4),"")</f>
        <v>1</v>
      </c>
      <c r="J4" s="345" t="str">
        <f>IF(COUNTIFS(Urlisten!$C$15:$EL$15,'2D-Alter-Größe'!J$3,Urlisten!$C$16:$EL$16,'2D-Alter-Größe'!$C4)&gt;0,COUNTIFS(Urlisten!$C$15:$EL$15,'2D-Alter-Größe'!J$3,Urlisten!$C$16:$EL$16,'2D-Alter-Größe'!$C4),"")</f>
        <v/>
      </c>
      <c r="K4" s="345" t="str">
        <f>IF(COUNTIFS(Urlisten!$C$15:$EL$15,'2D-Alter-Größe'!K$3,Urlisten!$C$16:$EL$16,'2D-Alter-Größe'!$C4)&gt;0,COUNTIFS(Urlisten!$C$15:$EL$15,'2D-Alter-Größe'!K$3,Urlisten!$C$16:$EL$16,'2D-Alter-Größe'!$C4),"")</f>
        <v/>
      </c>
      <c r="L4" s="345" t="str">
        <f>IF(COUNTIFS(Urlisten!$C$15:$EL$15,'2D-Alter-Größe'!L$3,Urlisten!$C$16:$EL$16,'2D-Alter-Größe'!$C4)&gt;0,COUNTIFS(Urlisten!$C$15:$EL$15,'2D-Alter-Größe'!L$3,Urlisten!$C$16:$EL$16,'2D-Alter-Größe'!$C4),"")</f>
        <v/>
      </c>
      <c r="M4" s="345" t="str">
        <f>IF(COUNTIFS(Urlisten!$C$15:$EL$15,'2D-Alter-Größe'!M$3,Urlisten!$C$16:$EL$16,'2D-Alter-Größe'!$C4)&gt;0,COUNTIFS(Urlisten!$C$15:$EL$15,'2D-Alter-Größe'!M$3,Urlisten!$C$16:$EL$16,'2D-Alter-Größe'!$C4),"")</f>
        <v/>
      </c>
      <c r="N4" s="345" t="str">
        <f>IF(COUNTIFS(Urlisten!$C$15:$EL$15,'2D-Alter-Größe'!N$3,Urlisten!$C$16:$EL$16,'2D-Alter-Größe'!$C4)&gt;0,COUNTIFS(Urlisten!$C$15:$EL$15,'2D-Alter-Größe'!N$3,Urlisten!$C$16:$EL$16,'2D-Alter-Größe'!$C4),"")</f>
        <v/>
      </c>
      <c r="O4" s="345" t="str">
        <f>IF(COUNTIFS(Urlisten!$C$15:$EL$15,'2D-Alter-Größe'!O$3,Urlisten!$C$16:$EL$16,'2D-Alter-Größe'!$C4)&gt;0,COUNTIFS(Urlisten!$C$15:$EL$15,'2D-Alter-Größe'!O$3,Urlisten!$C$16:$EL$16,'2D-Alter-Größe'!$C4),"")</f>
        <v/>
      </c>
      <c r="P4" s="345" t="str">
        <f>IF(COUNTIFS(Urlisten!$C$15:$EL$15,'2D-Alter-Größe'!P$3,Urlisten!$C$16:$EL$16,'2D-Alter-Größe'!$C4)&gt;0,COUNTIFS(Urlisten!$C$15:$EL$15,'2D-Alter-Größe'!P$3,Urlisten!$C$16:$EL$16,'2D-Alter-Größe'!$C4),"")</f>
        <v/>
      </c>
      <c r="Q4" s="345" t="str">
        <f>IF(COUNTIFS(Urlisten!$C$15:$EL$15,'2D-Alter-Größe'!Q$3,Urlisten!$C$16:$EL$16,'2D-Alter-Größe'!$C4)&gt;0,COUNTIFS(Urlisten!$C$15:$EL$15,'2D-Alter-Größe'!Q$3,Urlisten!$C$16:$EL$16,'2D-Alter-Größe'!$C4),"")</f>
        <v/>
      </c>
      <c r="R4" s="345" t="str">
        <f>IF(COUNTIFS(Urlisten!$C$15:$EL$15,'2D-Alter-Größe'!R$3,Urlisten!$C$16:$EL$16,'2D-Alter-Größe'!$C4)&gt;0,COUNTIFS(Urlisten!$C$15:$EL$15,'2D-Alter-Größe'!R$3,Urlisten!$C$16:$EL$16,'2D-Alter-Größe'!$C4),"")</f>
        <v/>
      </c>
      <c r="S4" s="345" t="str">
        <f>IF(COUNTIFS(Urlisten!$C$15:$EL$15,'2D-Alter-Größe'!S$3,Urlisten!$C$16:$EL$16,'2D-Alter-Größe'!$C4)&gt;0,COUNTIFS(Urlisten!$C$15:$EL$15,'2D-Alter-Größe'!S$3,Urlisten!$C$16:$EL$16,'2D-Alter-Größe'!$C4),"")</f>
        <v/>
      </c>
      <c r="T4" s="345" t="str">
        <f>IF(COUNTIFS(Urlisten!$C$15:$EL$15,'2D-Alter-Größe'!T$3,Urlisten!$C$16:$EL$16,'2D-Alter-Größe'!$C4)&gt;0,COUNTIFS(Urlisten!$C$15:$EL$15,'2D-Alter-Größe'!T$3,Urlisten!$C$16:$EL$16,'2D-Alter-Größe'!$C4),"")</f>
        <v/>
      </c>
      <c r="U4" s="345" t="str">
        <f>IF(COUNTIFS(Urlisten!$C$15:$EL$15,'2D-Alter-Größe'!U$3,Urlisten!$C$16:$EL$16,'2D-Alter-Größe'!$C4)&gt;0,COUNTIFS(Urlisten!$C$15:$EL$15,'2D-Alter-Größe'!U$3,Urlisten!$C$16:$EL$16,'2D-Alter-Größe'!$C4),"")</f>
        <v/>
      </c>
      <c r="V4" s="345" t="str">
        <f>IF(COUNTIFS(Urlisten!$C$15:$EL$15,'2D-Alter-Größe'!V$3,Urlisten!$C$16:$EL$16,'2D-Alter-Größe'!$C4)&gt;0,COUNTIFS(Urlisten!$C$15:$EL$15,'2D-Alter-Größe'!V$3,Urlisten!$C$16:$EL$16,'2D-Alter-Größe'!$C4),"")</f>
        <v/>
      </c>
      <c r="W4" s="345" t="str">
        <f>IF(COUNTIFS(Urlisten!$C$15:$EL$15,'2D-Alter-Größe'!W$3,Urlisten!$C$16:$EL$16,'2D-Alter-Größe'!$C4)&gt;0,COUNTIFS(Urlisten!$C$15:$EL$15,'2D-Alter-Größe'!W$3,Urlisten!$C$16:$EL$16,'2D-Alter-Größe'!$C4),"")</f>
        <v/>
      </c>
      <c r="X4" s="345" t="str">
        <f>IF(COUNTIFS(Urlisten!$C$15:$EL$15,'2D-Alter-Größe'!X$3,Urlisten!$C$16:$EL$16,'2D-Alter-Größe'!$C4)&gt;0,COUNTIFS(Urlisten!$C$15:$EL$15,'2D-Alter-Größe'!X$3,Urlisten!$C$16:$EL$16,'2D-Alter-Größe'!$C4),"")</f>
        <v/>
      </c>
      <c r="Y4" s="345" t="str">
        <f>IF(COUNTIFS(Urlisten!$C$15:$EL$15,'2D-Alter-Größe'!Y$3,Urlisten!$C$16:$EL$16,'2D-Alter-Größe'!$C4)&gt;0,COUNTIFS(Urlisten!$C$15:$EL$15,'2D-Alter-Größe'!Y$3,Urlisten!$C$16:$EL$16,'2D-Alter-Größe'!$C4),"")</f>
        <v/>
      </c>
      <c r="Z4" s="345" t="str">
        <f>IF(COUNTIFS(Urlisten!$C$15:$EL$15,'2D-Alter-Größe'!Z$3,Urlisten!$C$16:$EL$16,'2D-Alter-Größe'!$C4)&gt;0,COUNTIFS(Urlisten!$C$15:$EL$15,'2D-Alter-Größe'!Z$3,Urlisten!$C$16:$EL$16,'2D-Alter-Größe'!$C4),"")</f>
        <v/>
      </c>
      <c r="AA4" s="345" t="str">
        <f>IF(COUNTIFS(Urlisten!$C$15:$EL$15,'2D-Alter-Größe'!AA$3,Urlisten!$C$16:$EL$16,'2D-Alter-Größe'!$C4)&gt;0,COUNTIFS(Urlisten!$C$15:$EL$15,'2D-Alter-Größe'!AA$3,Urlisten!$C$16:$EL$16,'2D-Alter-Größe'!$C4),"")</f>
        <v/>
      </c>
      <c r="AB4" s="348" t="str">
        <f>IF(COUNTIFS(Urlisten!$C$15:$EL$15,'2D-Alter-Größe'!AB$3,Urlisten!$C$16:$EL$16,'2D-Alter-Größe'!$C4)&gt;0,COUNTIFS(Urlisten!$C$15:$EL$15,'2D-Alter-Größe'!AB$3,Urlisten!$C$16:$EL$16,'2D-Alter-Größe'!$C4),"")</f>
        <v/>
      </c>
      <c r="AC4" s="360">
        <f>IF(SUM(D4:AB4)&gt;0,SUM(D4:AB4),"")</f>
        <v>1</v>
      </c>
      <c r="AD4" s="757" t="s">
        <v>165</v>
      </c>
    </row>
    <row r="5" spans="1:30" x14ac:dyDescent="0.25">
      <c r="A5" s="6"/>
      <c r="B5" s="767"/>
      <c r="C5" s="502">
        <f>C4+1</f>
        <v>156</v>
      </c>
      <c r="D5" s="343" t="str">
        <f>IF(COUNTIFS(Urlisten!$C$15:$EL$15,'2D-Alter-Größe'!D$3,Urlisten!$C$16:$EL$16,'2D-Alter-Größe'!$C5)&gt;0,COUNTIFS(Urlisten!$C$15:$EL$15,'2D-Alter-Größe'!D$3,Urlisten!$C$16:$EL$16,'2D-Alter-Größe'!$C5),"")</f>
        <v/>
      </c>
      <c r="E5" s="342" t="str">
        <f>IF(COUNTIFS(Urlisten!$C$15:$EL$15,'2D-Alter-Größe'!E$3,Urlisten!$C$16:$EL$16,'2D-Alter-Größe'!$C5)&gt;0,COUNTIFS(Urlisten!$C$15:$EL$15,'2D-Alter-Größe'!E$3,Urlisten!$C$16:$EL$16,'2D-Alter-Größe'!$C5),"")</f>
        <v/>
      </c>
      <c r="F5" s="342" t="str">
        <f>IF(COUNTIFS(Urlisten!$C$15:$EL$15,'2D-Alter-Größe'!F$3,Urlisten!$C$16:$EL$16,'2D-Alter-Größe'!$C5)&gt;0,COUNTIFS(Urlisten!$C$15:$EL$15,'2D-Alter-Größe'!F$3,Urlisten!$C$16:$EL$16,'2D-Alter-Größe'!$C5),"")</f>
        <v/>
      </c>
      <c r="G5" s="342" t="str">
        <f>IF(COUNTIFS(Urlisten!$C$15:$EL$15,'2D-Alter-Größe'!G$3,Urlisten!$C$16:$EL$16,'2D-Alter-Größe'!$C5)&gt;0,COUNTIFS(Urlisten!$C$15:$EL$15,'2D-Alter-Größe'!G$3,Urlisten!$C$16:$EL$16,'2D-Alter-Größe'!$C5),"")</f>
        <v/>
      </c>
      <c r="H5" s="342" t="str">
        <f>IF(COUNTIFS(Urlisten!$C$15:$EL$15,'2D-Alter-Größe'!H$3,Urlisten!$C$16:$EL$16,'2D-Alter-Größe'!$C5)&gt;0,COUNTIFS(Urlisten!$C$15:$EL$15,'2D-Alter-Größe'!H$3,Urlisten!$C$16:$EL$16,'2D-Alter-Größe'!$C5),"")</f>
        <v/>
      </c>
      <c r="I5" s="342" t="str">
        <f>IF(COUNTIFS(Urlisten!$C$15:$EL$15,'2D-Alter-Größe'!I$3,Urlisten!$C$16:$EL$16,'2D-Alter-Größe'!$C5)&gt;0,COUNTIFS(Urlisten!$C$15:$EL$15,'2D-Alter-Größe'!I$3,Urlisten!$C$16:$EL$16,'2D-Alter-Größe'!$C5),"")</f>
        <v/>
      </c>
      <c r="J5" s="342" t="str">
        <f>IF(COUNTIFS(Urlisten!$C$15:$EL$15,'2D-Alter-Größe'!J$3,Urlisten!$C$16:$EL$16,'2D-Alter-Größe'!$C5)&gt;0,COUNTIFS(Urlisten!$C$15:$EL$15,'2D-Alter-Größe'!J$3,Urlisten!$C$16:$EL$16,'2D-Alter-Größe'!$C5),"")</f>
        <v/>
      </c>
      <c r="K5" s="342" t="str">
        <f>IF(COUNTIFS(Urlisten!$C$15:$EL$15,'2D-Alter-Größe'!K$3,Urlisten!$C$16:$EL$16,'2D-Alter-Größe'!$C5)&gt;0,COUNTIFS(Urlisten!$C$15:$EL$15,'2D-Alter-Größe'!K$3,Urlisten!$C$16:$EL$16,'2D-Alter-Größe'!$C5),"")</f>
        <v/>
      </c>
      <c r="L5" s="342" t="str">
        <f>IF(COUNTIFS(Urlisten!$C$15:$EL$15,'2D-Alter-Größe'!L$3,Urlisten!$C$16:$EL$16,'2D-Alter-Größe'!$C5)&gt;0,COUNTIFS(Urlisten!$C$15:$EL$15,'2D-Alter-Größe'!L$3,Urlisten!$C$16:$EL$16,'2D-Alter-Größe'!$C5),"")</f>
        <v/>
      </c>
      <c r="M5" s="342" t="str">
        <f>IF(COUNTIFS(Urlisten!$C$15:$EL$15,'2D-Alter-Größe'!M$3,Urlisten!$C$16:$EL$16,'2D-Alter-Größe'!$C5)&gt;0,COUNTIFS(Urlisten!$C$15:$EL$15,'2D-Alter-Größe'!M$3,Urlisten!$C$16:$EL$16,'2D-Alter-Größe'!$C5),"")</f>
        <v/>
      </c>
      <c r="N5" s="342" t="str">
        <f>IF(COUNTIFS(Urlisten!$C$15:$EL$15,'2D-Alter-Größe'!N$3,Urlisten!$C$16:$EL$16,'2D-Alter-Größe'!$C5)&gt;0,COUNTIFS(Urlisten!$C$15:$EL$15,'2D-Alter-Größe'!N$3,Urlisten!$C$16:$EL$16,'2D-Alter-Größe'!$C5),"")</f>
        <v/>
      </c>
      <c r="O5" s="342" t="str">
        <f>IF(COUNTIFS(Urlisten!$C$15:$EL$15,'2D-Alter-Größe'!O$3,Urlisten!$C$16:$EL$16,'2D-Alter-Größe'!$C5)&gt;0,COUNTIFS(Urlisten!$C$15:$EL$15,'2D-Alter-Größe'!O$3,Urlisten!$C$16:$EL$16,'2D-Alter-Größe'!$C5),"")</f>
        <v/>
      </c>
      <c r="P5" s="342" t="str">
        <f>IF(COUNTIFS(Urlisten!$C$15:$EL$15,'2D-Alter-Größe'!P$3,Urlisten!$C$16:$EL$16,'2D-Alter-Größe'!$C5)&gt;0,COUNTIFS(Urlisten!$C$15:$EL$15,'2D-Alter-Größe'!P$3,Urlisten!$C$16:$EL$16,'2D-Alter-Größe'!$C5),"")</f>
        <v/>
      </c>
      <c r="Q5" s="342" t="str">
        <f>IF(COUNTIFS(Urlisten!$C$15:$EL$15,'2D-Alter-Größe'!Q$3,Urlisten!$C$16:$EL$16,'2D-Alter-Größe'!$C5)&gt;0,COUNTIFS(Urlisten!$C$15:$EL$15,'2D-Alter-Größe'!Q$3,Urlisten!$C$16:$EL$16,'2D-Alter-Größe'!$C5),"")</f>
        <v/>
      </c>
      <c r="R5" s="342" t="str">
        <f>IF(COUNTIFS(Urlisten!$C$15:$EL$15,'2D-Alter-Größe'!R$3,Urlisten!$C$16:$EL$16,'2D-Alter-Größe'!$C5)&gt;0,COUNTIFS(Urlisten!$C$15:$EL$15,'2D-Alter-Größe'!R$3,Urlisten!$C$16:$EL$16,'2D-Alter-Größe'!$C5),"")</f>
        <v/>
      </c>
      <c r="S5" s="342" t="str">
        <f>IF(COUNTIFS(Urlisten!$C$15:$EL$15,'2D-Alter-Größe'!S$3,Urlisten!$C$16:$EL$16,'2D-Alter-Größe'!$C5)&gt;0,COUNTIFS(Urlisten!$C$15:$EL$15,'2D-Alter-Größe'!S$3,Urlisten!$C$16:$EL$16,'2D-Alter-Größe'!$C5),"")</f>
        <v/>
      </c>
      <c r="T5" s="342" t="str">
        <f>IF(COUNTIFS(Urlisten!$C$15:$EL$15,'2D-Alter-Größe'!T$3,Urlisten!$C$16:$EL$16,'2D-Alter-Größe'!$C5)&gt;0,COUNTIFS(Urlisten!$C$15:$EL$15,'2D-Alter-Größe'!T$3,Urlisten!$C$16:$EL$16,'2D-Alter-Größe'!$C5),"")</f>
        <v/>
      </c>
      <c r="U5" s="342" t="str">
        <f>IF(COUNTIFS(Urlisten!$C$15:$EL$15,'2D-Alter-Größe'!U$3,Urlisten!$C$16:$EL$16,'2D-Alter-Größe'!$C5)&gt;0,COUNTIFS(Urlisten!$C$15:$EL$15,'2D-Alter-Größe'!U$3,Urlisten!$C$16:$EL$16,'2D-Alter-Größe'!$C5),"")</f>
        <v/>
      </c>
      <c r="V5" s="342" t="str">
        <f>IF(COUNTIFS(Urlisten!$C$15:$EL$15,'2D-Alter-Größe'!V$3,Urlisten!$C$16:$EL$16,'2D-Alter-Größe'!$C5)&gt;0,COUNTIFS(Urlisten!$C$15:$EL$15,'2D-Alter-Größe'!V$3,Urlisten!$C$16:$EL$16,'2D-Alter-Größe'!$C5),"")</f>
        <v/>
      </c>
      <c r="W5" s="342" t="str">
        <f>IF(COUNTIFS(Urlisten!$C$15:$EL$15,'2D-Alter-Größe'!W$3,Urlisten!$C$16:$EL$16,'2D-Alter-Größe'!$C5)&gt;0,COUNTIFS(Urlisten!$C$15:$EL$15,'2D-Alter-Größe'!W$3,Urlisten!$C$16:$EL$16,'2D-Alter-Größe'!$C5),"")</f>
        <v/>
      </c>
      <c r="X5" s="342" t="str">
        <f>IF(COUNTIFS(Urlisten!$C$15:$EL$15,'2D-Alter-Größe'!X$3,Urlisten!$C$16:$EL$16,'2D-Alter-Größe'!$C5)&gt;0,COUNTIFS(Urlisten!$C$15:$EL$15,'2D-Alter-Größe'!X$3,Urlisten!$C$16:$EL$16,'2D-Alter-Größe'!$C5),"")</f>
        <v/>
      </c>
      <c r="Y5" s="342" t="str">
        <f>IF(COUNTIFS(Urlisten!$C$15:$EL$15,'2D-Alter-Größe'!Y$3,Urlisten!$C$16:$EL$16,'2D-Alter-Größe'!$C5)&gt;0,COUNTIFS(Urlisten!$C$15:$EL$15,'2D-Alter-Größe'!Y$3,Urlisten!$C$16:$EL$16,'2D-Alter-Größe'!$C5),"")</f>
        <v/>
      </c>
      <c r="Z5" s="342" t="str">
        <f>IF(COUNTIFS(Urlisten!$C$15:$EL$15,'2D-Alter-Größe'!Z$3,Urlisten!$C$16:$EL$16,'2D-Alter-Größe'!$C5)&gt;0,COUNTIFS(Urlisten!$C$15:$EL$15,'2D-Alter-Größe'!Z$3,Urlisten!$C$16:$EL$16,'2D-Alter-Größe'!$C5),"")</f>
        <v/>
      </c>
      <c r="AA5" s="342" t="str">
        <f>IF(COUNTIFS(Urlisten!$C$15:$EL$15,'2D-Alter-Größe'!AA$3,Urlisten!$C$16:$EL$16,'2D-Alter-Größe'!$C5)&gt;0,COUNTIFS(Urlisten!$C$15:$EL$15,'2D-Alter-Größe'!AA$3,Urlisten!$C$16:$EL$16,'2D-Alter-Größe'!$C5),"")</f>
        <v/>
      </c>
      <c r="AB5" s="349" t="str">
        <f>IF(COUNTIFS(Urlisten!$C$15:$EL$15,'2D-Alter-Größe'!AB$3,Urlisten!$C$16:$EL$16,'2D-Alter-Größe'!$C5)&gt;0,COUNTIFS(Urlisten!$C$15:$EL$15,'2D-Alter-Größe'!AB$3,Urlisten!$C$16:$EL$16,'2D-Alter-Größe'!$C5),"")</f>
        <v/>
      </c>
      <c r="AC5" s="361" t="str">
        <f t="shared" ref="AC5:AC48" si="1">IF(SUM(D5:AB5)&gt;0,SUM(D5:AB5),"")</f>
        <v/>
      </c>
      <c r="AD5" s="758"/>
    </row>
    <row r="6" spans="1:30" x14ac:dyDescent="0.25">
      <c r="A6" s="6"/>
      <c r="B6" s="767"/>
      <c r="C6" s="502">
        <f t="shared" ref="C6:C48" si="2">C5+1</f>
        <v>157</v>
      </c>
      <c r="D6" s="343" t="str">
        <f>IF(COUNTIFS(Urlisten!$C$15:$EL$15,'2D-Alter-Größe'!D$3,Urlisten!$C$16:$EL$16,'2D-Alter-Größe'!$C6)&gt;0,COUNTIFS(Urlisten!$C$15:$EL$15,'2D-Alter-Größe'!D$3,Urlisten!$C$16:$EL$16,'2D-Alter-Größe'!$C6),"")</f>
        <v/>
      </c>
      <c r="E6" s="342" t="str">
        <f>IF(COUNTIFS(Urlisten!$C$15:$EL$15,'2D-Alter-Größe'!E$3,Urlisten!$C$16:$EL$16,'2D-Alter-Größe'!$C6)&gt;0,COUNTIFS(Urlisten!$C$15:$EL$15,'2D-Alter-Größe'!E$3,Urlisten!$C$16:$EL$16,'2D-Alter-Größe'!$C6),"")</f>
        <v/>
      </c>
      <c r="F6" s="342" t="str">
        <f>IF(COUNTIFS(Urlisten!$C$15:$EL$15,'2D-Alter-Größe'!F$3,Urlisten!$C$16:$EL$16,'2D-Alter-Größe'!$C6)&gt;0,COUNTIFS(Urlisten!$C$15:$EL$15,'2D-Alter-Größe'!F$3,Urlisten!$C$16:$EL$16,'2D-Alter-Größe'!$C6),"")</f>
        <v/>
      </c>
      <c r="G6" s="342" t="str">
        <f>IF(COUNTIFS(Urlisten!$C$15:$EL$15,'2D-Alter-Größe'!G$3,Urlisten!$C$16:$EL$16,'2D-Alter-Größe'!$C6)&gt;0,COUNTIFS(Urlisten!$C$15:$EL$15,'2D-Alter-Größe'!G$3,Urlisten!$C$16:$EL$16,'2D-Alter-Größe'!$C6),"")</f>
        <v/>
      </c>
      <c r="H6" s="342" t="str">
        <f>IF(COUNTIFS(Urlisten!$C$15:$EL$15,'2D-Alter-Größe'!H$3,Urlisten!$C$16:$EL$16,'2D-Alter-Größe'!$C6)&gt;0,COUNTIFS(Urlisten!$C$15:$EL$15,'2D-Alter-Größe'!H$3,Urlisten!$C$16:$EL$16,'2D-Alter-Größe'!$C6),"")</f>
        <v/>
      </c>
      <c r="I6" s="342" t="str">
        <f>IF(COUNTIFS(Urlisten!$C$15:$EL$15,'2D-Alter-Größe'!I$3,Urlisten!$C$16:$EL$16,'2D-Alter-Größe'!$C6)&gt;0,COUNTIFS(Urlisten!$C$15:$EL$15,'2D-Alter-Größe'!I$3,Urlisten!$C$16:$EL$16,'2D-Alter-Größe'!$C6),"")</f>
        <v/>
      </c>
      <c r="J6" s="342" t="str">
        <f>IF(COUNTIFS(Urlisten!$C$15:$EL$15,'2D-Alter-Größe'!J$3,Urlisten!$C$16:$EL$16,'2D-Alter-Größe'!$C6)&gt;0,COUNTIFS(Urlisten!$C$15:$EL$15,'2D-Alter-Größe'!J$3,Urlisten!$C$16:$EL$16,'2D-Alter-Größe'!$C6),"")</f>
        <v/>
      </c>
      <c r="K6" s="342" t="str">
        <f>IF(COUNTIFS(Urlisten!$C$15:$EL$15,'2D-Alter-Größe'!K$3,Urlisten!$C$16:$EL$16,'2D-Alter-Größe'!$C6)&gt;0,COUNTIFS(Urlisten!$C$15:$EL$15,'2D-Alter-Größe'!K$3,Urlisten!$C$16:$EL$16,'2D-Alter-Größe'!$C6),"")</f>
        <v/>
      </c>
      <c r="L6" s="342" t="str">
        <f>IF(COUNTIFS(Urlisten!$C$15:$EL$15,'2D-Alter-Größe'!L$3,Urlisten!$C$16:$EL$16,'2D-Alter-Größe'!$C6)&gt;0,COUNTIFS(Urlisten!$C$15:$EL$15,'2D-Alter-Größe'!L$3,Urlisten!$C$16:$EL$16,'2D-Alter-Größe'!$C6),"")</f>
        <v/>
      </c>
      <c r="M6" s="342" t="str">
        <f>IF(COUNTIFS(Urlisten!$C$15:$EL$15,'2D-Alter-Größe'!M$3,Urlisten!$C$16:$EL$16,'2D-Alter-Größe'!$C6)&gt;0,COUNTIFS(Urlisten!$C$15:$EL$15,'2D-Alter-Größe'!M$3,Urlisten!$C$16:$EL$16,'2D-Alter-Größe'!$C6),"")</f>
        <v/>
      </c>
      <c r="N6" s="342" t="str">
        <f>IF(COUNTIFS(Urlisten!$C$15:$EL$15,'2D-Alter-Größe'!N$3,Urlisten!$C$16:$EL$16,'2D-Alter-Größe'!$C6)&gt;0,COUNTIFS(Urlisten!$C$15:$EL$15,'2D-Alter-Größe'!N$3,Urlisten!$C$16:$EL$16,'2D-Alter-Größe'!$C6),"")</f>
        <v/>
      </c>
      <c r="O6" s="342" t="str">
        <f>IF(COUNTIFS(Urlisten!$C$15:$EL$15,'2D-Alter-Größe'!O$3,Urlisten!$C$16:$EL$16,'2D-Alter-Größe'!$C6)&gt;0,COUNTIFS(Urlisten!$C$15:$EL$15,'2D-Alter-Größe'!O$3,Urlisten!$C$16:$EL$16,'2D-Alter-Größe'!$C6),"")</f>
        <v/>
      </c>
      <c r="P6" s="342" t="str">
        <f>IF(COUNTIFS(Urlisten!$C$15:$EL$15,'2D-Alter-Größe'!P$3,Urlisten!$C$16:$EL$16,'2D-Alter-Größe'!$C6)&gt;0,COUNTIFS(Urlisten!$C$15:$EL$15,'2D-Alter-Größe'!P$3,Urlisten!$C$16:$EL$16,'2D-Alter-Größe'!$C6),"")</f>
        <v/>
      </c>
      <c r="Q6" s="342" t="str">
        <f>IF(COUNTIFS(Urlisten!$C$15:$EL$15,'2D-Alter-Größe'!Q$3,Urlisten!$C$16:$EL$16,'2D-Alter-Größe'!$C6)&gt;0,COUNTIFS(Urlisten!$C$15:$EL$15,'2D-Alter-Größe'!Q$3,Urlisten!$C$16:$EL$16,'2D-Alter-Größe'!$C6),"")</f>
        <v/>
      </c>
      <c r="R6" s="342" t="str">
        <f>IF(COUNTIFS(Urlisten!$C$15:$EL$15,'2D-Alter-Größe'!R$3,Urlisten!$C$16:$EL$16,'2D-Alter-Größe'!$C6)&gt;0,COUNTIFS(Urlisten!$C$15:$EL$15,'2D-Alter-Größe'!R$3,Urlisten!$C$16:$EL$16,'2D-Alter-Größe'!$C6),"")</f>
        <v/>
      </c>
      <c r="S6" s="342" t="str">
        <f>IF(COUNTIFS(Urlisten!$C$15:$EL$15,'2D-Alter-Größe'!S$3,Urlisten!$C$16:$EL$16,'2D-Alter-Größe'!$C6)&gt;0,COUNTIFS(Urlisten!$C$15:$EL$15,'2D-Alter-Größe'!S$3,Urlisten!$C$16:$EL$16,'2D-Alter-Größe'!$C6),"")</f>
        <v/>
      </c>
      <c r="T6" s="342" t="str">
        <f>IF(COUNTIFS(Urlisten!$C$15:$EL$15,'2D-Alter-Größe'!T$3,Urlisten!$C$16:$EL$16,'2D-Alter-Größe'!$C6)&gt;0,COUNTIFS(Urlisten!$C$15:$EL$15,'2D-Alter-Größe'!T$3,Urlisten!$C$16:$EL$16,'2D-Alter-Größe'!$C6),"")</f>
        <v/>
      </c>
      <c r="U6" s="342" t="str">
        <f>IF(COUNTIFS(Urlisten!$C$15:$EL$15,'2D-Alter-Größe'!U$3,Urlisten!$C$16:$EL$16,'2D-Alter-Größe'!$C6)&gt;0,COUNTIFS(Urlisten!$C$15:$EL$15,'2D-Alter-Größe'!U$3,Urlisten!$C$16:$EL$16,'2D-Alter-Größe'!$C6),"")</f>
        <v/>
      </c>
      <c r="V6" s="342" t="str">
        <f>IF(COUNTIFS(Urlisten!$C$15:$EL$15,'2D-Alter-Größe'!V$3,Urlisten!$C$16:$EL$16,'2D-Alter-Größe'!$C6)&gt;0,COUNTIFS(Urlisten!$C$15:$EL$15,'2D-Alter-Größe'!V$3,Urlisten!$C$16:$EL$16,'2D-Alter-Größe'!$C6),"")</f>
        <v/>
      </c>
      <c r="W6" s="342" t="str">
        <f>IF(COUNTIFS(Urlisten!$C$15:$EL$15,'2D-Alter-Größe'!W$3,Urlisten!$C$16:$EL$16,'2D-Alter-Größe'!$C6)&gt;0,COUNTIFS(Urlisten!$C$15:$EL$15,'2D-Alter-Größe'!W$3,Urlisten!$C$16:$EL$16,'2D-Alter-Größe'!$C6),"")</f>
        <v/>
      </c>
      <c r="X6" s="342" t="str">
        <f>IF(COUNTIFS(Urlisten!$C$15:$EL$15,'2D-Alter-Größe'!X$3,Urlisten!$C$16:$EL$16,'2D-Alter-Größe'!$C6)&gt;0,COUNTIFS(Urlisten!$C$15:$EL$15,'2D-Alter-Größe'!X$3,Urlisten!$C$16:$EL$16,'2D-Alter-Größe'!$C6),"")</f>
        <v/>
      </c>
      <c r="Y6" s="342" t="str">
        <f>IF(COUNTIFS(Urlisten!$C$15:$EL$15,'2D-Alter-Größe'!Y$3,Urlisten!$C$16:$EL$16,'2D-Alter-Größe'!$C6)&gt;0,COUNTIFS(Urlisten!$C$15:$EL$15,'2D-Alter-Größe'!Y$3,Urlisten!$C$16:$EL$16,'2D-Alter-Größe'!$C6),"")</f>
        <v/>
      </c>
      <c r="Z6" s="342" t="str">
        <f>IF(COUNTIFS(Urlisten!$C$15:$EL$15,'2D-Alter-Größe'!Z$3,Urlisten!$C$16:$EL$16,'2D-Alter-Größe'!$C6)&gt;0,COUNTIFS(Urlisten!$C$15:$EL$15,'2D-Alter-Größe'!Z$3,Urlisten!$C$16:$EL$16,'2D-Alter-Größe'!$C6),"")</f>
        <v/>
      </c>
      <c r="AA6" s="342" t="str">
        <f>IF(COUNTIFS(Urlisten!$C$15:$EL$15,'2D-Alter-Größe'!AA$3,Urlisten!$C$16:$EL$16,'2D-Alter-Größe'!$C6)&gt;0,COUNTIFS(Urlisten!$C$15:$EL$15,'2D-Alter-Größe'!AA$3,Urlisten!$C$16:$EL$16,'2D-Alter-Größe'!$C6),"")</f>
        <v/>
      </c>
      <c r="AB6" s="349" t="str">
        <f>IF(COUNTIFS(Urlisten!$C$15:$EL$15,'2D-Alter-Größe'!AB$3,Urlisten!$C$16:$EL$16,'2D-Alter-Größe'!$C6)&gt;0,COUNTIFS(Urlisten!$C$15:$EL$15,'2D-Alter-Größe'!AB$3,Urlisten!$C$16:$EL$16,'2D-Alter-Größe'!$C6),"")</f>
        <v/>
      </c>
      <c r="AC6" s="361" t="str">
        <f t="shared" si="1"/>
        <v/>
      </c>
      <c r="AD6" s="758"/>
    </row>
    <row r="7" spans="1:30" x14ac:dyDescent="0.25">
      <c r="A7" s="6"/>
      <c r="B7" s="767"/>
      <c r="C7" s="502">
        <f t="shared" si="2"/>
        <v>158</v>
      </c>
      <c r="D7" s="343" t="str">
        <f>IF(COUNTIFS(Urlisten!$C$15:$EL$15,'2D-Alter-Größe'!D$3,Urlisten!$C$16:$EL$16,'2D-Alter-Größe'!$C7)&gt;0,COUNTIFS(Urlisten!$C$15:$EL$15,'2D-Alter-Größe'!D$3,Urlisten!$C$16:$EL$16,'2D-Alter-Größe'!$C7),"")</f>
        <v/>
      </c>
      <c r="E7" s="342" t="str">
        <f>IF(COUNTIFS(Urlisten!$C$15:$EL$15,'2D-Alter-Größe'!E$3,Urlisten!$C$16:$EL$16,'2D-Alter-Größe'!$C7)&gt;0,COUNTIFS(Urlisten!$C$15:$EL$15,'2D-Alter-Größe'!E$3,Urlisten!$C$16:$EL$16,'2D-Alter-Größe'!$C7),"")</f>
        <v/>
      </c>
      <c r="F7" s="342" t="str">
        <f>IF(COUNTIFS(Urlisten!$C$15:$EL$15,'2D-Alter-Größe'!F$3,Urlisten!$C$16:$EL$16,'2D-Alter-Größe'!$C7)&gt;0,COUNTIFS(Urlisten!$C$15:$EL$15,'2D-Alter-Größe'!F$3,Urlisten!$C$16:$EL$16,'2D-Alter-Größe'!$C7),"")</f>
        <v/>
      </c>
      <c r="G7" s="342" t="str">
        <f>IF(COUNTIFS(Urlisten!$C$15:$EL$15,'2D-Alter-Größe'!G$3,Urlisten!$C$16:$EL$16,'2D-Alter-Größe'!$C7)&gt;0,COUNTIFS(Urlisten!$C$15:$EL$15,'2D-Alter-Größe'!G$3,Urlisten!$C$16:$EL$16,'2D-Alter-Größe'!$C7),"")</f>
        <v/>
      </c>
      <c r="H7" s="342" t="str">
        <f>IF(COUNTIFS(Urlisten!$C$15:$EL$15,'2D-Alter-Größe'!H$3,Urlisten!$C$16:$EL$16,'2D-Alter-Größe'!$C7)&gt;0,COUNTIFS(Urlisten!$C$15:$EL$15,'2D-Alter-Größe'!H$3,Urlisten!$C$16:$EL$16,'2D-Alter-Größe'!$C7),"")</f>
        <v/>
      </c>
      <c r="I7" s="342" t="str">
        <f>IF(COUNTIFS(Urlisten!$C$15:$EL$15,'2D-Alter-Größe'!I$3,Urlisten!$C$16:$EL$16,'2D-Alter-Größe'!$C7)&gt;0,COUNTIFS(Urlisten!$C$15:$EL$15,'2D-Alter-Größe'!I$3,Urlisten!$C$16:$EL$16,'2D-Alter-Größe'!$C7),"")</f>
        <v/>
      </c>
      <c r="J7" s="342" t="str">
        <f>IF(COUNTIFS(Urlisten!$C$15:$EL$15,'2D-Alter-Größe'!J$3,Urlisten!$C$16:$EL$16,'2D-Alter-Größe'!$C7)&gt;0,COUNTIFS(Urlisten!$C$15:$EL$15,'2D-Alter-Größe'!J$3,Urlisten!$C$16:$EL$16,'2D-Alter-Größe'!$C7),"")</f>
        <v/>
      </c>
      <c r="K7" s="342" t="str">
        <f>IF(COUNTIFS(Urlisten!$C$15:$EL$15,'2D-Alter-Größe'!K$3,Urlisten!$C$16:$EL$16,'2D-Alter-Größe'!$C7)&gt;0,COUNTIFS(Urlisten!$C$15:$EL$15,'2D-Alter-Größe'!K$3,Urlisten!$C$16:$EL$16,'2D-Alter-Größe'!$C7),"")</f>
        <v/>
      </c>
      <c r="L7" s="342" t="str">
        <f>IF(COUNTIFS(Urlisten!$C$15:$EL$15,'2D-Alter-Größe'!L$3,Urlisten!$C$16:$EL$16,'2D-Alter-Größe'!$C7)&gt;0,COUNTIFS(Urlisten!$C$15:$EL$15,'2D-Alter-Größe'!L$3,Urlisten!$C$16:$EL$16,'2D-Alter-Größe'!$C7),"")</f>
        <v/>
      </c>
      <c r="M7" s="342" t="str">
        <f>IF(COUNTIFS(Urlisten!$C$15:$EL$15,'2D-Alter-Größe'!M$3,Urlisten!$C$16:$EL$16,'2D-Alter-Größe'!$C7)&gt;0,COUNTIFS(Urlisten!$C$15:$EL$15,'2D-Alter-Größe'!M$3,Urlisten!$C$16:$EL$16,'2D-Alter-Größe'!$C7),"")</f>
        <v/>
      </c>
      <c r="N7" s="342" t="str">
        <f>IF(COUNTIFS(Urlisten!$C$15:$EL$15,'2D-Alter-Größe'!N$3,Urlisten!$C$16:$EL$16,'2D-Alter-Größe'!$C7)&gt;0,COUNTIFS(Urlisten!$C$15:$EL$15,'2D-Alter-Größe'!N$3,Urlisten!$C$16:$EL$16,'2D-Alter-Größe'!$C7),"")</f>
        <v/>
      </c>
      <c r="O7" s="342" t="str">
        <f>IF(COUNTIFS(Urlisten!$C$15:$EL$15,'2D-Alter-Größe'!O$3,Urlisten!$C$16:$EL$16,'2D-Alter-Größe'!$C7)&gt;0,COUNTIFS(Urlisten!$C$15:$EL$15,'2D-Alter-Größe'!O$3,Urlisten!$C$16:$EL$16,'2D-Alter-Größe'!$C7),"")</f>
        <v/>
      </c>
      <c r="P7" s="342" t="str">
        <f>IF(COUNTIFS(Urlisten!$C$15:$EL$15,'2D-Alter-Größe'!P$3,Urlisten!$C$16:$EL$16,'2D-Alter-Größe'!$C7)&gt;0,COUNTIFS(Urlisten!$C$15:$EL$15,'2D-Alter-Größe'!P$3,Urlisten!$C$16:$EL$16,'2D-Alter-Größe'!$C7),"")</f>
        <v/>
      </c>
      <c r="Q7" s="342" t="str">
        <f>IF(COUNTIFS(Urlisten!$C$15:$EL$15,'2D-Alter-Größe'!Q$3,Urlisten!$C$16:$EL$16,'2D-Alter-Größe'!$C7)&gt;0,COUNTIFS(Urlisten!$C$15:$EL$15,'2D-Alter-Größe'!Q$3,Urlisten!$C$16:$EL$16,'2D-Alter-Größe'!$C7),"")</f>
        <v/>
      </c>
      <c r="R7" s="342" t="str">
        <f>IF(COUNTIFS(Urlisten!$C$15:$EL$15,'2D-Alter-Größe'!R$3,Urlisten!$C$16:$EL$16,'2D-Alter-Größe'!$C7)&gt;0,COUNTIFS(Urlisten!$C$15:$EL$15,'2D-Alter-Größe'!R$3,Urlisten!$C$16:$EL$16,'2D-Alter-Größe'!$C7),"")</f>
        <v/>
      </c>
      <c r="S7" s="342" t="str">
        <f>IF(COUNTIFS(Urlisten!$C$15:$EL$15,'2D-Alter-Größe'!S$3,Urlisten!$C$16:$EL$16,'2D-Alter-Größe'!$C7)&gt;0,COUNTIFS(Urlisten!$C$15:$EL$15,'2D-Alter-Größe'!S$3,Urlisten!$C$16:$EL$16,'2D-Alter-Größe'!$C7),"")</f>
        <v/>
      </c>
      <c r="T7" s="342" t="str">
        <f>IF(COUNTIFS(Urlisten!$C$15:$EL$15,'2D-Alter-Größe'!T$3,Urlisten!$C$16:$EL$16,'2D-Alter-Größe'!$C7)&gt;0,COUNTIFS(Urlisten!$C$15:$EL$15,'2D-Alter-Größe'!T$3,Urlisten!$C$16:$EL$16,'2D-Alter-Größe'!$C7),"")</f>
        <v/>
      </c>
      <c r="U7" s="342" t="str">
        <f>IF(COUNTIFS(Urlisten!$C$15:$EL$15,'2D-Alter-Größe'!U$3,Urlisten!$C$16:$EL$16,'2D-Alter-Größe'!$C7)&gt;0,COUNTIFS(Urlisten!$C$15:$EL$15,'2D-Alter-Größe'!U$3,Urlisten!$C$16:$EL$16,'2D-Alter-Größe'!$C7),"")</f>
        <v/>
      </c>
      <c r="V7" s="342" t="str">
        <f>IF(COUNTIFS(Urlisten!$C$15:$EL$15,'2D-Alter-Größe'!V$3,Urlisten!$C$16:$EL$16,'2D-Alter-Größe'!$C7)&gt;0,COUNTIFS(Urlisten!$C$15:$EL$15,'2D-Alter-Größe'!V$3,Urlisten!$C$16:$EL$16,'2D-Alter-Größe'!$C7),"")</f>
        <v/>
      </c>
      <c r="W7" s="342" t="str">
        <f>IF(COUNTIFS(Urlisten!$C$15:$EL$15,'2D-Alter-Größe'!W$3,Urlisten!$C$16:$EL$16,'2D-Alter-Größe'!$C7)&gt;0,COUNTIFS(Urlisten!$C$15:$EL$15,'2D-Alter-Größe'!W$3,Urlisten!$C$16:$EL$16,'2D-Alter-Größe'!$C7),"")</f>
        <v/>
      </c>
      <c r="X7" s="342" t="str">
        <f>IF(COUNTIFS(Urlisten!$C$15:$EL$15,'2D-Alter-Größe'!X$3,Urlisten!$C$16:$EL$16,'2D-Alter-Größe'!$C7)&gt;0,COUNTIFS(Urlisten!$C$15:$EL$15,'2D-Alter-Größe'!X$3,Urlisten!$C$16:$EL$16,'2D-Alter-Größe'!$C7),"")</f>
        <v/>
      </c>
      <c r="Y7" s="342" t="str">
        <f>IF(COUNTIFS(Urlisten!$C$15:$EL$15,'2D-Alter-Größe'!Y$3,Urlisten!$C$16:$EL$16,'2D-Alter-Größe'!$C7)&gt;0,COUNTIFS(Urlisten!$C$15:$EL$15,'2D-Alter-Größe'!Y$3,Urlisten!$C$16:$EL$16,'2D-Alter-Größe'!$C7),"")</f>
        <v/>
      </c>
      <c r="Z7" s="342" t="str">
        <f>IF(COUNTIFS(Urlisten!$C$15:$EL$15,'2D-Alter-Größe'!Z$3,Urlisten!$C$16:$EL$16,'2D-Alter-Größe'!$C7)&gt;0,COUNTIFS(Urlisten!$C$15:$EL$15,'2D-Alter-Größe'!Z$3,Urlisten!$C$16:$EL$16,'2D-Alter-Größe'!$C7),"")</f>
        <v/>
      </c>
      <c r="AA7" s="342" t="str">
        <f>IF(COUNTIFS(Urlisten!$C$15:$EL$15,'2D-Alter-Größe'!AA$3,Urlisten!$C$16:$EL$16,'2D-Alter-Größe'!$C7)&gt;0,COUNTIFS(Urlisten!$C$15:$EL$15,'2D-Alter-Größe'!AA$3,Urlisten!$C$16:$EL$16,'2D-Alter-Größe'!$C7),"")</f>
        <v/>
      </c>
      <c r="AB7" s="349" t="str">
        <f>IF(COUNTIFS(Urlisten!$C$15:$EL$15,'2D-Alter-Größe'!AB$3,Urlisten!$C$16:$EL$16,'2D-Alter-Größe'!$C7)&gt;0,COUNTIFS(Urlisten!$C$15:$EL$15,'2D-Alter-Größe'!AB$3,Urlisten!$C$16:$EL$16,'2D-Alter-Größe'!$C7),"")</f>
        <v/>
      </c>
      <c r="AC7" s="361" t="str">
        <f t="shared" si="1"/>
        <v/>
      </c>
      <c r="AD7" s="758"/>
    </row>
    <row r="8" spans="1:30" x14ac:dyDescent="0.25">
      <c r="A8" s="6"/>
      <c r="B8" s="767"/>
      <c r="C8" s="502">
        <f t="shared" si="2"/>
        <v>159</v>
      </c>
      <c r="D8" s="343" t="str">
        <f>IF(COUNTIFS(Urlisten!$C$15:$EL$15,'2D-Alter-Größe'!D$3,Urlisten!$C$16:$EL$16,'2D-Alter-Größe'!$C8)&gt;0,COUNTIFS(Urlisten!$C$15:$EL$15,'2D-Alter-Größe'!D$3,Urlisten!$C$16:$EL$16,'2D-Alter-Größe'!$C8),"")</f>
        <v/>
      </c>
      <c r="E8" s="342" t="str">
        <f>IF(COUNTIFS(Urlisten!$C$15:$EL$15,'2D-Alter-Größe'!E$3,Urlisten!$C$16:$EL$16,'2D-Alter-Größe'!$C8)&gt;0,COUNTIFS(Urlisten!$C$15:$EL$15,'2D-Alter-Größe'!E$3,Urlisten!$C$16:$EL$16,'2D-Alter-Größe'!$C8),"")</f>
        <v/>
      </c>
      <c r="F8" s="342" t="str">
        <f>IF(COUNTIFS(Urlisten!$C$15:$EL$15,'2D-Alter-Größe'!F$3,Urlisten!$C$16:$EL$16,'2D-Alter-Größe'!$C8)&gt;0,COUNTIFS(Urlisten!$C$15:$EL$15,'2D-Alter-Größe'!F$3,Urlisten!$C$16:$EL$16,'2D-Alter-Größe'!$C8),"")</f>
        <v/>
      </c>
      <c r="G8" s="342" t="str">
        <f>IF(COUNTIFS(Urlisten!$C$15:$EL$15,'2D-Alter-Größe'!G$3,Urlisten!$C$16:$EL$16,'2D-Alter-Größe'!$C8)&gt;0,COUNTIFS(Urlisten!$C$15:$EL$15,'2D-Alter-Größe'!G$3,Urlisten!$C$16:$EL$16,'2D-Alter-Größe'!$C8),"")</f>
        <v/>
      </c>
      <c r="H8" s="342" t="str">
        <f>IF(COUNTIFS(Urlisten!$C$15:$EL$15,'2D-Alter-Größe'!H$3,Urlisten!$C$16:$EL$16,'2D-Alter-Größe'!$C8)&gt;0,COUNTIFS(Urlisten!$C$15:$EL$15,'2D-Alter-Größe'!H$3,Urlisten!$C$16:$EL$16,'2D-Alter-Größe'!$C8),"")</f>
        <v/>
      </c>
      <c r="I8" s="342" t="str">
        <f>IF(COUNTIFS(Urlisten!$C$15:$EL$15,'2D-Alter-Größe'!I$3,Urlisten!$C$16:$EL$16,'2D-Alter-Größe'!$C8)&gt;0,COUNTIFS(Urlisten!$C$15:$EL$15,'2D-Alter-Größe'!I$3,Urlisten!$C$16:$EL$16,'2D-Alter-Größe'!$C8),"")</f>
        <v/>
      </c>
      <c r="J8" s="342" t="str">
        <f>IF(COUNTIFS(Urlisten!$C$15:$EL$15,'2D-Alter-Größe'!J$3,Urlisten!$C$16:$EL$16,'2D-Alter-Größe'!$C8)&gt;0,COUNTIFS(Urlisten!$C$15:$EL$15,'2D-Alter-Größe'!J$3,Urlisten!$C$16:$EL$16,'2D-Alter-Größe'!$C8),"")</f>
        <v/>
      </c>
      <c r="K8" s="342" t="str">
        <f>IF(COUNTIFS(Urlisten!$C$15:$EL$15,'2D-Alter-Größe'!K$3,Urlisten!$C$16:$EL$16,'2D-Alter-Größe'!$C8)&gt;0,COUNTIFS(Urlisten!$C$15:$EL$15,'2D-Alter-Größe'!K$3,Urlisten!$C$16:$EL$16,'2D-Alter-Größe'!$C8),"")</f>
        <v/>
      </c>
      <c r="L8" s="342" t="str">
        <f>IF(COUNTIFS(Urlisten!$C$15:$EL$15,'2D-Alter-Größe'!L$3,Urlisten!$C$16:$EL$16,'2D-Alter-Größe'!$C8)&gt;0,COUNTIFS(Urlisten!$C$15:$EL$15,'2D-Alter-Größe'!L$3,Urlisten!$C$16:$EL$16,'2D-Alter-Größe'!$C8),"")</f>
        <v/>
      </c>
      <c r="M8" s="342" t="str">
        <f>IF(COUNTIFS(Urlisten!$C$15:$EL$15,'2D-Alter-Größe'!M$3,Urlisten!$C$16:$EL$16,'2D-Alter-Größe'!$C8)&gt;0,COUNTIFS(Urlisten!$C$15:$EL$15,'2D-Alter-Größe'!M$3,Urlisten!$C$16:$EL$16,'2D-Alter-Größe'!$C8),"")</f>
        <v/>
      </c>
      <c r="N8" s="342" t="str">
        <f>IF(COUNTIFS(Urlisten!$C$15:$EL$15,'2D-Alter-Größe'!N$3,Urlisten!$C$16:$EL$16,'2D-Alter-Größe'!$C8)&gt;0,COUNTIFS(Urlisten!$C$15:$EL$15,'2D-Alter-Größe'!N$3,Urlisten!$C$16:$EL$16,'2D-Alter-Größe'!$C8),"")</f>
        <v/>
      </c>
      <c r="O8" s="342" t="str">
        <f>IF(COUNTIFS(Urlisten!$C$15:$EL$15,'2D-Alter-Größe'!O$3,Urlisten!$C$16:$EL$16,'2D-Alter-Größe'!$C8)&gt;0,COUNTIFS(Urlisten!$C$15:$EL$15,'2D-Alter-Größe'!O$3,Urlisten!$C$16:$EL$16,'2D-Alter-Größe'!$C8),"")</f>
        <v/>
      </c>
      <c r="P8" s="342" t="str">
        <f>IF(COUNTIFS(Urlisten!$C$15:$EL$15,'2D-Alter-Größe'!P$3,Urlisten!$C$16:$EL$16,'2D-Alter-Größe'!$C8)&gt;0,COUNTIFS(Urlisten!$C$15:$EL$15,'2D-Alter-Größe'!P$3,Urlisten!$C$16:$EL$16,'2D-Alter-Größe'!$C8),"")</f>
        <v/>
      </c>
      <c r="Q8" s="342" t="str">
        <f>IF(COUNTIFS(Urlisten!$C$15:$EL$15,'2D-Alter-Größe'!Q$3,Urlisten!$C$16:$EL$16,'2D-Alter-Größe'!$C8)&gt;0,COUNTIFS(Urlisten!$C$15:$EL$15,'2D-Alter-Größe'!Q$3,Urlisten!$C$16:$EL$16,'2D-Alter-Größe'!$C8),"")</f>
        <v/>
      </c>
      <c r="R8" s="342" t="str">
        <f>IF(COUNTIFS(Urlisten!$C$15:$EL$15,'2D-Alter-Größe'!R$3,Urlisten!$C$16:$EL$16,'2D-Alter-Größe'!$C8)&gt;0,COUNTIFS(Urlisten!$C$15:$EL$15,'2D-Alter-Größe'!R$3,Urlisten!$C$16:$EL$16,'2D-Alter-Größe'!$C8),"")</f>
        <v/>
      </c>
      <c r="S8" s="342" t="str">
        <f>IF(COUNTIFS(Urlisten!$C$15:$EL$15,'2D-Alter-Größe'!S$3,Urlisten!$C$16:$EL$16,'2D-Alter-Größe'!$C8)&gt;0,COUNTIFS(Urlisten!$C$15:$EL$15,'2D-Alter-Größe'!S$3,Urlisten!$C$16:$EL$16,'2D-Alter-Größe'!$C8),"")</f>
        <v/>
      </c>
      <c r="T8" s="342" t="str">
        <f>IF(COUNTIFS(Urlisten!$C$15:$EL$15,'2D-Alter-Größe'!T$3,Urlisten!$C$16:$EL$16,'2D-Alter-Größe'!$C8)&gt;0,COUNTIFS(Urlisten!$C$15:$EL$15,'2D-Alter-Größe'!T$3,Urlisten!$C$16:$EL$16,'2D-Alter-Größe'!$C8),"")</f>
        <v/>
      </c>
      <c r="U8" s="342" t="str">
        <f>IF(COUNTIFS(Urlisten!$C$15:$EL$15,'2D-Alter-Größe'!U$3,Urlisten!$C$16:$EL$16,'2D-Alter-Größe'!$C8)&gt;0,COUNTIFS(Urlisten!$C$15:$EL$15,'2D-Alter-Größe'!U$3,Urlisten!$C$16:$EL$16,'2D-Alter-Größe'!$C8),"")</f>
        <v/>
      </c>
      <c r="V8" s="342" t="str">
        <f>IF(COUNTIFS(Urlisten!$C$15:$EL$15,'2D-Alter-Größe'!V$3,Urlisten!$C$16:$EL$16,'2D-Alter-Größe'!$C8)&gt;0,COUNTIFS(Urlisten!$C$15:$EL$15,'2D-Alter-Größe'!V$3,Urlisten!$C$16:$EL$16,'2D-Alter-Größe'!$C8),"")</f>
        <v/>
      </c>
      <c r="W8" s="342" t="str">
        <f>IF(COUNTIFS(Urlisten!$C$15:$EL$15,'2D-Alter-Größe'!W$3,Urlisten!$C$16:$EL$16,'2D-Alter-Größe'!$C8)&gt;0,COUNTIFS(Urlisten!$C$15:$EL$15,'2D-Alter-Größe'!W$3,Urlisten!$C$16:$EL$16,'2D-Alter-Größe'!$C8),"")</f>
        <v/>
      </c>
      <c r="X8" s="342" t="str">
        <f>IF(COUNTIFS(Urlisten!$C$15:$EL$15,'2D-Alter-Größe'!X$3,Urlisten!$C$16:$EL$16,'2D-Alter-Größe'!$C8)&gt;0,COUNTIFS(Urlisten!$C$15:$EL$15,'2D-Alter-Größe'!X$3,Urlisten!$C$16:$EL$16,'2D-Alter-Größe'!$C8),"")</f>
        <v/>
      </c>
      <c r="Y8" s="342" t="str">
        <f>IF(COUNTIFS(Urlisten!$C$15:$EL$15,'2D-Alter-Größe'!Y$3,Urlisten!$C$16:$EL$16,'2D-Alter-Größe'!$C8)&gt;0,COUNTIFS(Urlisten!$C$15:$EL$15,'2D-Alter-Größe'!Y$3,Urlisten!$C$16:$EL$16,'2D-Alter-Größe'!$C8),"")</f>
        <v/>
      </c>
      <c r="Z8" s="342" t="str">
        <f>IF(COUNTIFS(Urlisten!$C$15:$EL$15,'2D-Alter-Größe'!Z$3,Urlisten!$C$16:$EL$16,'2D-Alter-Größe'!$C8)&gt;0,COUNTIFS(Urlisten!$C$15:$EL$15,'2D-Alter-Größe'!Z$3,Urlisten!$C$16:$EL$16,'2D-Alter-Größe'!$C8),"")</f>
        <v/>
      </c>
      <c r="AA8" s="342" t="str">
        <f>IF(COUNTIFS(Urlisten!$C$15:$EL$15,'2D-Alter-Größe'!AA$3,Urlisten!$C$16:$EL$16,'2D-Alter-Größe'!$C8)&gt;0,COUNTIFS(Urlisten!$C$15:$EL$15,'2D-Alter-Größe'!AA$3,Urlisten!$C$16:$EL$16,'2D-Alter-Größe'!$C8),"")</f>
        <v/>
      </c>
      <c r="AB8" s="349" t="str">
        <f>IF(COUNTIFS(Urlisten!$C$15:$EL$15,'2D-Alter-Größe'!AB$3,Urlisten!$C$16:$EL$16,'2D-Alter-Größe'!$C8)&gt;0,COUNTIFS(Urlisten!$C$15:$EL$15,'2D-Alter-Größe'!AB$3,Urlisten!$C$16:$EL$16,'2D-Alter-Größe'!$C8),"")</f>
        <v/>
      </c>
      <c r="AC8" s="361" t="str">
        <f t="shared" si="1"/>
        <v/>
      </c>
      <c r="AD8" s="758"/>
    </row>
    <row r="9" spans="1:30" x14ac:dyDescent="0.25">
      <c r="A9" s="6"/>
      <c r="B9" s="767"/>
      <c r="C9" s="502">
        <f t="shared" si="2"/>
        <v>160</v>
      </c>
      <c r="D9" s="343" t="str">
        <f>IF(COUNTIFS(Urlisten!$C$15:$EL$15,'2D-Alter-Größe'!D$3,Urlisten!$C$16:$EL$16,'2D-Alter-Größe'!$C9)&gt;0,COUNTIFS(Urlisten!$C$15:$EL$15,'2D-Alter-Größe'!D$3,Urlisten!$C$16:$EL$16,'2D-Alter-Größe'!$C9),"")</f>
        <v/>
      </c>
      <c r="E9" s="342">
        <f>IF(COUNTIFS(Urlisten!$C$15:$EL$15,'2D-Alter-Größe'!E$3,Urlisten!$C$16:$EL$16,'2D-Alter-Größe'!$C9)&gt;0,COUNTIFS(Urlisten!$C$15:$EL$15,'2D-Alter-Größe'!E$3,Urlisten!$C$16:$EL$16,'2D-Alter-Größe'!$C9),"")</f>
        <v>1</v>
      </c>
      <c r="F9" s="342" t="str">
        <f>IF(COUNTIFS(Urlisten!$C$15:$EL$15,'2D-Alter-Größe'!F$3,Urlisten!$C$16:$EL$16,'2D-Alter-Größe'!$C9)&gt;0,COUNTIFS(Urlisten!$C$15:$EL$15,'2D-Alter-Größe'!F$3,Urlisten!$C$16:$EL$16,'2D-Alter-Größe'!$C9),"")</f>
        <v/>
      </c>
      <c r="G9" s="342">
        <f>IF(COUNTIFS(Urlisten!$C$15:$EL$15,'2D-Alter-Größe'!G$3,Urlisten!$C$16:$EL$16,'2D-Alter-Größe'!$C9)&gt;0,COUNTIFS(Urlisten!$C$15:$EL$15,'2D-Alter-Größe'!G$3,Urlisten!$C$16:$EL$16,'2D-Alter-Größe'!$C9),"")</f>
        <v>1</v>
      </c>
      <c r="H9" s="342">
        <f>IF(COUNTIFS(Urlisten!$C$15:$EL$15,'2D-Alter-Größe'!H$3,Urlisten!$C$16:$EL$16,'2D-Alter-Größe'!$C9)&gt;0,COUNTIFS(Urlisten!$C$15:$EL$15,'2D-Alter-Größe'!H$3,Urlisten!$C$16:$EL$16,'2D-Alter-Größe'!$C9),"")</f>
        <v>1</v>
      </c>
      <c r="I9" s="342">
        <f>IF(COUNTIFS(Urlisten!$C$15:$EL$15,'2D-Alter-Größe'!I$3,Urlisten!$C$16:$EL$16,'2D-Alter-Größe'!$C9)&gt;0,COUNTIFS(Urlisten!$C$15:$EL$15,'2D-Alter-Größe'!I$3,Urlisten!$C$16:$EL$16,'2D-Alter-Größe'!$C9),"")</f>
        <v>1</v>
      </c>
      <c r="J9" s="342">
        <f>IF(COUNTIFS(Urlisten!$C$15:$EL$15,'2D-Alter-Größe'!J$3,Urlisten!$C$16:$EL$16,'2D-Alter-Größe'!$C9)&gt;0,COUNTIFS(Urlisten!$C$15:$EL$15,'2D-Alter-Größe'!J$3,Urlisten!$C$16:$EL$16,'2D-Alter-Größe'!$C9),"")</f>
        <v>1</v>
      </c>
      <c r="K9" s="342" t="str">
        <f>IF(COUNTIFS(Urlisten!$C$15:$EL$15,'2D-Alter-Größe'!K$3,Urlisten!$C$16:$EL$16,'2D-Alter-Größe'!$C9)&gt;0,COUNTIFS(Urlisten!$C$15:$EL$15,'2D-Alter-Größe'!K$3,Urlisten!$C$16:$EL$16,'2D-Alter-Größe'!$C9),"")</f>
        <v/>
      </c>
      <c r="L9" s="342" t="str">
        <f>IF(COUNTIFS(Urlisten!$C$15:$EL$15,'2D-Alter-Größe'!L$3,Urlisten!$C$16:$EL$16,'2D-Alter-Größe'!$C9)&gt;0,COUNTIFS(Urlisten!$C$15:$EL$15,'2D-Alter-Größe'!L$3,Urlisten!$C$16:$EL$16,'2D-Alter-Größe'!$C9),"")</f>
        <v/>
      </c>
      <c r="M9" s="342" t="str">
        <f>IF(COUNTIFS(Urlisten!$C$15:$EL$15,'2D-Alter-Größe'!M$3,Urlisten!$C$16:$EL$16,'2D-Alter-Größe'!$C9)&gt;0,COUNTIFS(Urlisten!$C$15:$EL$15,'2D-Alter-Größe'!M$3,Urlisten!$C$16:$EL$16,'2D-Alter-Größe'!$C9),"")</f>
        <v/>
      </c>
      <c r="N9" s="342" t="str">
        <f>IF(COUNTIFS(Urlisten!$C$15:$EL$15,'2D-Alter-Größe'!N$3,Urlisten!$C$16:$EL$16,'2D-Alter-Größe'!$C9)&gt;0,COUNTIFS(Urlisten!$C$15:$EL$15,'2D-Alter-Größe'!N$3,Urlisten!$C$16:$EL$16,'2D-Alter-Größe'!$C9),"")</f>
        <v/>
      </c>
      <c r="O9" s="342" t="str">
        <f>IF(COUNTIFS(Urlisten!$C$15:$EL$15,'2D-Alter-Größe'!O$3,Urlisten!$C$16:$EL$16,'2D-Alter-Größe'!$C9)&gt;0,COUNTIFS(Urlisten!$C$15:$EL$15,'2D-Alter-Größe'!O$3,Urlisten!$C$16:$EL$16,'2D-Alter-Größe'!$C9),"")</f>
        <v/>
      </c>
      <c r="P9" s="342" t="str">
        <f>IF(COUNTIFS(Urlisten!$C$15:$EL$15,'2D-Alter-Größe'!P$3,Urlisten!$C$16:$EL$16,'2D-Alter-Größe'!$C9)&gt;0,COUNTIFS(Urlisten!$C$15:$EL$15,'2D-Alter-Größe'!P$3,Urlisten!$C$16:$EL$16,'2D-Alter-Größe'!$C9),"")</f>
        <v/>
      </c>
      <c r="Q9" s="342" t="str">
        <f>IF(COUNTIFS(Urlisten!$C$15:$EL$15,'2D-Alter-Größe'!Q$3,Urlisten!$C$16:$EL$16,'2D-Alter-Größe'!$C9)&gt;0,COUNTIFS(Urlisten!$C$15:$EL$15,'2D-Alter-Größe'!Q$3,Urlisten!$C$16:$EL$16,'2D-Alter-Größe'!$C9),"")</f>
        <v/>
      </c>
      <c r="R9" s="342" t="str">
        <f>IF(COUNTIFS(Urlisten!$C$15:$EL$15,'2D-Alter-Größe'!R$3,Urlisten!$C$16:$EL$16,'2D-Alter-Größe'!$C9)&gt;0,COUNTIFS(Urlisten!$C$15:$EL$15,'2D-Alter-Größe'!R$3,Urlisten!$C$16:$EL$16,'2D-Alter-Größe'!$C9),"")</f>
        <v/>
      </c>
      <c r="S9" s="342" t="str">
        <f>IF(COUNTIFS(Urlisten!$C$15:$EL$15,'2D-Alter-Größe'!S$3,Urlisten!$C$16:$EL$16,'2D-Alter-Größe'!$C9)&gt;0,COUNTIFS(Urlisten!$C$15:$EL$15,'2D-Alter-Größe'!S$3,Urlisten!$C$16:$EL$16,'2D-Alter-Größe'!$C9),"")</f>
        <v/>
      </c>
      <c r="T9" s="342" t="str">
        <f>IF(COUNTIFS(Urlisten!$C$15:$EL$15,'2D-Alter-Größe'!T$3,Urlisten!$C$16:$EL$16,'2D-Alter-Größe'!$C9)&gt;0,COUNTIFS(Urlisten!$C$15:$EL$15,'2D-Alter-Größe'!T$3,Urlisten!$C$16:$EL$16,'2D-Alter-Größe'!$C9),"")</f>
        <v/>
      </c>
      <c r="U9" s="342" t="str">
        <f>IF(COUNTIFS(Urlisten!$C$15:$EL$15,'2D-Alter-Größe'!U$3,Urlisten!$C$16:$EL$16,'2D-Alter-Größe'!$C9)&gt;0,COUNTIFS(Urlisten!$C$15:$EL$15,'2D-Alter-Größe'!U$3,Urlisten!$C$16:$EL$16,'2D-Alter-Größe'!$C9),"")</f>
        <v/>
      </c>
      <c r="V9" s="342" t="str">
        <f>IF(COUNTIFS(Urlisten!$C$15:$EL$15,'2D-Alter-Größe'!V$3,Urlisten!$C$16:$EL$16,'2D-Alter-Größe'!$C9)&gt;0,COUNTIFS(Urlisten!$C$15:$EL$15,'2D-Alter-Größe'!V$3,Urlisten!$C$16:$EL$16,'2D-Alter-Größe'!$C9),"")</f>
        <v/>
      </c>
      <c r="W9" s="342" t="str">
        <f>IF(COUNTIFS(Urlisten!$C$15:$EL$15,'2D-Alter-Größe'!W$3,Urlisten!$C$16:$EL$16,'2D-Alter-Größe'!$C9)&gt;0,COUNTIFS(Urlisten!$C$15:$EL$15,'2D-Alter-Größe'!W$3,Urlisten!$C$16:$EL$16,'2D-Alter-Größe'!$C9),"")</f>
        <v/>
      </c>
      <c r="X9" s="342" t="str">
        <f>IF(COUNTIFS(Urlisten!$C$15:$EL$15,'2D-Alter-Größe'!X$3,Urlisten!$C$16:$EL$16,'2D-Alter-Größe'!$C9)&gt;0,COUNTIFS(Urlisten!$C$15:$EL$15,'2D-Alter-Größe'!X$3,Urlisten!$C$16:$EL$16,'2D-Alter-Größe'!$C9),"")</f>
        <v/>
      </c>
      <c r="Y9" s="342" t="str">
        <f>IF(COUNTIFS(Urlisten!$C$15:$EL$15,'2D-Alter-Größe'!Y$3,Urlisten!$C$16:$EL$16,'2D-Alter-Größe'!$C9)&gt;0,COUNTIFS(Urlisten!$C$15:$EL$15,'2D-Alter-Größe'!Y$3,Urlisten!$C$16:$EL$16,'2D-Alter-Größe'!$C9),"")</f>
        <v/>
      </c>
      <c r="Z9" s="342" t="str">
        <f>IF(COUNTIFS(Urlisten!$C$15:$EL$15,'2D-Alter-Größe'!Z$3,Urlisten!$C$16:$EL$16,'2D-Alter-Größe'!$C9)&gt;0,COUNTIFS(Urlisten!$C$15:$EL$15,'2D-Alter-Größe'!Z$3,Urlisten!$C$16:$EL$16,'2D-Alter-Größe'!$C9),"")</f>
        <v/>
      </c>
      <c r="AA9" s="342" t="str">
        <f>IF(COUNTIFS(Urlisten!$C$15:$EL$15,'2D-Alter-Größe'!AA$3,Urlisten!$C$16:$EL$16,'2D-Alter-Größe'!$C9)&gt;0,COUNTIFS(Urlisten!$C$15:$EL$15,'2D-Alter-Größe'!AA$3,Urlisten!$C$16:$EL$16,'2D-Alter-Größe'!$C9),"")</f>
        <v/>
      </c>
      <c r="AB9" s="349" t="str">
        <f>IF(COUNTIFS(Urlisten!$C$15:$EL$15,'2D-Alter-Größe'!AB$3,Urlisten!$C$16:$EL$16,'2D-Alter-Größe'!$C9)&gt;0,COUNTIFS(Urlisten!$C$15:$EL$15,'2D-Alter-Größe'!AB$3,Urlisten!$C$16:$EL$16,'2D-Alter-Größe'!$C9),"")</f>
        <v/>
      </c>
      <c r="AC9" s="361">
        <f t="shared" si="1"/>
        <v>5</v>
      </c>
      <c r="AD9" s="758"/>
    </row>
    <row r="10" spans="1:30" x14ac:dyDescent="0.25">
      <c r="A10" s="6"/>
      <c r="B10" s="767"/>
      <c r="C10" s="502">
        <f t="shared" si="2"/>
        <v>161</v>
      </c>
      <c r="D10" s="343" t="str">
        <f>IF(COUNTIFS(Urlisten!$C$15:$EL$15,'2D-Alter-Größe'!D$3,Urlisten!$C$16:$EL$16,'2D-Alter-Größe'!$C10)&gt;0,COUNTIFS(Urlisten!$C$15:$EL$15,'2D-Alter-Größe'!D$3,Urlisten!$C$16:$EL$16,'2D-Alter-Größe'!$C10),"")</f>
        <v/>
      </c>
      <c r="E10" s="342" t="str">
        <f>IF(COUNTIFS(Urlisten!$C$15:$EL$15,'2D-Alter-Größe'!E$3,Urlisten!$C$16:$EL$16,'2D-Alter-Größe'!$C10)&gt;0,COUNTIFS(Urlisten!$C$15:$EL$15,'2D-Alter-Größe'!E$3,Urlisten!$C$16:$EL$16,'2D-Alter-Größe'!$C10),"")</f>
        <v/>
      </c>
      <c r="F10" s="342" t="str">
        <f>IF(COUNTIFS(Urlisten!$C$15:$EL$15,'2D-Alter-Größe'!F$3,Urlisten!$C$16:$EL$16,'2D-Alter-Größe'!$C10)&gt;0,COUNTIFS(Urlisten!$C$15:$EL$15,'2D-Alter-Größe'!F$3,Urlisten!$C$16:$EL$16,'2D-Alter-Größe'!$C10),"")</f>
        <v/>
      </c>
      <c r="G10" s="342" t="str">
        <f>IF(COUNTIFS(Urlisten!$C$15:$EL$15,'2D-Alter-Größe'!G$3,Urlisten!$C$16:$EL$16,'2D-Alter-Größe'!$C10)&gt;0,COUNTIFS(Urlisten!$C$15:$EL$15,'2D-Alter-Größe'!G$3,Urlisten!$C$16:$EL$16,'2D-Alter-Größe'!$C10),"")</f>
        <v/>
      </c>
      <c r="H10" s="342">
        <f>IF(COUNTIFS(Urlisten!$C$15:$EL$15,'2D-Alter-Größe'!H$3,Urlisten!$C$16:$EL$16,'2D-Alter-Größe'!$C10)&gt;0,COUNTIFS(Urlisten!$C$15:$EL$15,'2D-Alter-Größe'!H$3,Urlisten!$C$16:$EL$16,'2D-Alter-Größe'!$C10),"")</f>
        <v>1</v>
      </c>
      <c r="I10" s="342" t="str">
        <f>IF(COUNTIFS(Urlisten!$C$15:$EL$15,'2D-Alter-Größe'!I$3,Urlisten!$C$16:$EL$16,'2D-Alter-Größe'!$C10)&gt;0,COUNTIFS(Urlisten!$C$15:$EL$15,'2D-Alter-Größe'!I$3,Urlisten!$C$16:$EL$16,'2D-Alter-Größe'!$C10),"")</f>
        <v/>
      </c>
      <c r="J10" s="342" t="str">
        <f>IF(COUNTIFS(Urlisten!$C$15:$EL$15,'2D-Alter-Größe'!J$3,Urlisten!$C$16:$EL$16,'2D-Alter-Größe'!$C10)&gt;0,COUNTIFS(Urlisten!$C$15:$EL$15,'2D-Alter-Größe'!J$3,Urlisten!$C$16:$EL$16,'2D-Alter-Größe'!$C10),"")</f>
        <v/>
      </c>
      <c r="K10" s="342" t="str">
        <f>IF(COUNTIFS(Urlisten!$C$15:$EL$15,'2D-Alter-Größe'!K$3,Urlisten!$C$16:$EL$16,'2D-Alter-Größe'!$C10)&gt;0,COUNTIFS(Urlisten!$C$15:$EL$15,'2D-Alter-Größe'!K$3,Urlisten!$C$16:$EL$16,'2D-Alter-Größe'!$C10),"")</f>
        <v/>
      </c>
      <c r="L10" s="342" t="str">
        <f>IF(COUNTIFS(Urlisten!$C$15:$EL$15,'2D-Alter-Größe'!L$3,Urlisten!$C$16:$EL$16,'2D-Alter-Größe'!$C10)&gt;0,COUNTIFS(Urlisten!$C$15:$EL$15,'2D-Alter-Größe'!L$3,Urlisten!$C$16:$EL$16,'2D-Alter-Größe'!$C10),"")</f>
        <v/>
      </c>
      <c r="M10" s="342" t="str">
        <f>IF(COUNTIFS(Urlisten!$C$15:$EL$15,'2D-Alter-Größe'!M$3,Urlisten!$C$16:$EL$16,'2D-Alter-Größe'!$C10)&gt;0,COUNTIFS(Urlisten!$C$15:$EL$15,'2D-Alter-Größe'!M$3,Urlisten!$C$16:$EL$16,'2D-Alter-Größe'!$C10),"")</f>
        <v/>
      </c>
      <c r="N10" s="342" t="str">
        <f>IF(COUNTIFS(Urlisten!$C$15:$EL$15,'2D-Alter-Größe'!N$3,Urlisten!$C$16:$EL$16,'2D-Alter-Größe'!$C10)&gt;0,COUNTIFS(Urlisten!$C$15:$EL$15,'2D-Alter-Größe'!N$3,Urlisten!$C$16:$EL$16,'2D-Alter-Größe'!$C10),"")</f>
        <v/>
      </c>
      <c r="O10" s="342" t="str">
        <f>IF(COUNTIFS(Urlisten!$C$15:$EL$15,'2D-Alter-Größe'!O$3,Urlisten!$C$16:$EL$16,'2D-Alter-Größe'!$C10)&gt;0,COUNTIFS(Urlisten!$C$15:$EL$15,'2D-Alter-Größe'!O$3,Urlisten!$C$16:$EL$16,'2D-Alter-Größe'!$C10),"")</f>
        <v/>
      </c>
      <c r="P10" s="342" t="str">
        <f>IF(COUNTIFS(Urlisten!$C$15:$EL$15,'2D-Alter-Größe'!P$3,Urlisten!$C$16:$EL$16,'2D-Alter-Größe'!$C10)&gt;0,COUNTIFS(Urlisten!$C$15:$EL$15,'2D-Alter-Größe'!P$3,Urlisten!$C$16:$EL$16,'2D-Alter-Größe'!$C10),"")</f>
        <v/>
      </c>
      <c r="Q10" s="342" t="str">
        <f>IF(COUNTIFS(Urlisten!$C$15:$EL$15,'2D-Alter-Größe'!Q$3,Urlisten!$C$16:$EL$16,'2D-Alter-Größe'!$C10)&gt;0,COUNTIFS(Urlisten!$C$15:$EL$15,'2D-Alter-Größe'!Q$3,Urlisten!$C$16:$EL$16,'2D-Alter-Größe'!$C10),"")</f>
        <v/>
      </c>
      <c r="R10" s="342" t="str">
        <f>IF(COUNTIFS(Urlisten!$C$15:$EL$15,'2D-Alter-Größe'!R$3,Urlisten!$C$16:$EL$16,'2D-Alter-Größe'!$C10)&gt;0,COUNTIFS(Urlisten!$C$15:$EL$15,'2D-Alter-Größe'!R$3,Urlisten!$C$16:$EL$16,'2D-Alter-Größe'!$C10),"")</f>
        <v/>
      </c>
      <c r="S10" s="342" t="str">
        <f>IF(COUNTIFS(Urlisten!$C$15:$EL$15,'2D-Alter-Größe'!S$3,Urlisten!$C$16:$EL$16,'2D-Alter-Größe'!$C10)&gt;0,COUNTIFS(Urlisten!$C$15:$EL$15,'2D-Alter-Größe'!S$3,Urlisten!$C$16:$EL$16,'2D-Alter-Größe'!$C10),"")</f>
        <v/>
      </c>
      <c r="T10" s="342" t="str">
        <f>IF(COUNTIFS(Urlisten!$C$15:$EL$15,'2D-Alter-Größe'!T$3,Urlisten!$C$16:$EL$16,'2D-Alter-Größe'!$C10)&gt;0,COUNTIFS(Urlisten!$C$15:$EL$15,'2D-Alter-Größe'!T$3,Urlisten!$C$16:$EL$16,'2D-Alter-Größe'!$C10),"")</f>
        <v/>
      </c>
      <c r="U10" s="342" t="str">
        <f>IF(COUNTIFS(Urlisten!$C$15:$EL$15,'2D-Alter-Größe'!U$3,Urlisten!$C$16:$EL$16,'2D-Alter-Größe'!$C10)&gt;0,COUNTIFS(Urlisten!$C$15:$EL$15,'2D-Alter-Größe'!U$3,Urlisten!$C$16:$EL$16,'2D-Alter-Größe'!$C10),"")</f>
        <v/>
      </c>
      <c r="V10" s="342" t="str">
        <f>IF(COUNTIFS(Urlisten!$C$15:$EL$15,'2D-Alter-Größe'!V$3,Urlisten!$C$16:$EL$16,'2D-Alter-Größe'!$C10)&gt;0,COUNTIFS(Urlisten!$C$15:$EL$15,'2D-Alter-Größe'!V$3,Urlisten!$C$16:$EL$16,'2D-Alter-Größe'!$C10),"")</f>
        <v/>
      </c>
      <c r="W10" s="342" t="str">
        <f>IF(COUNTIFS(Urlisten!$C$15:$EL$15,'2D-Alter-Größe'!W$3,Urlisten!$C$16:$EL$16,'2D-Alter-Größe'!$C10)&gt;0,COUNTIFS(Urlisten!$C$15:$EL$15,'2D-Alter-Größe'!W$3,Urlisten!$C$16:$EL$16,'2D-Alter-Größe'!$C10),"")</f>
        <v/>
      </c>
      <c r="X10" s="342" t="str">
        <f>IF(COUNTIFS(Urlisten!$C$15:$EL$15,'2D-Alter-Größe'!X$3,Urlisten!$C$16:$EL$16,'2D-Alter-Größe'!$C10)&gt;0,COUNTIFS(Urlisten!$C$15:$EL$15,'2D-Alter-Größe'!X$3,Urlisten!$C$16:$EL$16,'2D-Alter-Größe'!$C10),"")</f>
        <v/>
      </c>
      <c r="Y10" s="342" t="str">
        <f>IF(COUNTIFS(Urlisten!$C$15:$EL$15,'2D-Alter-Größe'!Y$3,Urlisten!$C$16:$EL$16,'2D-Alter-Größe'!$C10)&gt;0,COUNTIFS(Urlisten!$C$15:$EL$15,'2D-Alter-Größe'!Y$3,Urlisten!$C$16:$EL$16,'2D-Alter-Größe'!$C10),"")</f>
        <v/>
      </c>
      <c r="Z10" s="342" t="str">
        <f>IF(COUNTIFS(Urlisten!$C$15:$EL$15,'2D-Alter-Größe'!Z$3,Urlisten!$C$16:$EL$16,'2D-Alter-Größe'!$C10)&gt;0,COUNTIFS(Urlisten!$C$15:$EL$15,'2D-Alter-Größe'!Z$3,Urlisten!$C$16:$EL$16,'2D-Alter-Größe'!$C10),"")</f>
        <v/>
      </c>
      <c r="AA10" s="342" t="str">
        <f>IF(COUNTIFS(Urlisten!$C$15:$EL$15,'2D-Alter-Größe'!AA$3,Urlisten!$C$16:$EL$16,'2D-Alter-Größe'!$C10)&gt;0,COUNTIFS(Urlisten!$C$15:$EL$15,'2D-Alter-Größe'!AA$3,Urlisten!$C$16:$EL$16,'2D-Alter-Größe'!$C10),"")</f>
        <v/>
      </c>
      <c r="AB10" s="349" t="str">
        <f>IF(COUNTIFS(Urlisten!$C$15:$EL$15,'2D-Alter-Größe'!AB$3,Urlisten!$C$16:$EL$16,'2D-Alter-Größe'!$C10)&gt;0,COUNTIFS(Urlisten!$C$15:$EL$15,'2D-Alter-Größe'!AB$3,Urlisten!$C$16:$EL$16,'2D-Alter-Größe'!$C10),"")</f>
        <v/>
      </c>
      <c r="AC10" s="361">
        <f t="shared" si="1"/>
        <v>1</v>
      </c>
      <c r="AD10" s="758"/>
    </row>
    <row r="11" spans="1:30" x14ac:dyDescent="0.25">
      <c r="A11" s="6"/>
      <c r="B11" s="767"/>
      <c r="C11" s="502">
        <f t="shared" si="2"/>
        <v>162</v>
      </c>
      <c r="D11" s="343" t="str">
        <f>IF(COUNTIFS(Urlisten!$C$15:$EL$15,'2D-Alter-Größe'!D$3,Urlisten!$C$16:$EL$16,'2D-Alter-Größe'!$C11)&gt;0,COUNTIFS(Urlisten!$C$15:$EL$15,'2D-Alter-Größe'!D$3,Urlisten!$C$16:$EL$16,'2D-Alter-Größe'!$C11),"")</f>
        <v/>
      </c>
      <c r="E11" s="342" t="str">
        <f>IF(COUNTIFS(Urlisten!$C$15:$EL$15,'2D-Alter-Größe'!E$3,Urlisten!$C$16:$EL$16,'2D-Alter-Größe'!$C11)&gt;0,COUNTIFS(Urlisten!$C$15:$EL$15,'2D-Alter-Größe'!E$3,Urlisten!$C$16:$EL$16,'2D-Alter-Größe'!$C11),"")</f>
        <v/>
      </c>
      <c r="F11" s="342" t="str">
        <f>IF(COUNTIFS(Urlisten!$C$15:$EL$15,'2D-Alter-Größe'!F$3,Urlisten!$C$16:$EL$16,'2D-Alter-Größe'!$C11)&gt;0,COUNTIFS(Urlisten!$C$15:$EL$15,'2D-Alter-Größe'!F$3,Urlisten!$C$16:$EL$16,'2D-Alter-Größe'!$C11),"")</f>
        <v/>
      </c>
      <c r="G11" s="342" t="str">
        <f>IF(COUNTIFS(Urlisten!$C$15:$EL$15,'2D-Alter-Größe'!G$3,Urlisten!$C$16:$EL$16,'2D-Alter-Größe'!$C11)&gt;0,COUNTIFS(Urlisten!$C$15:$EL$15,'2D-Alter-Größe'!G$3,Urlisten!$C$16:$EL$16,'2D-Alter-Größe'!$C11),"")</f>
        <v/>
      </c>
      <c r="H11" s="342" t="str">
        <f>IF(COUNTIFS(Urlisten!$C$15:$EL$15,'2D-Alter-Größe'!H$3,Urlisten!$C$16:$EL$16,'2D-Alter-Größe'!$C11)&gt;0,COUNTIFS(Urlisten!$C$15:$EL$15,'2D-Alter-Größe'!H$3,Urlisten!$C$16:$EL$16,'2D-Alter-Größe'!$C11),"")</f>
        <v/>
      </c>
      <c r="I11" s="342" t="str">
        <f>IF(COUNTIFS(Urlisten!$C$15:$EL$15,'2D-Alter-Größe'!I$3,Urlisten!$C$16:$EL$16,'2D-Alter-Größe'!$C11)&gt;0,COUNTIFS(Urlisten!$C$15:$EL$15,'2D-Alter-Größe'!I$3,Urlisten!$C$16:$EL$16,'2D-Alter-Größe'!$C11),"")</f>
        <v/>
      </c>
      <c r="J11" s="342" t="str">
        <f>IF(COUNTIFS(Urlisten!$C$15:$EL$15,'2D-Alter-Größe'!J$3,Urlisten!$C$16:$EL$16,'2D-Alter-Größe'!$C11)&gt;0,COUNTIFS(Urlisten!$C$15:$EL$15,'2D-Alter-Größe'!J$3,Urlisten!$C$16:$EL$16,'2D-Alter-Größe'!$C11),"")</f>
        <v/>
      </c>
      <c r="K11" s="342" t="str">
        <f>IF(COUNTIFS(Urlisten!$C$15:$EL$15,'2D-Alter-Größe'!K$3,Urlisten!$C$16:$EL$16,'2D-Alter-Größe'!$C11)&gt;0,COUNTIFS(Urlisten!$C$15:$EL$15,'2D-Alter-Größe'!K$3,Urlisten!$C$16:$EL$16,'2D-Alter-Größe'!$C11),"")</f>
        <v/>
      </c>
      <c r="L11" s="342" t="str">
        <f>IF(COUNTIFS(Urlisten!$C$15:$EL$15,'2D-Alter-Größe'!L$3,Urlisten!$C$16:$EL$16,'2D-Alter-Größe'!$C11)&gt;0,COUNTIFS(Urlisten!$C$15:$EL$15,'2D-Alter-Größe'!L$3,Urlisten!$C$16:$EL$16,'2D-Alter-Größe'!$C11),"")</f>
        <v/>
      </c>
      <c r="M11" s="342" t="str">
        <f>IF(COUNTIFS(Urlisten!$C$15:$EL$15,'2D-Alter-Größe'!M$3,Urlisten!$C$16:$EL$16,'2D-Alter-Größe'!$C11)&gt;0,COUNTIFS(Urlisten!$C$15:$EL$15,'2D-Alter-Größe'!M$3,Urlisten!$C$16:$EL$16,'2D-Alter-Größe'!$C11),"")</f>
        <v/>
      </c>
      <c r="N11" s="342" t="str">
        <f>IF(COUNTIFS(Urlisten!$C$15:$EL$15,'2D-Alter-Größe'!N$3,Urlisten!$C$16:$EL$16,'2D-Alter-Größe'!$C11)&gt;0,COUNTIFS(Urlisten!$C$15:$EL$15,'2D-Alter-Größe'!N$3,Urlisten!$C$16:$EL$16,'2D-Alter-Größe'!$C11),"")</f>
        <v/>
      </c>
      <c r="O11" s="342" t="str">
        <f>IF(COUNTIFS(Urlisten!$C$15:$EL$15,'2D-Alter-Größe'!O$3,Urlisten!$C$16:$EL$16,'2D-Alter-Größe'!$C11)&gt;0,COUNTIFS(Urlisten!$C$15:$EL$15,'2D-Alter-Größe'!O$3,Urlisten!$C$16:$EL$16,'2D-Alter-Größe'!$C11),"")</f>
        <v/>
      </c>
      <c r="P11" s="342" t="str">
        <f>IF(COUNTIFS(Urlisten!$C$15:$EL$15,'2D-Alter-Größe'!P$3,Urlisten!$C$16:$EL$16,'2D-Alter-Größe'!$C11)&gt;0,COUNTIFS(Urlisten!$C$15:$EL$15,'2D-Alter-Größe'!P$3,Urlisten!$C$16:$EL$16,'2D-Alter-Größe'!$C11),"")</f>
        <v/>
      </c>
      <c r="Q11" s="342" t="str">
        <f>IF(COUNTIFS(Urlisten!$C$15:$EL$15,'2D-Alter-Größe'!Q$3,Urlisten!$C$16:$EL$16,'2D-Alter-Größe'!$C11)&gt;0,COUNTIFS(Urlisten!$C$15:$EL$15,'2D-Alter-Größe'!Q$3,Urlisten!$C$16:$EL$16,'2D-Alter-Größe'!$C11),"")</f>
        <v/>
      </c>
      <c r="R11" s="342" t="str">
        <f>IF(COUNTIFS(Urlisten!$C$15:$EL$15,'2D-Alter-Größe'!R$3,Urlisten!$C$16:$EL$16,'2D-Alter-Größe'!$C11)&gt;0,COUNTIFS(Urlisten!$C$15:$EL$15,'2D-Alter-Größe'!R$3,Urlisten!$C$16:$EL$16,'2D-Alter-Größe'!$C11),"")</f>
        <v/>
      </c>
      <c r="S11" s="342" t="str">
        <f>IF(COUNTIFS(Urlisten!$C$15:$EL$15,'2D-Alter-Größe'!S$3,Urlisten!$C$16:$EL$16,'2D-Alter-Größe'!$C11)&gt;0,COUNTIFS(Urlisten!$C$15:$EL$15,'2D-Alter-Größe'!S$3,Urlisten!$C$16:$EL$16,'2D-Alter-Größe'!$C11),"")</f>
        <v/>
      </c>
      <c r="T11" s="342" t="str">
        <f>IF(COUNTIFS(Urlisten!$C$15:$EL$15,'2D-Alter-Größe'!T$3,Urlisten!$C$16:$EL$16,'2D-Alter-Größe'!$C11)&gt;0,COUNTIFS(Urlisten!$C$15:$EL$15,'2D-Alter-Größe'!T$3,Urlisten!$C$16:$EL$16,'2D-Alter-Größe'!$C11),"")</f>
        <v/>
      </c>
      <c r="U11" s="342" t="str">
        <f>IF(COUNTIFS(Urlisten!$C$15:$EL$15,'2D-Alter-Größe'!U$3,Urlisten!$C$16:$EL$16,'2D-Alter-Größe'!$C11)&gt;0,COUNTIFS(Urlisten!$C$15:$EL$15,'2D-Alter-Größe'!U$3,Urlisten!$C$16:$EL$16,'2D-Alter-Größe'!$C11),"")</f>
        <v/>
      </c>
      <c r="V11" s="342" t="str">
        <f>IF(COUNTIFS(Urlisten!$C$15:$EL$15,'2D-Alter-Größe'!V$3,Urlisten!$C$16:$EL$16,'2D-Alter-Größe'!$C11)&gt;0,COUNTIFS(Urlisten!$C$15:$EL$15,'2D-Alter-Größe'!V$3,Urlisten!$C$16:$EL$16,'2D-Alter-Größe'!$C11),"")</f>
        <v/>
      </c>
      <c r="W11" s="342" t="str">
        <f>IF(COUNTIFS(Urlisten!$C$15:$EL$15,'2D-Alter-Größe'!W$3,Urlisten!$C$16:$EL$16,'2D-Alter-Größe'!$C11)&gt;0,COUNTIFS(Urlisten!$C$15:$EL$15,'2D-Alter-Größe'!W$3,Urlisten!$C$16:$EL$16,'2D-Alter-Größe'!$C11),"")</f>
        <v/>
      </c>
      <c r="X11" s="342" t="str">
        <f>IF(COUNTIFS(Urlisten!$C$15:$EL$15,'2D-Alter-Größe'!X$3,Urlisten!$C$16:$EL$16,'2D-Alter-Größe'!$C11)&gt;0,COUNTIFS(Urlisten!$C$15:$EL$15,'2D-Alter-Größe'!X$3,Urlisten!$C$16:$EL$16,'2D-Alter-Größe'!$C11),"")</f>
        <v/>
      </c>
      <c r="Y11" s="342" t="str">
        <f>IF(COUNTIFS(Urlisten!$C$15:$EL$15,'2D-Alter-Größe'!Y$3,Urlisten!$C$16:$EL$16,'2D-Alter-Größe'!$C11)&gt;0,COUNTIFS(Urlisten!$C$15:$EL$15,'2D-Alter-Größe'!Y$3,Urlisten!$C$16:$EL$16,'2D-Alter-Größe'!$C11),"")</f>
        <v/>
      </c>
      <c r="Z11" s="342" t="str">
        <f>IF(COUNTIFS(Urlisten!$C$15:$EL$15,'2D-Alter-Größe'!Z$3,Urlisten!$C$16:$EL$16,'2D-Alter-Größe'!$C11)&gt;0,COUNTIFS(Urlisten!$C$15:$EL$15,'2D-Alter-Größe'!Z$3,Urlisten!$C$16:$EL$16,'2D-Alter-Größe'!$C11),"")</f>
        <v/>
      </c>
      <c r="AA11" s="342" t="str">
        <f>IF(COUNTIFS(Urlisten!$C$15:$EL$15,'2D-Alter-Größe'!AA$3,Urlisten!$C$16:$EL$16,'2D-Alter-Größe'!$C11)&gt;0,COUNTIFS(Urlisten!$C$15:$EL$15,'2D-Alter-Größe'!AA$3,Urlisten!$C$16:$EL$16,'2D-Alter-Größe'!$C11),"")</f>
        <v/>
      </c>
      <c r="AB11" s="349" t="str">
        <f>IF(COUNTIFS(Urlisten!$C$15:$EL$15,'2D-Alter-Größe'!AB$3,Urlisten!$C$16:$EL$16,'2D-Alter-Größe'!$C11)&gt;0,COUNTIFS(Urlisten!$C$15:$EL$15,'2D-Alter-Größe'!AB$3,Urlisten!$C$16:$EL$16,'2D-Alter-Größe'!$C11),"")</f>
        <v/>
      </c>
      <c r="AC11" s="361" t="str">
        <f t="shared" si="1"/>
        <v/>
      </c>
      <c r="AD11" s="758"/>
    </row>
    <row r="12" spans="1:30" x14ac:dyDescent="0.25">
      <c r="A12" s="6"/>
      <c r="B12" s="767"/>
      <c r="C12" s="502">
        <f t="shared" si="2"/>
        <v>163</v>
      </c>
      <c r="D12" s="343" t="str">
        <f>IF(COUNTIFS(Urlisten!$C$15:$EL$15,'2D-Alter-Größe'!D$3,Urlisten!$C$16:$EL$16,'2D-Alter-Größe'!$C12)&gt;0,COUNTIFS(Urlisten!$C$15:$EL$15,'2D-Alter-Größe'!D$3,Urlisten!$C$16:$EL$16,'2D-Alter-Größe'!$C12),"")</f>
        <v/>
      </c>
      <c r="E12" s="342" t="str">
        <f>IF(COUNTIFS(Urlisten!$C$15:$EL$15,'2D-Alter-Größe'!E$3,Urlisten!$C$16:$EL$16,'2D-Alter-Größe'!$C12)&gt;0,COUNTIFS(Urlisten!$C$15:$EL$15,'2D-Alter-Größe'!E$3,Urlisten!$C$16:$EL$16,'2D-Alter-Größe'!$C12),"")</f>
        <v/>
      </c>
      <c r="F12" s="342">
        <f>IF(COUNTIFS(Urlisten!$C$15:$EL$15,'2D-Alter-Größe'!F$3,Urlisten!$C$16:$EL$16,'2D-Alter-Größe'!$C12)&gt;0,COUNTIFS(Urlisten!$C$15:$EL$15,'2D-Alter-Größe'!F$3,Urlisten!$C$16:$EL$16,'2D-Alter-Größe'!$C12),"")</f>
        <v>2</v>
      </c>
      <c r="G12" s="342">
        <f>IF(COUNTIFS(Urlisten!$C$15:$EL$15,'2D-Alter-Größe'!G$3,Urlisten!$C$16:$EL$16,'2D-Alter-Größe'!$C12)&gt;0,COUNTIFS(Urlisten!$C$15:$EL$15,'2D-Alter-Größe'!G$3,Urlisten!$C$16:$EL$16,'2D-Alter-Größe'!$C12),"")</f>
        <v>1</v>
      </c>
      <c r="H12" s="342" t="str">
        <f>IF(COUNTIFS(Urlisten!$C$15:$EL$15,'2D-Alter-Größe'!H$3,Urlisten!$C$16:$EL$16,'2D-Alter-Größe'!$C12)&gt;0,COUNTIFS(Urlisten!$C$15:$EL$15,'2D-Alter-Größe'!H$3,Urlisten!$C$16:$EL$16,'2D-Alter-Größe'!$C12),"")</f>
        <v/>
      </c>
      <c r="I12" s="342" t="str">
        <f>IF(COUNTIFS(Urlisten!$C$15:$EL$15,'2D-Alter-Größe'!I$3,Urlisten!$C$16:$EL$16,'2D-Alter-Größe'!$C12)&gt;0,COUNTIFS(Urlisten!$C$15:$EL$15,'2D-Alter-Größe'!I$3,Urlisten!$C$16:$EL$16,'2D-Alter-Größe'!$C12),"")</f>
        <v/>
      </c>
      <c r="J12" s="342" t="str">
        <f>IF(COUNTIFS(Urlisten!$C$15:$EL$15,'2D-Alter-Größe'!J$3,Urlisten!$C$16:$EL$16,'2D-Alter-Größe'!$C12)&gt;0,COUNTIFS(Urlisten!$C$15:$EL$15,'2D-Alter-Größe'!J$3,Urlisten!$C$16:$EL$16,'2D-Alter-Größe'!$C12),"")</f>
        <v/>
      </c>
      <c r="K12" s="342" t="str">
        <f>IF(COUNTIFS(Urlisten!$C$15:$EL$15,'2D-Alter-Größe'!K$3,Urlisten!$C$16:$EL$16,'2D-Alter-Größe'!$C12)&gt;0,COUNTIFS(Urlisten!$C$15:$EL$15,'2D-Alter-Größe'!K$3,Urlisten!$C$16:$EL$16,'2D-Alter-Größe'!$C12),"")</f>
        <v/>
      </c>
      <c r="L12" s="342" t="str">
        <f>IF(COUNTIFS(Urlisten!$C$15:$EL$15,'2D-Alter-Größe'!L$3,Urlisten!$C$16:$EL$16,'2D-Alter-Größe'!$C12)&gt;0,COUNTIFS(Urlisten!$C$15:$EL$15,'2D-Alter-Größe'!L$3,Urlisten!$C$16:$EL$16,'2D-Alter-Größe'!$C12),"")</f>
        <v/>
      </c>
      <c r="M12" s="342" t="str">
        <f>IF(COUNTIFS(Urlisten!$C$15:$EL$15,'2D-Alter-Größe'!M$3,Urlisten!$C$16:$EL$16,'2D-Alter-Größe'!$C12)&gt;0,COUNTIFS(Urlisten!$C$15:$EL$15,'2D-Alter-Größe'!M$3,Urlisten!$C$16:$EL$16,'2D-Alter-Größe'!$C12),"")</f>
        <v/>
      </c>
      <c r="N12" s="342" t="str">
        <f>IF(COUNTIFS(Urlisten!$C$15:$EL$15,'2D-Alter-Größe'!N$3,Urlisten!$C$16:$EL$16,'2D-Alter-Größe'!$C12)&gt;0,COUNTIFS(Urlisten!$C$15:$EL$15,'2D-Alter-Größe'!N$3,Urlisten!$C$16:$EL$16,'2D-Alter-Größe'!$C12),"")</f>
        <v/>
      </c>
      <c r="O12" s="342" t="str">
        <f>IF(COUNTIFS(Urlisten!$C$15:$EL$15,'2D-Alter-Größe'!O$3,Urlisten!$C$16:$EL$16,'2D-Alter-Größe'!$C12)&gt;0,COUNTIFS(Urlisten!$C$15:$EL$15,'2D-Alter-Größe'!O$3,Urlisten!$C$16:$EL$16,'2D-Alter-Größe'!$C12),"")</f>
        <v/>
      </c>
      <c r="P12" s="342" t="str">
        <f>IF(COUNTIFS(Urlisten!$C$15:$EL$15,'2D-Alter-Größe'!P$3,Urlisten!$C$16:$EL$16,'2D-Alter-Größe'!$C12)&gt;0,COUNTIFS(Urlisten!$C$15:$EL$15,'2D-Alter-Größe'!P$3,Urlisten!$C$16:$EL$16,'2D-Alter-Größe'!$C12),"")</f>
        <v/>
      </c>
      <c r="Q12" s="342" t="str">
        <f>IF(COUNTIFS(Urlisten!$C$15:$EL$15,'2D-Alter-Größe'!Q$3,Urlisten!$C$16:$EL$16,'2D-Alter-Größe'!$C12)&gt;0,COUNTIFS(Urlisten!$C$15:$EL$15,'2D-Alter-Größe'!Q$3,Urlisten!$C$16:$EL$16,'2D-Alter-Größe'!$C12),"")</f>
        <v/>
      </c>
      <c r="R12" s="342" t="str">
        <f>IF(COUNTIFS(Urlisten!$C$15:$EL$15,'2D-Alter-Größe'!R$3,Urlisten!$C$16:$EL$16,'2D-Alter-Größe'!$C12)&gt;0,COUNTIFS(Urlisten!$C$15:$EL$15,'2D-Alter-Größe'!R$3,Urlisten!$C$16:$EL$16,'2D-Alter-Größe'!$C12),"")</f>
        <v/>
      </c>
      <c r="S12" s="342" t="str">
        <f>IF(COUNTIFS(Urlisten!$C$15:$EL$15,'2D-Alter-Größe'!S$3,Urlisten!$C$16:$EL$16,'2D-Alter-Größe'!$C12)&gt;0,COUNTIFS(Urlisten!$C$15:$EL$15,'2D-Alter-Größe'!S$3,Urlisten!$C$16:$EL$16,'2D-Alter-Größe'!$C12),"")</f>
        <v/>
      </c>
      <c r="T12" s="342" t="str">
        <f>IF(COUNTIFS(Urlisten!$C$15:$EL$15,'2D-Alter-Größe'!T$3,Urlisten!$C$16:$EL$16,'2D-Alter-Größe'!$C12)&gt;0,COUNTIFS(Urlisten!$C$15:$EL$15,'2D-Alter-Größe'!T$3,Urlisten!$C$16:$EL$16,'2D-Alter-Größe'!$C12),"")</f>
        <v/>
      </c>
      <c r="U12" s="342" t="str">
        <f>IF(COUNTIFS(Urlisten!$C$15:$EL$15,'2D-Alter-Größe'!U$3,Urlisten!$C$16:$EL$16,'2D-Alter-Größe'!$C12)&gt;0,COUNTIFS(Urlisten!$C$15:$EL$15,'2D-Alter-Größe'!U$3,Urlisten!$C$16:$EL$16,'2D-Alter-Größe'!$C12),"")</f>
        <v/>
      </c>
      <c r="V12" s="342" t="str">
        <f>IF(COUNTIFS(Urlisten!$C$15:$EL$15,'2D-Alter-Größe'!V$3,Urlisten!$C$16:$EL$16,'2D-Alter-Größe'!$C12)&gt;0,COUNTIFS(Urlisten!$C$15:$EL$15,'2D-Alter-Größe'!V$3,Urlisten!$C$16:$EL$16,'2D-Alter-Größe'!$C12),"")</f>
        <v/>
      </c>
      <c r="W12" s="342" t="str">
        <f>IF(COUNTIFS(Urlisten!$C$15:$EL$15,'2D-Alter-Größe'!W$3,Urlisten!$C$16:$EL$16,'2D-Alter-Größe'!$C12)&gt;0,COUNTIFS(Urlisten!$C$15:$EL$15,'2D-Alter-Größe'!W$3,Urlisten!$C$16:$EL$16,'2D-Alter-Größe'!$C12),"")</f>
        <v/>
      </c>
      <c r="X12" s="342" t="str">
        <f>IF(COUNTIFS(Urlisten!$C$15:$EL$15,'2D-Alter-Größe'!X$3,Urlisten!$C$16:$EL$16,'2D-Alter-Größe'!$C12)&gt;0,COUNTIFS(Urlisten!$C$15:$EL$15,'2D-Alter-Größe'!X$3,Urlisten!$C$16:$EL$16,'2D-Alter-Größe'!$C12),"")</f>
        <v/>
      </c>
      <c r="Y12" s="342" t="str">
        <f>IF(COUNTIFS(Urlisten!$C$15:$EL$15,'2D-Alter-Größe'!Y$3,Urlisten!$C$16:$EL$16,'2D-Alter-Größe'!$C12)&gt;0,COUNTIFS(Urlisten!$C$15:$EL$15,'2D-Alter-Größe'!Y$3,Urlisten!$C$16:$EL$16,'2D-Alter-Größe'!$C12),"")</f>
        <v/>
      </c>
      <c r="Z12" s="342" t="str">
        <f>IF(COUNTIFS(Urlisten!$C$15:$EL$15,'2D-Alter-Größe'!Z$3,Urlisten!$C$16:$EL$16,'2D-Alter-Größe'!$C12)&gt;0,COUNTIFS(Urlisten!$C$15:$EL$15,'2D-Alter-Größe'!Z$3,Urlisten!$C$16:$EL$16,'2D-Alter-Größe'!$C12),"")</f>
        <v/>
      </c>
      <c r="AA12" s="342" t="str">
        <f>IF(COUNTIFS(Urlisten!$C$15:$EL$15,'2D-Alter-Größe'!AA$3,Urlisten!$C$16:$EL$16,'2D-Alter-Größe'!$C12)&gt;0,COUNTIFS(Urlisten!$C$15:$EL$15,'2D-Alter-Größe'!AA$3,Urlisten!$C$16:$EL$16,'2D-Alter-Größe'!$C12),"")</f>
        <v/>
      </c>
      <c r="AB12" s="349" t="str">
        <f>IF(COUNTIFS(Urlisten!$C$15:$EL$15,'2D-Alter-Größe'!AB$3,Urlisten!$C$16:$EL$16,'2D-Alter-Größe'!$C12)&gt;0,COUNTIFS(Urlisten!$C$15:$EL$15,'2D-Alter-Größe'!AB$3,Urlisten!$C$16:$EL$16,'2D-Alter-Größe'!$C12),"")</f>
        <v/>
      </c>
      <c r="AC12" s="361">
        <f t="shared" si="1"/>
        <v>3</v>
      </c>
      <c r="AD12" s="758"/>
    </row>
    <row r="13" spans="1:30" x14ac:dyDescent="0.25">
      <c r="A13" s="6"/>
      <c r="B13" s="767"/>
      <c r="C13" s="502">
        <f t="shared" si="2"/>
        <v>164</v>
      </c>
      <c r="D13" s="343" t="str">
        <f>IF(COUNTIFS(Urlisten!$C$15:$EL$15,'2D-Alter-Größe'!D$3,Urlisten!$C$16:$EL$16,'2D-Alter-Größe'!$C13)&gt;0,COUNTIFS(Urlisten!$C$15:$EL$15,'2D-Alter-Größe'!D$3,Urlisten!$C$16:$EL$16,'2D-Alter-Größe'!$C13),"")</f>
        <v/>
      </c>
      <c r="E13" s="342" t="str">
        <f>IF(COUNTIFS(Urlisten!$C$15:$EL$15,'2D-Alter-Größe'!E$3,Urlisten!$C$16:$EL$16,'2D-Alter-Größe'!$C13)&gt;0,COUNTIFS(Urlisten!$C$15:$EL$15,'2D-Alter-Größe'!E$3,Urlisten!$C$16:$EL$16,'2D-Alter-Größe'!$C13),"")</f>
        <v/>
      </c>
      <c r="F13" s="342" t="str">
        <f>IF(COUNTIFS(Urlisten!$C$15:$EL$15,'2D-Alter-Größe'!F$3,Urlisten!$C$16:$EL$16,'2D-Alter-Größe'!$C13)&gt;0,COUNTIFS(Urlisten!$C$15:$EL$15,'2D-Alter-Größe'!F$3,Urlisten!$C$16:$EL$16,'2D-Alter-Größe'!$C13),"")</f>
        <v/>
      </c>
      <c r="G13" s="342" t="str">
        <f>IF(COUNTIFS(Urlisten!$C$15:$EL$15,'2D-Alter-Größe'!G$3,Urlisten!$C$16:$EL$16,'2D-Alter-Größe'!$C13)&gt;0,COUNTIFS(Urlisten!$C$15:$EL$15,'2D-Alter-Größe'!G$3,Urlisten!$C$16:$EL$16,'2D-Alter-Größe'!$C13),"")</f>
        <v/>
      </c>
      <c r="H13" s="342" t="str">
        <f>IF(COUNTIFS(Urlisten!$C$15:$EL$15,'2D-Alter-Größe'!H$3,Urlisten!$C$16:$EL$16,'2D-Alter-Größe'!$C13)&gt;0,COUNTIFS(Urlisten!$C$15:$EL$15,'2D-Alter-Größe'!H$3,Urlisten!$C$16:$EL$16,'2D-Alter-Größe'!$C13),"")</f>
        <v/>
      </c>
      <c r="I13" s="342" t="str">
        <f>IF(COUNTIFS(Urlisten!$C$15:$EL$15,'2D-Alter-Größe'!I$3,Urlisten!$C$16:$EL$16,'2D-Alter-Größe'!$C13)&gt;0,COUNTIFS(Urlisten!$C$15:$EL$15,'2D-Alter-Größe'!I$3,Urlisten!$C$16:$EL$16,'2D-Alter-Größe'!$C13),"")</f>
        <v/>
      </c>
      <c r="J13" s="342" t="str">
        <f>IF(COUNTIFS(Urlisten!$C$15:$EL$15,'2D-Alter-Größe'!J$3,Urlisten!$C$16:$EL$16,'2D-Alter-Größe'!$C13)&gt;0,COUNTIFS(Urlisten!$C$15:$EL$15,'2D-Alter-Größe'!J$3,Urlisten!$C$16:$EL$16,'2D-Alter-Größe'!$C13),"")</f>
        <v/>
      </c>
      <c r="K13" s="342" t="str">
        <f>IF(COUNTIFS(Urlisten!$C$15:$EL$15,'2D-Alter-Größe'!K$3,Urlisten!$C$16:$EL$16,'2D-Alter-Größe'!$C13)&gt;0,COUNTIFS(Urlisten!$C$15:$EL$15,'2D-Alter-Größe'!K$3,Urlisten!$C$16:$EL$16,'2D-Alter-Größe'!$C13),"")</f>
        <v/>
      </c>
      <c r="L13" s="342">
        <f>IF(COUNTIFS(Urlisten!$C$15:$EL$15,'2D-Alter-Größe'!L$3,Urlisten!$C$16:$EL$16,'2D-Alter-Größe'!$C13)&gt;0,COUNTIFS(Urlisten!$C$15:$EL$15,'2D-Alter-Größe'!L$3,Urlisten!$C$16:$EL$16,'2D-Alter-Größe'!$C13),"")</f>
        <v>1</v>
      </c>
      <c r="M13" s="342" t="str">
        <f>IF(COUNTIFS(Urlisten!$C$15:$EL$15,'2D-Alter-Größe'!M$3,Urlisten!$C$16:$EL$16,'2D-Alter-Größe'!$C13)&gt;0,COUNTIFS(Urlisten!$C$15:$EL$15,'2D-Alter-Größe'!M$3,Urlisten!$C$16:$EL$16,'2D-Alter-Größe'!$C13),"")</f>
        <v/>
      </c>
      <c r="N13" s="342" t="str">
        <f>IF(COUNTIFS(Urlisten!$C$15:$EL$15,'2D-Alter-Größe'!N$3,Urlisten!$C$16:$EL$16,'2D-Alter-Größe'!$C13)&gt;0,COUNTIFS(Urlisten!$C$15:$EL$15,'2D-Alter-Größe'!N$3,Urlisten!$C$16:$EL$16,'2D-Alter-Größe'!$C13),"")</f>
        <v/>
      </c>
      <c r="O13" s="342" t="str">
        <f>IF(COUNTIFS(Urlisten!$C$15:$EL$15,'2D-Alter-Größe'!O$3,Urlisten!$C$16:$EL$16,'2D-Alter-Größe'!$C13)&gt;0,COUNTIFS(Urlisten!$C$15:$EL$15,'2D-Alter-Größe'!O$3,Urlisten!$C$16:$EL$16,'2D-Alter-Größe'!$C13),"")</f>
        <v/>
      </c>
      <c r="P13" s="342" t="str">
        <f>IF(COUNTIFS(Urlisten!$C$15:$EL$15,'2D-Alter-Größe'!P$3,Urlisten!$C$16:$EL$16,'2D-Alter-Größe'!$C13)&gt;0,COUNTIFS(Urlisten!$C$15:$EL$15,'2D-Alter-Größe'!P$3,Urlisten!$C$16:$EL$16,'2D-Alter-Größe'!$C13),"")</f>
        <v/>
      </c>
      <c r="Q13" s="342" t="str">
        <f>IF(COUNTIFS(Urlisten!$C$15:$EL$15,'2D-Alter-Größe'!Q$3,Urlisten!$C$16:$EL$16,'2D-Alter-Größe'!$C13)&gt;0,COUNTIFS(Urlisten!$C$15:$EL$15,'2D-Alter-Größe'!Q$3,Urlisten!$C$16:$EL$16,'2D-Alter-Größe'!$C13),"")</f>
        <v/>
      </c>
      <c r="R13" s="342" t="str">
        <f>IF(COUNTIFS(Urlisten!$C$15:$EL$15,'2D-Alter-Größe'!R$3,Urlisten!$C$16:$EL$16,'2D-Alter-Größe'!$C13)&gt;0,COUNTIFS(Urlisten!$C$15:$EL$15,'2D-Alter-Größe'!R$3,Urlisten!$C$16:$EL$16,'2D-Alter-Größe'!$C13),"")</f>
        <v/>
      </c>
      <c r="S13" s="342" t="str">
        <f>IF(COUNTIFS(Urlisten!$C$15:$EL$15,'2D-Alter-Größe'!S$3,Urlisten!$C$16:$EL$16,'2D-Alter-Größe'!$C13)&gt;0,COUNTIFS(Urlisten!$C$15:$EL$15,'2D-Alter-Größe'!S$3,Urlisten!$C$16:$EL$16,'2D-Alter-Größe'!$C13),"")</f>
        <v/>
      </c>
      <c r="T13" s="342" t="str">
        <f>IF(COUNTIFS(Urlisten!$C$15:$EL$15,'2D-Alter-Größe'!T$3,Urlisten!$C$16:$EL$16,'2D-Alter-Größe'!$C13)&gt;0,COUNTIFS(Urlisten!$C$15:$EL$15,'2D-Alter-Größe'!T$3,Urlisten!$C$16:$EL$16,'2D-Alter-Größe'!$C13),"")</f>
        <v/>
      </c>
      <c r="U13" s="342" t="str">
        <f>IF(COUNTIFS(Urlisten!$C$15:$EL$15,'2D-Alter-Größe'!U$3,Urlisten!$C$16:$EL$16,'2D-Alter-Größe'!$C13)&gt;0,COUNTIFS(Urlisten!$C$15:$EL$15,'2D-Alter-Größe'!U$3,Urlisten!$C$16:$EL$16,'2D-Alter-Größe'!$C13),"")</f>
        <v/>
      </c>
      <c r="V13" s="342" t="str">
        <f>IF(COUNTIFS(Urlisten!$C$15:$EL$15,'2D-Alter-Größe'!V$3,Urlisten!$C$16:$EL$16,'2D-Alter-Größe'!$C13)&gt;0,COUNTIFS(Urlisten!$C$15:$EL$15,'2D-Alter-Größe'!V$3,Urlisten!$C$16:$EL$16,'2D-Alter-Größe'!$C13),"")</f>
        <v/>
      </c>
      <c r="W13" s="342" t="str">
        <f>IF(COUNTIFS(Urlisten!$C$15:$EL$15,'2D-Alter-Größe'!W$3,Urlisten!$C$16:$EL$16,'2D-Alter-Größe'!$C13)&gt;0,COUNTIFS(Urlisten!$C$15:$EL$15,'2D-Alter-Größe'!W$3,Urlisten!$C$16:$EL$16,'2D-Alter-Größe'!$C13),"")</f>
        <v/>
      </c>
      <c r="X13" s="342" t="str">
        <f>IF(COUNTIFS(Urlisten!$C$15:$EL$15,'2D-Alter-Größe'!X$3,Urlisten!$C$16:$EL$16,'2D-Alter-Größe'!$C13)&gt;0,COUNTIFS(Urlisten!$C$15:$EL$15,'2D-Alter-Größe'!X$3,Urlisten!$C$16:$EL$16,'2D-Alter-Größe'!$C13),"")</f>
        <v/>
      </c>
      <c r="Y13" s="342" t="str">
        <f>IF(COUNTIFS(Urlisten!$C$15:$EL$15,'2D-Alter-Größe'!Y$3,Urlisten!$C$16:$EL$16,'2D-Alter-Größe'!$C13)&gt;0,COUNTIFS(Urlisten!$C$15:$EL$15,'2D-Alter-Größe'!Y$3,Urlisten!$C$16:$EL$16,'2D-Alter-Größe'!$C13),"")</f>
        <v/>
      </c>
      <c r="Z13" s="342" t="str">
        <f>IF(COUNTIFS(Urlisten!$C$15:$EL$15,'2D-Alter-Größe'!Z$3,Urlisten!$C$16:$EL$16,'2D-Alter-Größe'!$C13)&gt;0,COUNTIFS(Urlisten!$C$15:$EL$15,'2D-Alter-Größe'!Z$3,Urlisten!$C$16:$EL$16,'2D-Alter-Größe'!$C13),"")</f>
        <v/>
      </c>
      <c r="AA13" s="342" t="str">
        <f>IF(COUNTIFS(Urlisten!$C$15:$EL$15,'2D-Alter-Größe'!AA$3,Urlisten!$C$16:$EL$16,'2D-Alter-Größe'!$C13)&gt;0,COUNTIFS(Urlisten!$C$15:$EL$15,'2D-Alter-Größe'!AA$3,Urlisten!$C$16:$EL$16,'2D-Alter-Größe'!$C13),"")</f>
        <v/>
      </c>
      <c r="AB13" s="349" t="str">
        <f>IF(COUNTIFS(Urlisten!$C$15:$EL$15,'2D-Alter-Größe'!AB$3,Urlisten!$C$16:$EL$16,'2D-Alter-Größe'!$C13)&gt;0,COUNTIFS(Urlisten!$C$15:$EL$15,'2D-Alter-Größe'!AB$3,Urlisten!$C$16:$EL$16,'2D-Alter-Größe'!$C13),"")</f>
        <v/>
      </c>
      <c r="AC13" s="361">
        <f t="shared" si="1"/>
        <v>1</v>
      </c>
      <c r="AD13" s="758"/>
    </row>
    <row r="14" spans="1:30" x14ac:dyDescent="0.25">
      <c r="A14" s="6"/>
      <c r="B14" s="767"/>
      <c r="C14" s="502">
        <f t="shared" si="2"/>
        <v>165</v>
      </c>
      <c r="D14" s="343" t="str">
        <f>IF(COUNTIFS(Urlisten!$C$15:$EL$15,'2D-Alter-Größe'!D$3,Urlisten!$C$16:$EL$16,'2D-Alter-Größe'!$C14)&gt;0,COUNTIFS(Urlisten!$C$15:$EL$15,'2D-Alter-Größe'!D$3,Urlisten!$C$16:$EL$16,'2D-Alter-Größe'!$C14),"")</f>
        <v/>
      </c>
      <c r="E14" s="342" t="str">
        <f>IF(COUNTIFS(Urlisten!$C$15:$EL$15,'2D-Alter-Größe'!E$3,Urlisten!$C$16:$EL$16,'2D-Alter-Größe'!$C14)&gt;0,COUNTIFS(Urlisten!$C$15:$EL$15,'2D-Alter-Größe'!E$3,Urlisten!$C$16:$EL$16,'2D-Alter-Größe'!$C14),"")</f>
        <v/>
      </c>
      <c r="F14" s="342" t="str">
        <f>IF(COUNTIFS(Urlisten!$C$15:$EL$15,'2D-Alter-Größe'!F$3,Urlisten!$C$16:$EL$16,'2D-Alter-Größe'!$C14)&gt;0,COUNTIFS(Urlisten!$C$15:$EL$15,'2D-Alter-Größe'!F$3,Urlisten!$C$16:$EL$16,'2D-Alter-Größe'!$C14),"")</f>
        <v/>
      </c>
      <c r="G14" s="342">
        <f>IF(COUNTIFS(Urlisten!$C$15:$EL$15,'2D-Alter-Größe'!G$3,Urlisten!$C$16:$EL$16,'2D-Alter-Größe'!$C14)&gt;0,COUNTIFS(Urlisten!$C$15:$EL$15,'2D-Alter-Größe'!G$3,Urlisten!$C$16:$EL$16,'2D-Alter-Größe'!$C14),"")</f>
        <v>1</v>
      </c>
      <c r="H14" s="342">
        <f>IF(COUNTIFS(Urlisten!$C$15:$EL$15,'2D-Alter-Größe'!H$3,Urlisten!$C$16:$EL$16,'2D-Alter-Größe'!$C14)&gt;0,COUNTIFS(Urlisten!$C$15:$EL$15,'2D-Alter-Größe'!H$3,Urlisten!$C$16:$EL$16,'2D-Alter-Größe'!$C14),"")</f>
        <v>2</v>
      </c>
      <c r="I14" s="342" t="str">
        <f>IF(COUNTIFS(Urlisten!$C$15:$EL$15,'2D-Alter-Größe'!I$3,Urlisten!$C$16:$EL$16,'2D-Alter-Größe'!$C14)&gt;0,COUNTIFS(Urlisten!$C$15:$EL$15,'2D-Alter-Größe'!I$3,Urlisten!$C$16:$EL$16,'2D-Alter-Größe'!$C14),"")</f>
        <v/>
      </c>
      <c r="J14" s="342" t="str">
        <f>IF(COUNTIFS(Urlisten!$C$15:$EL$15,'2D-Alter-Größe'!J$3,Urlisten!$C$16:$EL$16,'2D-Alter-Größe'!$C14)&gt;0,COUNTIFS(Urlisten!$C$15:$EL$15,'2D-Alter-Größe'!J$3,Urlisten!$C$16:$EL$16,'2D-Alter-Größe'!$C14),"")</f>
        <v/>
      </c>
      <c r="K14" s="342" t="str">
        <f>IF(COUNTIFS(Urlisten!$C$15:$EL$15,'2D-Alter-Größe'!K$3,Urlisten!$C$16:$EL$16,'2D-Alter-Größe'!$C14)&gt;0,COUNTIFS(Urlisten!$C$15:$EL$15,'2D-Alter-Größe'!K$3,Urlisten!$C$16:$EL$16,'2D-Alter-Größe'!$C14),"")</f>
        <v/>
      </c>
      <c r="L14" s="342" t="str">
        <f>IF(COUNTIFS(Urlisten!$C$15:$EL$15,'2D-Alter-Größe'!L$3,Urlisten!$C$16:$EL$16,'2D-Alter-Größe'!$C14)&gt;0,COUNTIFS(Urlisten!$C$15:$EL$15,'2D-Alter-Größe'!L$3,Urlisten!$C$16:$EL$16,'2D-Alter-Größe'!$C14),"")</f>
        <v/>
      </c>
      <c r="M14" s="342" t="str">
        <f>IF(COUNTIFS(Urlisten!$C$15:$EL$15,'2D-Alter-Größe'!M$3,Urlisten!$C$16:$EL$16,'2D-Alter-Größe'!$C14)&gt;0,COUNTIFS(Urlisten!$C$15:$EL$15,'2D-Alter-Größe'!M$3,Urlisten!$C$16:$EL$16,'2D-Alter-Größe'!$C14),"")</f>
        <v/>
      </c>
      <c r="N14" s="342" t="str">
        <f>IF(COUNTIFS(Urlisten!$C$15:$EL$15,'2D-Alter-Größe'!N$3,Urlisten!$C$16:$EL$16,'2D-Alter-Größe'!$C14)&gt;0,COUNTIFS(Urlisten!$C$15:$EL$15,'2D-Alter-Größe'!N$3,Urlisten!$C$16:$EL$16,'2D-Alter-Größe'!$C14),"")</f>
        <v/>
      </c>
      <c r="O14" s="342" t="str">
        <f>IF(COUNTIFS(Urlisten!$C$15:$EL$15,'2D-Alter-Größe'!O$3,Urlisten!$C$16:$EL$16,'2D-Alter-Größe'!$C14)&gt;0,COUNTIFS(Urlisten!$C$15:$EL$15,'2D-Alter-Größe'!O$3,Urlisten!$C$16:$EL$16,'2D-Alter-Größe'!$C14),"")</f>
        <v/>
      </c>
      <c r="P14" s="342" t="str">
        <f>IF(COUNTIFS(Urlisten!$C$15:$EL$15,'2D-Alter-Größe'!P$3,Urlisten!$C$16:$EL$16,'2D-Alter-Größe'!$C14)&gt;0,COUNTIFS(Urlisten!$C$15:$EL$15,'2D-Alter-Größe'!P$3,Urlisten!$C$16:$EL$16,'2D-Alter-Größe'!$C14),"")</f>
        <v/>
      </c>
      <c r="Q14" s="342" t="str">
        <f>IF(COUNTIFS(Urlisten!$C$15:$EL$15,'2D-Alter-Größe'!Q$3,Urlisten!$C$16:$EL$16,'2D-Alter-Größe'!$C14)&gt;0,COUNTIFS(Urlisten!$C$15:$EL$15,'2D-Alter-Größe'!Q$3,Urlisten!$C$16:$EL$16,'2D-Alter-Größe'!$C14),"")</f>
        <v/>
      </c>
      <c r="R14" s="342" t="str">
        <f>IF(COUNTIFS(Urlisten!$C$15:$EL$15,'2D-Alter-Größe'!R$3,Urlisten!$C$16:$EL$16,'2D-Alter-Größe'!$C14)&gt;0,COUNTIFS(Urlisten!$C$15:$EL$15,'2D-Alter-Größe'!R$3,Urlisten!$C$16:$EL$16,'2D-Alter-Größe'!$C14),"")</f>
        <v/>
      </c>
      <c r="S14" s="342" t="str">
        <f>IF(COUNTIFS(Urlisten!$C$15:$EL$15,'2D-Alter-Größe'!S$3,Urlisten!$C$16:$EL$16,'2D-Alter-Größe'!$C14)&gt;0,COUNTIFS(Urlisten!$C$15:$EL$15,'2D-Alter-Größe'!S$3,Urlisten!$C$16:$EL$16,'2D-Alter-Größe'!$C14),"")</f>
        <v/>
      </c>
      <c r="T14" s="342" t="str">
        <f>IF(COUNTIFS(Urlisten!$C$15:$EL$15,'2D-Alter-Größe'!T$3,Urlisten!$C$16:$EL$16,'2D-Alter-Größe'!$C14)&gt;0,COUNTIFS(Urlisten!$C$15:$EL$15,'2D-Alter-Größe'!T$3,Urlisten!$C$16:$EL$16,'2D-Alter-Größe'!$C14),"")</f>
        <v/>
      </c>
      <c r="U14" s="342" t="str">
        <f>IF(COUNTIFS(Urlisten!$C$15:$EL$15,'2D-Alter-Größe'!U$3,Urlisten!$C$16:$EL$16,'2D-Alter-Größe'!$C14)&gt;0,COUNTIFS(Urlisten!$C$15:$EL$15,'2D-Alter-Größe'!U$3,Urlisten!$C$16:$EL$16,'2D-Alter-Größe'!$C14),"")</f>
        <v/>
      </c>
      <c r="V14" s="342" t="str">
        <f>IF(COUNTIFS(Urlisten!$C$15:$EL$15,'2D-Alter-Größe'!V$3,Urlisten!$C$16:$EL$16,'2D-Alter-Größe'!$C14)&gt;0,COUNTIFS(Urlisten!$C$15:$EL$15,'2D-Alter-Größe'!V$3,Urlisten!$C$16:$EL$16,'2D-Alter-Größe'!$C14),"")</f>
        <v/>
      </c>
      <c r="W14" s="342" t="str">
        <f>IF(COUNTIFS(Urlisten!$C$15:$EL$15,'2D-Alter-Größe'!W$3,Urlisten!$C$16:$EL$16,'2D-Alter-Größe'!$C14)&gt;0,COUNTIFS(Urlisten!$C$15:$EL$15,'2D-Alter-Größe'!W$3,Urlisten!$C$16:$EL$16,'2D-Alter-Größe'!$C14),"")</f>
        <v/>
      </c>
      <c r="X14" s="342" t="str">
        <f>IF(COUNTIFS(Urlisten!$C$15:$EL$15,'2D-Alter-Größe'!X$3,Urlisten!$C$16:$EL$16,'2D-Alter-Größe'!$C14)&gt;0,COUNTIFS(Urlisten!$C$15:$EL$15,'2D-Alter-Größe'!X$3,Urlisten!$C$16:$EL$16,'2D-Alter-Größe'!$C14),"")</f>
        <v/>
      </c>
      <c r="Y14" s="342" t="str">
        <f>IF(COUNTIFS(Urlisten!$C$15:$EL$15,'2D-Alter-Größe'!Y$3,Urlisten!$C$16:$EL$16,'2D-Alter-Größe'!$C14)&gt;0,COUNTIFS(Urlisten!$C$15:$EL$15,'2D-Alter-Größe'!Y$3,Urlisten!$C$16:$EL$16,'2D-Alter-Größe'!$C14),"")</f>
        <v/>
      </c>
      <c r="Z14" s="342" t="str">
        <f>IF(COUNTIFS(Urlisten!$C$15:$EL$15,'2D-Alter-Größe'!Z$3,Urlisten!$C$16:$EL$16,'2D-Alter-Größe'!$C14)&gt;0,COUNTIFS(Urlisten!$C$15:$EL$15,'2D-Alter-Größe'!Z$3,Urlisten!$C$16:$EL$16,'2D-Alter-Größe'!$C14),"")</f>
        <v/>
      </c>
      <c r="AA14" s="342" t="str">
        <f>IF(COUNTIFS(Urlisten!$C$15:$EL$15,'2D-Alter-Größe'!AA$3,Urlisten!$C$16:$EL$16,'2D-Alter-Größe'!$C14)&gt;0,COUNTIFS(Urlisten!$C$15:$EL$15,'2D-Alter-Größe'!AA$3,Urlisten!$C$16:$EL$16,'2D-Alter-Größe'!$C14),"")</f>
        <v/>
      </c>
      <c r="AB14" s="349" t="str">
        <f>IF(COUNTIFS(Urlisten!$C$15:$EL$15,'2D-Alter-Größe'!AB$3,Urlisten!$C$16:$EL$16,'2D-Alter-Größe'!$C14)&gt;0,COUNTIFS(Urlisten!$C$15:$EL$15,'2D-Alter-Größe'!AB$3,Urlisten!$C$16:$EL$16,'2D-Alter-Größe'!$C14),"")</f>
        <v/>
      </c>
      <c r="AC14" s="361">
        <f t="shared" si="1"/>
        <v>3</v>
      </c>
      <c r="AD14" s="758"/>
    </row>
    <row r="15" spans="1:30" x14ac:dyDescent="0.25">
      <c r="A15" s="6"/>
      <c r="B15" s="767"/>
      <c r="C15" s="502">
        <f t="shared" si="2"/>
        <v>166</v>
      </c>
      <c r="D15" s="343" t="str">
        <f>IF(COUNTIFS(Urlisten!$C$15:$EL$15,'2D-Alter-Größe'!D$3,Urlisten!$C$16:$EL$16,'2D-Alter-Größe'!$C15)&gt;0,COUNTIFS(Urlisten!$C$15:$EL$15,'2D-Alter-Größe'!D$3,Urlisten!$C$16:$EL$16,'2D-Alter-Größe'!$C15),"")</f>
        <v/>
      </c>
      <c r="E15" s="342" t="str">
        <f>IF(COUNTIFS(Urlisten!$C$15:$EL$15,'2D-Alter-Größe'!E$3,Urlisten!$C$16:$EL$16,'2D-Alter-Größe'!$C15)&gt;0,COUNTIFS(Urlisten!$C$15:$EL$15,'2D-Alter-Größe'!E$3,Urlisten!$C$16:$EL$16,'2D-Alter-Größe'!$C15),"")</f>
        <v/>
      </c>
      <c r="F15" s="342" t="str">
        <f>IF(COUNTIFS(Urlisten!$C$15:$EL$15,'2D-Alter-Größe'!F$3,Urlisten!$C$16:$EL$16,'2D-Alter-Größe'!$C15)&gt;0,COUNTIFS(Urlisten!$C$15:$EL$15,'2D-Alter-Größe'!F$3,Urlisten!$C$16:$EL$16,'2D-Alter-Größe'!$C15),"")</f>
        <v/>
      </c>
      <c r="G15" s="342" t="str">
        <f>IF(COUNTIFS(Urlisten!$C$15:$EL$15,'2D-Alter-Größe'!G$3,Urlisten!$C$16:$EL$16,'2D-Alter-Größe'!$C15)&gt;0,COUNTIFS(Urlisten!$C$15:$EL$15,'2D-Alter-Größe'!G$3,Urlisten!$C$16:$EL$16,'2D-Alter-Größe'!$C15),"")</f>
        <v/>
      </c>
      <c r="H15" s="342" t="str">
        <f>IF(COUNTIFS(Urlisten!$C$15:$EL$15,'2D-Alter-Größe'!H$3,Urlisten!$C$16:$EL$16,'2D-Alter-Größe'!$C15)&gt;0,COUNTIFS(Urlisten!$C$15:$EL$15,'2D-Alter-Größe'!H$3,Urlisten!$C$16:$EL$16,'2D-Alter-Größe'!$C15),"")</f>
        <v/>
      </c>
      <c r="I15" s="342" t="str">
        <f>IF(COUNTIFS(Urlisten!$C$15:$EL$15,'2D-Alter-Größe'!I$3,Urlisten!$C$16:$EL$16,'2D-Alter-Größe'!$C15)&gt;0,COUNTIFS(Urlisten!$C$15:$EL$15,'2D-Alter-Größe'!I$3,Urlisten!$C$16:$EL$16,'2D-Alter-Größe'!$C15),"")</f>
        <v/>
      </c>
      <c r="J15" s="342" t="str">
        <f>IF(COUNTIFS(Urlisten!$C$15:$EL$15,'2D-Alter-Größe'!J$3,Urlisten!$C$16:$EL$16,'2D-Alter-Größe'!$C15)&gt;0,COUNTIFS(Urlisten!$C$15:$EL$15,'2D-Alter-Größe'!J$3,Urlisten!$C$16:$EL$16,'2D-Alter-Größe'!$C15),"")</f>
        <v/>
      </c>
      <c r="K15" s="342" t="str">
        <f>IF(COUNTIFS(Urlisten!$C$15:$EL$15,'2D-Alter-Größe'!K$3,Urlisten!$C$16:$EL$16,'2D-Alter-Größe'!$C15)&gt;0,COUNTIFS(Urlisten!$C$15:$EL$15,'2D-Alter-Größe'!K$3,Urlisten!$C$16:$EL$16,'2D-Alter-Größe'!$C15),"")</f>
        <v/>
      </c>
      <c r="L15" s="342" t="str">
        <f>IF(COUNTIFS(Urlisten!$C$15:$EL$15,'2D-Alter-Größe'!L$3,Urlisten!$C$16:$EL$16,'2D-Alter-Größe'!$C15)&gt;0,COUNTIFS(Urlisten!$C$15:$EL$15,'2D-Alter-Größe'!L$3,Urlisten!$C$16:$EL$16,'2D-Alter-Größe'!$C15),"")</f>
        <v/>
      </c>
      <c r="M15" s="342" t="str">
        <f>IF(COUNTIFS(Urlisten!$C$15:$EL$15,'2D-Alter-Größe'!M$3,Urlisten!$C$16:$EL$16,'2D-Alter-Größe'!$C15)&gt;0,COUNTIFS(Urlisten!$C$15:$EL$15,'2D-Alter-Größe'!M$3,Urlisten!$C$16:$EL$16,'2D-Alter-Größe'!$C15),"")</f>
        <v/>
      </c>
      <c r="N15" s="342" t="str">
        <f>IF(COUNTIFS(Urlisten!$C$15:$EL$15,'2D-Alter-Größe'!N$3,Urlisten!$C$16:$EL$16,'2D-Alter-Größe'!$C15)&gt;0,COUNTIFS(Urlisten!$C$15:$EL$15,'2D-Alter-Größe'!N$3,Urlisten!$C$16:$EL$16,'2D-Alter-Größe'!$C15),"")</f>
        <v/>
      </c>
      <c r="O15" s="342" t="str">
        <f>IF(COUNTIFS(Urlisten!$C$15:$EL$15,'2D-Alter-Größe'!O$3,Urlisten!$C$16:$EL$16,'2D-Alter-Größe'!$C15)&gt;0,COUNTIFS(Urlisten!$C$15:$EL$15,'2D-Alter-Größe'!O$3,Urlisten!$C$16:$EL$16,'2D-Alter-Größe'!$C15),"")</f>
        <v/>
      </c>
      <c r="P15" s="342" t="str">
        <f>IF(COUNTIFS(Urlisten!$C$15:$EL$15,'2D-Alter-Größe'!P$3,Urlisten!$C$16:$EL$16,'2D-Alter-Größe'!$C15)&gt;0,COUNTIFS(Urlisten!$C$15:$EL$15,'2D-Alter-Größe'!P$3,Urlisten!$C$16:$EL$16,'2D-Alter-Größe'!$C15),"")</f>
        <v/>
      </c>
      <c r="Q15" s="342" t="str">
        <f>IF(COUNTIFS(Urlisten!$C$15:$EL$15,'2D-Alter-Größe'!Q$3,Urlisten!$C$16:$EL$16,'2D-Alter-Größe'!$C15)&gt;0,COUNTIFS(Urlisten!$C$15:$EL$15,'2D-Alter-Größe'!Q$3,Urlisten!$C$16:$EL$16,'2D-Alter-Größe'!$C15),"")</f>
        <v/>
      </c>
      <c r="R15" s="342" t="str">
        <f>IF(COUNTIFS(Urlisten!$C$15:$EL$15,'2D-Alter-Größe'!R$3,Urlisten!$C$16:$EL$16,'2D-Alter-Größe'!$C15)&gt;0,COUNTIFS(Urlisten!$C$15:$EL$15,'2D-Alter-Größe'!R$3,Urlisten!$C$16:$EL$16,'2D-Alter-Größe'!$C15),"")</f>
        <v/>
      </c>
      <c r="S15" s="342" t="str">
        <f>IF(COUNTIFS(Urlisten!$C$15:$EL$15,'2D-Alter-Größe'!S$3,Urlisten!$C$16:$EL$16,'2D-Alter-Größe'!$C15)&gt;0,COUNTIFS(Urlisten!$C$15:$EL$15,'2D-Alter-Größe'!S$3,Urlisten!$C$16:$EL$16,'2D-Alter-Größe'!$C15),"")</f>
        <v/>
      </c>
      <c r="T15" s="342" t="str">
        <f>IF(COUNTIFS(Urlisten!$C$15:$EL$15,'2D-Alter-Größe'!T$3,Urlisten!$C$16:$EL$16,'2D-Alter-Größe'!$C15)&gt;0,COUNTIFS(Urlisten!$C$15:$EL$15,'2D-Alter-Größe'!T$3,Urlisten!$C$16:$EL$16,'2D-Alter-Größe'!$C15),"")</f>
        <v/>
      </c>
      <c r="U15" s="342" t="str">
        <f>IF(COUNTIFS(Urlisten!$C$15:$EL$15,'2D-Alter-Größe'!U$3,Urlisten!$C$16:$EL$16,'2D-Alter-Größe'!$C15)&gt;0,COUNTIFS(Urlisten!$C$15:$EL$15,'2D-Alter-Größe'!U$3,Urlisten!$C$16:$EL$16,'2D-Alter-Größe'!$C15),"")</f>
        <v/>
      </c>
      <c r="V15" s="342" t="str">
        <f>IF(COUNTIFS(Urlisten!$C$15:$EL$15,'2D-Alter-Größe'!V$3,Urlisten!$C$16:$EL$16,'2D-Alter-Größe'!$C15)&gt;0,COUNTIFS(Urlisten!$C$15:$EL$15,'2D-Alter-Größe'!V$3,Urlisten!$C$16:$EL$16,'2D-Alter-Größe'!$C15),"")</f>
        <v/>
      </c>
      <c r="W15" s="342" t="str">
        <f>IF(COUNTIFS(Urlisten!$C$15:$EL$15,'2D-Alter-Größe'!W$3,Urlisten!$C$16:$EL$16,'2D-Alter-Größe'!$C15)&gt;0,COUNTIFS(Urlisten!$C$15:$EL$15,'2D-Alter-Größe'!W$3,Urlisten!$C$16:$EL$16,'2D-Alter-Größe'!$C15),"")</f>
        <v/>
      </c>
      <c r="X15" s="342" t="str">
        <f>IF(COUNTIFS(Urlisten!$C$15:$EL$15,'2D-Alter-Größe'!X$3,Urlisten!$C$16:$EL$16,'2D-Alter-Größe'!$C15)&gt;0,COUNTIFS(Urlisten!$C$15:$EL$15,'2D-Alter-Größe'!X$3,Urlisten!$C$16:$EL$16,'2D-Alter-Größe'!$C15),"")</f>
        <v/>
      </c>
      <c r="Y15" s="342" t="str">
        <f>IF(COUNTIFS(Urlisten!$C$15:$EL$15,'2D-Alter-Größe'!Y$3,Urlisten!$C$16:$EL$16,'2D-Alter-Größe'!$C15)&gt;0,COUNTIFS(Urlisten!$C$15:$EL$15,'2D-Alter-Größe'!Y$3,Urlisten!$C$16:$EL$16,'2D-Alter-Größe'!$C15),"")</f>
        <v/>
      </c>
      <c r="Z15" s="342" t="str">
        <f>IF(COUNTIFS(Urlisten!$C$15:$EL$15,'2D-Alter-Größe'!Z$3,Urlisten!$C$16:$EL$16,'2D-Alter-Größe'!$C15)&gt;0,COUNTIFS(Urlisten!$C$15:$EL$15,'2D-Alter-Größe'!Z$3,Urlisten!$C$16:$EL$16,'2D-Alter-Größe'!$C15),"")</f>
        <v/>
      </c>
      <c r="AA15" s="342" t="str">
        <f>IF(COUNTIFS(Urlisten!$C$15:$EL$15,'2D-Alter-Größe'!AA$3,Urlisten!$C$16:$EL$16,'2D-Alter-Größe'!$C15)&gt;0,COUNTIFS(Urlisten!$C$15:$EL$15,'2D-Alter-Größe'!AA$3,Urlisten!$C$16:$EL$16,'2D-Alter-Größe'!$C15),"")</f>
        <v/>
      </c>
      <c r="AB15" s="349" t="str">
        <f>IF(COUNTIFS(Urlisten!$C$15:$EL$15,'2D-Alter-Größe'!AB$3,Urlisten!$C$16:$EL$16,'2D-Alter-Größe'!$C15)&gt;0,COUNTIFS(Urlisten!$C$15:$EL$15,'2D-Alter-Größe'!AB$3,Urlisten!$C$16:$EL$16,'2D-Alter-Größe'!$C15),"")</f>
        <v/>
      </c>
      <c r="AC15" s="361" t="str">
        <f t="shared" si="1"/>
        <v/>
      </c>
      <c r="AD15" s="758"/>
    </row>
    <row r="16" spans="1:30" x14ac:dyDescent="0.25">
      <c r="A16" s="6"/>
      <c r="B16" s="767"/>
      <c r="C16" s="502">
        <f t="shared" si="2"/>
        <v>167</v>
      </c>
      <c r="D16" s="343" t="str">
        <f>IF(COUNTIFS(Urlisten!$C$15:$EL$15,'2D-Alter-Größe'!D$3,Urlisten!$C$16:$EL$16,'2D-Alter-Größe'!$C16)&gt;0,COUNTIFS(Urlisten!$C$15:$EL$15,'2D-Alter-Größe'!D$3,Urlisten!$C$16:$EL$16,'2D-Alter-Größe'!$C16),"")</f>
        <v/>
      </c>
      <c r="E16" s="342" t="str">
        <f>IF(COUNTIFS(Urlisten!$C$15:$EL$15,'2D-Alter-Größe'!E$3,Urlisten!$C$16:$EL$16,'2D-Alter-Größe'!$C16)&gt;0,COUNTIFS(Urlisten!$C$15:$EL$15,'2D-Alter-Größe'!E$3,Urlisten!$C$16:$EL$16,'2D-Alter-Größe'!$C16),"")</f>
        <v/>
      </c>
      <c r="F16" s="342" t="str">
        <f>IF(COUNTIFS(Urlisten!$C$15:$EL$15,'2D-Alter-Größe'!F$3,Urlisten!$C$16:$EL$16,'2D-Alter-Größe'!$C16)&gt;0,COUNTIFS(Urlisten!$C$15:$EL$15,'2D-Alter-Größe'!F$3,Urlisten!$C$16:$EL$16,'2D-Alter-Größe'!$C16),"")</f>
        <v/>
      </c>
      <c r="G16" s="342" t="str">
        <f>IF(COUNTIFS(Urlisten!$C$15:$EL$15,'2D-Alter-Größe'!G$3,Urlisten!$C$16:$EL$16,'2D-Alter-Größe'!$C16)&gt;0,COUNTIFS(Urlisten!$C$15:$EL$15,'2D-Alter-Größe'!G$3,Urlisten!$C$16:$EL$16,'2D-Alter-Größe'!$C16),"")</f>
        <v/>
      </c>
      <c r="H16" s="342" t="str">
        <f>IF(COUNTIFS(Urlisten!$C$15:$EL$15,'2D-Alter-Größe'!H$3,Urlisten!$C$16:$EL$16,'2D-Alter-Größe'!$C16)&gt;0,COUNTIFS(Urlisten!$C$15:$EL$15,'2D-Alter-Größe'!H$3,Urlisten!$C$16:$EL$16,'2D-Alter-Größe'!$C16),"")</f>
        <v/>
      </c>
      <c r="I16" s="342" t="str">
        <f>IF(COUNTIFS(Urlisten!$C$15:$EL$15,'2D-Alter-Größe'!I$3,Urlisten!$C$16:$EL$16,'2D-Alter-Größe'!$C16)&gt;0,COUNTIFS(Urlisten!$C$15:$EL$15,'2D-Alter-Größe'!I$3,Urlisten!$C$16:$EL$16,'2D-Alter-Größe'!$C16),"")</f>
        <v/>
      </c>
      <c r="J16" s="342" t="str">
        <f>IF(COUNTIFS(Urlisten!$C$15:$EL$15,'2D-Alter-Größe'!J$3,Urlisten!$C$16:$EL$16,'2D-Alter-Größe'!$C16)&gt;0,COUNTIFS(Urlisten!$C$15:$EL$15,'2D-Alter-Größe'!J$3,Urlisten!$C$16:$EL$16,'2D-Alter-Größe'!$C16),"")</f>
        <v/>
      </c>
      <c r="K16" s="342" t="str">
        <f>IF(COUNTIFS(Urlisten!$C$15:$EL$15,'2D-Alter-Größe'!K$3,Urlisten!$C$16:$EL$16,'2D-Alter-Größe'!$C16)&gt;0,COUNTIFS(Urlisten!$C$15:$EL$15,'2D-Alter-Größe'!K$3,Urlisten!$C$16:$EL$16,'2D-Alter-Größe'!$C16),"")</f>
        <v/>
      </c>
      <c r="L16" s="342" t="str">
        <f>IF(COUNTIFS(Urlisten!$C$15:$EL$15,'2D-Alter-Größe'!L$3,Urlisten!$C$16:$EL$16,'2D-Alter-Größe'!$C16)&gt;0,COUNTIFS(Urlisten!$C$15:$EL$15,'2D-Alter-Größe'!L$3,Urlisten!$C$16:$EL$16,'2D-Alter-Größe'!$C16),"")</f>
        <v/>
      </c>
      <c r="M16" s="342" t="str">
        <f>IF(COUNTIFS(Urlisten!$C$15:$EL$15,'2D-Alter-Größe'!M$3,Urlisten!$C$16:$EL$16,'2D-Alter-Größe'!$C16)&gt;0,COUNTIFS(Urlisten!$C$15:$EL$15,'2D-Alter-Größe'!M$3,Urlisten!$C$16:$EL$16,'2D-Alter-Größe'!$C16),"")</f>
        <v/>
      </c>
      <c r="N16" s="342" t="str">
        <f>IF(COUNTIFS(Urlisten!$C$15:$EL$15,'2D-Alter-Größe'!N$3,Urlisten!$C$16:$EL$16,'2D-Alter-Größe'!$C16)&gt;0,COUNTIFS(Urlisten!$C$15:$EL$15,'2D-Alter-Größe'!N$3,Urlisten!$C$16:$EL$16,'2D-Alter-Größe'!$C16),"")</f>
        <v/>
      </c>
      <c r="O16" s="342" t="str">
        <f>IF(COUNTIFS(Urlisten!$C$15:$EL$15,'2D-Alter-Größe'!O$3,Urlisten!$C$16:$EL$16,'2D-Alter-Größe'!$C16)&gt;0,COUNTIFS(Urlisten!$C$15:$EL$15,'2D-Alter-Größe'!O$3,Urlisten!$C$16:$EL$16,'2D-Alter-Größe'!$C16),"")</f>
        <v/>
      </c>
      <c r="P16" s="342" t="str">
        <f>IF(COUNTIFS(Urlisten!$C$15:$EL$15,'2D-Alter-Größe'!P$3,Urlisten!$C$16:$EL$16,'2D-Alter-Größe'!$C16)&gt;0,COUNTIFS(Urlisten!$C$15:$EL$15,'2D-Alter-Größe'!P$3,Urlisten!$C$16:$EL$16,'2D-Alter-Größe'!$C16),"")</f>
        <v/>
      </c>
      <c r="Q16" s="342" t="str">
        <f>IF(COUNTIFS(Urlisten!$C$15:$EL$15,'2D-Alter-Größe'!Q$3,Urlisten!$C$16:$EL$16,'2D-Alter-Größe'!$C16)&gt;0,COUNTIFS(Urlisten!$C$15:$EL$15,'2D-Alter-Größe'!Q$3,Urlisten!$C$16:$EL$16,'2D-Alter-Größe'!$C16),"")</f>
        <v/>
      </c>
      <c r="R16" s="342" t="str">
        <f>IF(COUNTIFS(Urlisten!$C$15:$EL$15,'2D-Alter-Größe'!R$3,Urlisten!$C$16:$EL$16,'2D-Alter-Größe'!$C16)&gt;0,COUNTIFS(Urlisten!$C$15:$EL$15,'2D-Alter-Größe'!R$3,Urlisten!$C$16:$EL$16,'2D-Alter-Größe'!$C16),"")</f>
        <v/>
      </c>
      <c r="S16" s="342" t="str">
        <f>IF(COUNTIFS(Urlisten!$C$15:$EL$15,'2D-Alter-Größe'!S$3,Urlisten!$C$16:$EL$16,'2D-Alter-Größe'!$C16)&gt;0,COUNTIFS(Urlisten!$C$15:$EL$15,'2D-Alter-Größe'!S$3,Urlisten!$C$16:$EL$16,'2D-Alter-Größe'!$C16),"")</f>
        <v/>
      </c>
      <c r="T16" s="342" t="str">
        <f>IF(COUNTIFS(Urlisten!$C$15:$EL$15,'2D-Alter-Größe'!T$3,Urlisten!$C$16:$EL$16,'2D-Alter-Größe'!$C16)&gt;0,COUNTIFS(Urlisten!$C$15:$EL$15,'2D-Alter-Größe'!T$3,Urlisten!$C$16:$EL$16,'2D-Alter-Größe'!$C16),"")</f>
        <v/>
      </c>
      <c r="U16" s="342" t="str">
        <f>IF(COUNTIFS(Urlisten!$C$15:$EL$15,'2D-Alter-Größe'!U$3,Urlisten!$C$16:$EL$16,'2D-Alter-Größe'!$C16)&gt;0,COUNTIFS(Urlisten!$C$15:$EL$15,'2D-Alter-Größe'!U$3,Urlisten!$C$16:$EL$16,'2D-Alter-Größe'!$C16),"")</f>
        <v/>
      </c>
      <c r="V16" s="342" t="str">
        <f>IF(COUNTIFS(Urlisten!$C$15:$EL$15,'2D-Alter-Größe'!V$3,Urlisten!$C$16:$EL$16,'2D-Alter-Größe'!$C16)&gt;0,COUNTIFS(Urlisten!$C$15:$EL$15,'2D-Alter-Größe'!V$3,Urlisten!$C$16:$EL$16,'2D-Alter-Größe'!$C16),"")</f>
        <v/>
      </c>
      <c r="W16" s="342" t="str">
        <f>IF(COUNTIFS(Urlisten!$C$15:$EL$15,'2D-Alter-Größe'!W$3,Urlisten!$C$16:$EL$16,'2D-Alter-Größe'!$C16)&gt;0,COUNTIFS(Urlisten!$C$15:$EL$15,'2D-Alter-Größe'!W$3,Urlisten!$C$16:$EL$16,'2D-Alter-Größe'!$C16),"")</f>
        <v/>
      </c>
      <c r="X16" s="342" t="str">
        <f>IF(COUNTIFS(Urlisten!$C$15:$EL$15,'2D-Alter-Größe'!X$3,Urlisten!$C$16:$EL$16,'2D-Alter-Größe'!$C16)&gt;0,COUNTIFS(Urlisten!$C$15:$EL$15,'2D-Alter-Größe'!X$3,Urlisten!$C$16:$EL$16,'2D-Alter-Größe'!$C16),"")</f>
        <v/>
      </c>
      <c r="Y16" s="342" t="str">
        <f>IF(COUNTIFS(Urlisten!$C$15:$EL$15,'2D-Alter-Größe'!Y$3,Urlisten!$C$16:$EL$16,'2D-Alter-Größe'!$C16)&gt;0,COUNTIFS(Urlisten!$C$15:$EL$15,'2D-Alter-Größe'!Y$3,Urlisten!$C$16:$EL$16,'2D-Alter-Größe'!$C16),"")</f>
        <v/>
      </c>
      <c r="Z16" s="342" t="str">
        <f>IF(COUNTIFS(Urlisten!$C$15:$EL$15,'2D-Alter-Größe'!Z$3,Urlisten!$C$16:$EL$16,'2D-Alter-Größe'!$C16)&gt;0,COUNTIFS(Urlisten!$C$15:$EL$15,'2D-Alter-Größe'!Z$3,Urlisten!$C$16:$EL$16,'2D-Alter-Größe'!$C16),"")</f>
        <v/>
      </c>
      <c r="AA16" s="342" t="str">
        <f>IF(COUNTIFS(Urlisten!$C$15:$EL$15,'2D-Alter-Größe'!AA$3,Urlisten!$C$16:$EL$16,'2D-Alter-Größe'!$C16)&gt;0,COUNTIFS(Urlisten!$C$15:$EL$15,'2D-Alter-Größe'!AA$3,Urlisten!$C$16:$EL$16,'2D-Alter-Größe'!$C16),"")</f>
        <v/>
      </c>
      <c r="AB16" s="349" t="str">
        <f>IF(COUNTIFS(Urlisten!$C$15:$EL$15,'2D-Alter-Größe'!AB$3,Urlisten!$C$16:$EL$16,'2D-Alter-Größe'!$C16)&gt;0,COUNTIFS(Urlisten!$C$15:$EL$15,'2D-Alter-Größe'!AB$3,Urlisten!$C$16:$EL$16,'2D-Alter-Größe'!$C16),"")</f>
        <v/>
      </c>
      <c r="AC16" s="361" t="str">
        <f t="shared" si="1"/>
        <v/>
      </c>
      <c r="AD16" s="758"/>
    </row>
    <row r="17" spans="1:30" x14ac:dyDescent="0.25">
      <c r="A17" s="6"/>
      <c r="B17" s="767"/>
      <c r="C17" s="502">
        <f t="shared" si="2"/>
        <v>168</v>
      </c>
      <c r="D17" s="343" t="str">
        <f>IF(COUNTIFS(Urlisten!$C$15:$EL$15,'2D-Alter-Größe'!D$3,Urlisten!$C$16:$EL$16,'2D-Alter-Größe'!$C17)&gt;0,COUNTIFS(Urlisten!$C$15:$EL$15,'2D-Alter-Größe'!D$3,Urlisten!$C$16:$EL$16,'2D-Alter-Größe'!$C17),"")</f>
        <v/>
      </c>
      <c r="E17" s="342">
        <f>IF(COUNTIFS(Urlisten!$C$15:$EL$15,'2D-Alter-Größe'!E$3,Urlisten!$C$16:$EL$16,'2D-Alter-Größe'!$C17)&gt;0,COUNTIFS(Urlisten!$C$15:$EL$15,'2D-Alter-Größe'!E$3,Urlisten!$C$16:$EL$16,'2D-Alter-Größe'!$C17),"")</f>
        <v>1</v>
      </c>
      <c r="F17" s="342" t="str">
        <f>IF(COUNTIFS(Urlisten!$C$15:$EL$15,'2D-Alter-Größe'!F$3,Urlisten!$C$16:$EL$16,'2D-Alter-Größe'!$C17)&gt;0,COUNTIFS(Urlisten!$C$15:$EL$15,'2D-Alter-Größe'!F$3,Urlisten!$C$16:$EL$16,'2D-Alter-Größe'!$C17),"")</f>
        <v/>
      </c>
      <c r="G17" s="342" t="str">
        <f>IF(COUNTIFS(Urlisten!$C$15:$EL$15,'2D-Alter-Größe'!G$3,Urlisten!$C$16:$EL$16,'2D-Alter-Größe'!$C17)&gt;0,COUNTIFS(Urlisten!$C$15:$EL$15,'2D-Alter-Größe'!G$3,Urlisten!$C$16:$EL$16,'2D-Alter-Größe'!$C17),"")</f>
        <v/>
      </c>
      <c r="H17" s="342" t="str">
        <f>IF(COUNTIFS(Urlisten!$C$15:$EL$15,'2D-Alter-Größe'!H$3,Urlisten!$C$16:$EL$16,'2D-Alter-Größe'!$C17)&gt;0,COUNTIFS(Urlisten!$C$15:$EL$15,'2D-Alter-Größe'!H$3,Urlisten!$C$16:$EL$16,'2D-Alter-Größe'!$C17),"")</f>
        <v/>
      </c>
      <c r="I17" s="342" t="str">
        <f>IF(COUNTIFS(Urlisten!$C$15:$EL$15,'2D-Alter-Größe'!I$3,Urlisten!$C$16:$EL$16,'2D-Alter-Größe'!$C17)&gt;0,COUNTIFS(Urlisten!$C$15:$EL$15,'2D-Alter-Größe'!I$3,Urlisten!$C$16:$EL$16,'2D-Alter-Größe'!$C17),"")</f>
        <v/>
      </c>
      <c r="J17" s="342" t="str">
        <f>IF(COUNTIFS(Urlisten!$C$15:$EL$15,'2D-Alter-Größe'!J$3,Urlisten!$C$16:$EL$16,'2D-Alter-Größe'!$C17)&gt;0,COUNTIFS(Urlisten!$C$15:$EL$15,'2D-Alter-Größe'!J$3,Urlisten!$C$16:$EL$16,'2D-Alter-Größe'!$C17),"")</f>
        <v/>
      </c>
      <c r="K17" s="342" t="str">
        <f>IF(COUNTIFS(Urlisten!$C$15:$EL$15,'2D-Alter-Größe'!K$3,Urlisten!$C$16:$EL$16,'2D-Alter-Größe'!$C17)&gt;0,COUNTIFS(Urlisten!$C$15:$EL$15,'2D-Alter-Größe'!K$3,Urlisten!$C$16:$EL$16,'2D-Alter-Größe'!$C17),"")</f>
        <v/>
      </c>
      <c r="L17" s="342" t="str">
        <f>IF(COUNTIFS(Urlisten!$C$15:$EL$15,'2D-Alter-Größe'!L$3,Urlisten!$C$16:$EL$16,'2D-Alter-Größe'!$C17)&gt;0,COUNTIFS(Urlisten!$C$15:$EL$15,'2D-Alter-Größe'!L$3,Urlisten!$C$16:$EL$16,'2D-Alter-Größe'!$C17),"")</f>
        <v/>
      </c>
      <c r="M17" s="342" t="str">
        <f>IF(COUNTIFS(Urlisten!$C$15:$EL$15,'2D-Alter-Größe'!M$3,Urlisten!$C$16:$EL$16,'2D-Alter-Größe'!$C17)&gt;0,COUNTIFS(Urlisten!$C$15:$EL$15,'2D-Alter-Größe'!M$3,Urlisten!$C$16:$EL$16,'2D-Alter-Größe'!$C17),"")</f>
        <v/>
      </c>
      <c r="N17" s="342" t="str">
        <f>IF(COUNTIFS(Urlisten!$C$15:$EL$15,'2D-Alter-Größe'!N$3,Urlisten!$C$16:$EL$16,'2D-Alter-Größe'!$C17)&gt;0,COUNTIFS(Urlisten!$C$15:$EL$15,'2D-Alter-Größe'!N$3,Urlisten!$C$16:$EL$16,'2D-Alter-Größe'!$C17),"")</f>
        <v/>
      </c>
      <c r="O17" s="342" t="str">
        <f>IF(COUNTIFS(Urlisten!$C$15:$EL$15,'2D-Alter-Größe'!O$3,Urlisten!$C$16:$EL$16,'2D-Alter-Größe'!$C17)&gt;0,COUNTIFS(Urlisten!$C$15:$EL$15,'2D-Alter-Größe'!O$3,Urlisten!$C$16:$EL$16,'2D-Alter-Größe'!$C17),"")</f>
        <v/>
      </c>
      <c r="P17" s="342" t="str">
        <f>IF(COUNTIFS(Urlisten!$C$15:$EL$15,'2D-Alter-Größe'!P$3,Urlisten!$C$16:$EL$16,'2D-Alter-Größe'!$C17)&gt;0,COUNTIFS(Urlisten!$C$15:$EL$15,'2D-Alter-Größe'!P$3,Urlisten!$C$16:$EL$16,'2D-Alter-Größe'!$C17),"")</f>
        <v/>
      </c>
      <c r="Q17" s="342" t="str">
        <f>IF(COUNTIFS(Urlisten!$C$15:$EL$15,'2D-Alter-Größe'!Q$3,Urlisten!$C$16:$EL$16,'2D-Alter-Größe'!$C17)&gt;0,COUNTIFS(Urlisten!$C$15:$EL$15,'2D-Alter-Größe'!Q$3,Urlisten!$C$16:$EL$16,'2D-Alter-Größe'!$C17),"")</f>
        <v/>
      </c>
      <c r="R17" s="342" t="str">
        <f>IF(COUNTIFS(Urlisten!$C$15:$EL$15,'2D-Alter-Größe'!R$3,Urlisten!$C$16:$EL$16,'2D-Alter-Größe'!$C17)&gt;0,COUNTIFS(Urlisten!$C$15:$EL$15,'2D-Alter-Größe'!R$3,Urlisten!$C$16:$EL$16,'2D-Alter-Größe'!$C17),"")</f>
        <v/>
      </c>
      <c r="S17" s="342" t="str">
        <f>IF(COUNTIFS(Urlisten!$C$15:$EL$15,'2D-Alter-Größe'!S$3,Urlisten!$C$16:$EL$16,'2D-Alter-Größe'!$C17)&gt;0,COUNTIFS(Urlisten!$C$15:$EL$15,'2D-Alter-Größe'!S$3,Urlisten!$C$16:$EL$16,'2D-Alter-Größe'!$C17),"")</f>
        <v/>
      </c>
      <c r="T17" s="342" t="str">
        <f>IF(COUNTIFS(Urlisten!$C$15:$EL$15,'2D-Alter-Größe'!T$3,Urlisten!$C$16:$EL$16,'2D-Alter-Größe'!$C17)&gt;0,COUNTIFS(Urlisten!$C$15:$EL$15,'2D-Alter-Größe'!T$3,Urlisten!$C$16:$EL$16,'2D-Alter-Größe'!$C17),"")</f>
        <v/>
      </c>
      <c r="U17" s="342" t="str">
        <f>IF(COUNTIFS(Urlisten!$C$15:$EL$15,'2D-Alter-Größe'!U$3,Urlisten!$C$16:$EL$16,'2D-Alter-Größe'!$C17)&gt;0,COUNTIFS(Urlisten!$C$15:$EL$15,'2D-Alter-Größe'!U$3,Urlisten!$C$16:$EL$16,'2D-Alter-Größe'!$C17),"")</f>
        <v/>
      </c>
      <c r="V17" s="342" t="str">
        <f>IF(COUNTIFS(Urlisten!$C$15:$EL$15,'2D-Alter-Größe'!V$3,Urlisten!$C$16:$EL$16,'2D-Alter-Größe'!$C17)&gt;0,COUNTIFS(Urlisten!$C$15:$EL$15,'2D-Alter-Größe'!V$3,Urlisten!$C$16:$EL$16,'2D-Alter-Größe'!$C17),"")</f>
        <v/>
      </c>
      <c r="W17" s="342" t="str">
        <f>IF(COUNTIFS(Urlisten!$C$15:$EL$15,'2D-Alter-Größe'!W$3,Urlisten!$C$16:$EL$16,'2D-Alter-Größe'!$C17)&gt;0,COUNTIFS(Urlisten!$C$15:$EL$15,'2D-Alter-Größe'!W$3,Urlisten!$C$16:$EL$16,'2D-Alter-Größe'!$C17),"")</f>
        <v/>
      </c>
      <c r="X17" s="342" t="str">
        <f>IF(COUNTIFS(Urlisten!$C$15:$EL$15,'2D-Alter-Größe'!X$3,Urlisten!$C$16:$EL$16,'2D-Alter-Größe'!$C17)&gt;0,COUNTIFS(Urlisten!$C$15:$EL$15,'2D-Alter-Größe'!X$3,Urlisten!$C$16:$EL$16,'2D-Alter-Größe'!$C17),"")</f>
        <v/>
      </c>
      <c r="Y17" s="342" t="str">
        <f>IF(COUNTIFS(Urlisten!$C$15:$EL$15,'2D-Alter-Größe'!Y$3,Urlisten!$C$16:$EL$16,'2D-Alter-Größe'!$C17)&gt;0,COUNTIFS(Urlisten!$C$15:$EL$15,'2D-Alter-Größe'!Y$3,Urlisten!$C$16:$EL$16,'2D-Alter-Größe'!$C17),"")</f>
        <v/>
      </c>
      <c r="Z17" s="342" t="str">
        <f>IF(COUNTIFS(Urlisten!$C$15:$EL$15,'2D-Alter-Größe'!Z$3,Urlisten!$C$16:$EL$16,'2D-Alter-Größe'!$C17)&gt;0,COUNTIFS(Urlisten!$C$15:$EL$15,'2D-Alter-Größe'!Z$3,Urlisten!$C$16:$EL$16,'2D-Alter-Größe'!$C17),"")</f>
        <v/>
      </c>
      <c r="AA17" s="342" t="str">
        <f>IF(COUNTIFS(Urlisten!$C$15:$EL$15,'2D-Alter-Größe'!AA$3,Urlisten!$C$16:$EL$16,'2D-Alter-Größe'!$C17)&gt;0,COUNTIFS(Urlisten!$C$15:$EL$15,'2D-Alter-Größe'!AA$3,Urlisten!$C$16:$EL$16,'2D-Alter-Größe'!$C17),"")</f>
        <v/>
      </c>
      <c r="AB17" s="349" t="str">
        <f>IF(COUNTIFS(Urlisten!$C$15:$EL$15,'2D-Alter-Größe'!AB$3,Urlisten!$C$16:$EL$16,'2D-Alter-Größe'!$C17)&gt;0,COUNTIFS(Urlisten!$C$15:$EL$15,'2D-Alter-Größe'!AB$3,Urlisten!$C$16:$EL$16,'2D-Alter-Größe'!$C17),"")</f>
        <v/>
      </c>
      <c r="AC17" s="361">
        <f t="shared" si="1"/>
        <v>1</v>
      </c>
      <c r="AD17" s="758"/>
    </row>
    <row r="18" spans="1:30" x14ac:dyDescent="0.25">
      <c r="A18" s="6"/>
      <c r="B18" s="767"/>
      <c r="C18" s="502">
        <f t="shared" si="2"/>
        <v>169</v>
      </c>
      <c r="D18" s="343" t="str">
        <f>IF(COUNTIFS(Urlisten!$C$15:$EL$15,'2D-Alter-Größe'!D$3,Urlisten!$C$16:$EL$16,'2D-Alter-Größe'!$C18)&gt;0,COUNTIFS(Urlisten!$C$15:$EL$15,'2D-Alter-Größe'!D$3,Urlisten!$C$16:$EL$16,'2D-Alter-Größe'!$C18),"")</f>
        <v/>
      </c>
      <c r="E18" s="342" t="str">
        <f>IF(COUNTIFS(Urlisten!$C$15:$EL$15,'2D-Alter-Größe'!E$3,Urlisten!$C$16:$EL$16,'2D-Alter-Größe'!$C18)&gt;0,COUNTIFS(Urlisten!$C$15:$EL$15,'2D-Alter-Größe'!E$3,Urlisten!$C$16:$EL$16,'2D-Alter-Größe'!$C18),"")</f>
        <v/>
      </c>
      <c r="F18" s="342" t="str">
        <f>IF(COUNTIFS(Urlisten!$C$15:$EL$15,'2D-Alter-Größe'!F$3,Urlisten!$C$16:$EL$16,'2D-Alter-Größe'!$C18)&gt;0,COUNTIFS(Urlisten!$C$15:$EL$15,'2D-Alter-Größe'!F$3,Urlisten!$C$16:$EL$16,'2D-Alter-Größe'!$C18),"")</f>
        <v/>
      </c>
      <c r="G18" s="342" t="str">
        <f>IF(COUNTIFS(Urlisten!$C$15:$EL$15,'2D-Alter-Größe'!G$3,Urlisten!$C$16:$EL$16,'2D-Alter-Größe'!$C18)&gt;0,COUNTIFS(Urlisten!$C$15:$EL$15,'2D-Alter-Größe'!G$3,Urlisten!$C$16:$EL$16,'2D-Alter-Größe'!$C18),"")</f>
        <v/>
      </c>
      <c r="H18" s="342" t="str">
        <f>IF(COUNTIFS(Urlisten!$C$15:$EL$15,'2D-Alter-Größe'!H$3,Urlisten!$C$16:$EL$16,'2D-Alter-Größe'!$C18)&gt;0,COUNTIFS(Urlisten!$C$15:$EL$15,'2D-Alter-Größe'!H$3,Urlisten!$C$16:$EL$16,'2D-Alter-Größe'!$C18),"")</f>
        <v/>
      </c>
      <c r="I18" s="342" t="str">
        <f>IF(COUNTIFS(Urlisten!$C$15:$EL$15,'2D-Alter-Größe'!I$3,Urlisten!$C$16:$EL$16,'2D-Alter-Größe'!$C18)&gt;0,COUNTIFS(Urlisten!$C$15:$EL$15,'2D-Alter-Größe'!I$3,Urlisten!$C$16:$EL$16,'2D-Alter-Größe'!$C18),"")</f>
        <v/>
      </c>
      <c r="J18" s="342" t="str">
        <f>IF(COUNTIFS(Urlisten!$C$15:$EL$15,'2D-Alter-Größe'!J$3,Urlisten!$C$16:$EL$16,'2D-Alter-Größe'!$C18)&gt;0,COUNTIFS(Urlisten!$C$15:$EL$15,'2D-Alter-Größe'!J$3,Urlisten!$C$16:$EL$16,'2D-Alter-Größe'!$C18),"")</f>
        <v/>
      </c>
      <c r="K18" s="342" t="str">
        <f>IF(COUNTIFS(Urlisten!$C$15:$EL$15,'2D-Alter-Größe'!K$3,Urlisten!$C$16:$EL$16,'2D-Alter-Größe'!$C18)&gt;0,COUNTIFS(Urlisten!$C$15:$EL$15,'2D-Alter-Größe'!K$3,Urlisten!$C$16:$EL$16,'2D-Alter-Größe'!$C18),"")</f>
        <v/>
      </c>
      <c r="L18" s="342" t="str">
        <f>IF(COUNTIFS(Urlisten!$C$15:$EL$15,'2D-Alter-Größe'!L$3,Urlisten!$C$16:$EL$16,'2D-Alter-Größe'!$C18)&gt;0,COUNTIFS(Urlisten!$C$15:$EL$15,'2D-Alter-Größe'!L$3,Urlisten!$C$16:$EL$16,'2D-Alter-Größe'!$C18),"")</f>
        <v/>
      </c>
      <c r="M18" s="342" t="str">
        <f>IF(COUNTIFS(Urlisten!$C$15:$EL$15,'2D-Alter-Größe'!M$3,Urlisten!$C$16:$EL$16,'2D-Alter-Größe'!$C18)&gt;0,COUNTIFS(Urlisten!$C$15:$EL$15,'2D-Alter-Größe'!M$3,Urlisten!$C$16:$EL$16,'2D-Alter-Größe'!$C18),"")</f>
        <v/>
      </c>
      <c r="N18" s="342">
        <f>IF(COUNTIFS(Urlisten!$C$15:$EL$15,'2D-Alter-Größe'!N$3,Urlisten!$C$16:$EL$16,'2D-Alter-Größe'!$C18)&gt;0,COUNTIFS(Urlisten!$C$15:$EL$15,'2D-Alter-Größe'!N$3,Urlisten!$C$16:$EL$16,'2D-Alter-Größe'!$C18),"")</f>
        <v>1</v>
      </c>
      <c r="O18" s="342" t="str">
        <f>IF(COUNTIFS(Urlisten!$C$15:$EL$15,'2D-Alter-Größe'!O$3,Urlisten!$C$16:$EL$16,'2D-Alter-Größe'!$C18)&gt;0,COUNTIFS(Urlisten!$C$15:$EL$15,'2D-Alter-Größe'!O$3,Urlisten!$C$16:$EL$16,'2D-Alter-Größe'!$C18),"")</f>
        <v/>
      </c>
      <c r="P18" s="342" t="str">
        <f>IF(COUNTIFS(Urlisten!$C$15:$EL$15,'2D-Alter-Größe'!P$3,Urlisten!$C$16:$EL$16,'2D-Alter-Größe'!$C18)&gt;0,COUNTIFS(Urlisten!$C$15:$EL$15,'2D-Alter-Größe'!P$3,Urlisten!$C$16:$EL$16,'2D-Alter-Größe'!$C18),"")</f>
        <v/>
      </c>
      <c r="Q18" s="342" t="str">
        <f>IF(COUNTIFS(Urlisten!$C$15:$EL$15,'2D-Alter-Größe'!Q$3,Urlisten!$C$16:$EL$16,'2D-Alter-Größe'!$C18)&gt;0,COUNTIFS(Urlisten!$C$15:$EL$15,'2D-Alter-Größe'!Q$3,Urlisten!$C$16:$EL$16,'2D-Alter-Größe'!$C18),"")</f>
        <v/>
      </c>
      <c r="R18" s="342" t="str">
        <f>IF(COUNTIFS(Urlisten!$C$15:$EL$15,'2D-Alter-Größe'!R$3,Urlisten!$C$16:$EL$16,'2D-Alter-Größe'!$C18)&gt;0,COUNTIFS(Urlisten!$C$15:$EL$15,'2D-Alter-Größe'!R$3,Urlisten!$C$16:$EL$16,'2D-Alter-Größe'!$C18),"")</f>
        <v/>
      </c>
      <c r="S18" s="342" t="str">
        <f>IF(COUNTIFS(Urlisten!$C$15:$EL$15,'2D-Alter-Größe'!S$3,Urlisten!$C$16:$EL$16,'2D-Alter-Größe'!$C18)&gt;0,COUNTIFS(Urlisten!$C$15:$EL$15,'2D-Alter-Größe'!S$3,Urlisten!$C$16:$EL$16,'2D-Alter-Größe'!$C18),"")</f>
        <v/>
      </c>
      <c r="T18" s="342" t="str">
        <f>IF(COUNTIFS(Urlisten!$C$15:$EL$15,'2D-Alter-Größe'!T$3,Urlisten!$C$16:$EL$16,'2D-Alter-Größe'!$C18)&gt;0,COUNTIFS(Urlisten!$C$15:$EL$15,'2D-Alter-Größe'!T$3,Urlisten!$C$16:$EL$16,'2D-Alter-Größe'!$C18),"")</f>
        <v/>
      </c>
      <c r="U18" s="342" t="str">
        <f>IF(COUNTIFS(Urlisten!$C$15:$EL$15,'2D-Alter-Größe'!U$3,Urlisten!$C$16:$EL$16,'2D-Alter-Größe'!$C18)&gt;0,COUNTIFS(Urlisten!$C$15:$EL$15,'2D-Alter-Größe'!U$3,Urlisten!$C$16:$EL$16,'2D-Alter-Größe'!$C18),"")</f>
        <v/>
      </c>
      <c r="V18" s="342" t="str">
        <f>IF(COUNTIFS(Urlisten!$C$15:$EL$15,'2D-Alter-Größe'!V$3,Urlisten!$C$16:$EL$16,'2D-Alter-Größe'!$C18)&gt;0,COUNTIFS(Urlisten!$C$15:$EL$15,'2D-Alter-Größe'!V$3,Urlisten!$C$16:$EL$16,'2D-Alter-Größe'!$C18),"")</f>
        <v/>
      </c>
      <c r="W18" s="342" t="str">
        <f>IF(COUNTIFS(Urlisten!$C$15:$EL$15,'2D-Alter-Größe'!W$3,Urlisten!$C$16:$EL$16,'2D-Alter-Größe'!$C18)&gt;0,COUNTIFS(Urlisten!$C$15:$EL$15,'2D-Alter-Größe'!W$3,Urlisten!$C$16:$EL$16,'2D-Alter-Größe'!$C18),"")</f>
        <v/>
      </c>
      <c r="X18" s="342" t="str">
        <f>IF(COUNTIFS(Urlisten!$C$15:$EL$15,'2D-Alter-Größe'!X$3,Urlisten!$C$16:$EL$16,'2D-Alter-Größe'!$C18)&gt;0,COUNTIFS(Urlisten!$C$15:$EL$15,'2D-Alter-Größe'!X$3,Urlisten!$C$16:$EL$16,'2D-Alter-Größe'!$C18),"")</f>
        <v/>
      </c>
      <c r="Y18" s="342" t="str">
        <f>IF(COUNTIFS(Urlisten!$C$15:$EL$15,'2D-Alter-Größe'!Y$3,Urlisten!$C$16:$EL$16,'2D-Alter-Größe'!$C18)&gt;0,COUNTIFS(Urlisten!$C$15:$EL$15,'2D-Alter-Größe'!Y$3,Urlisten!$C$16:$EL$16,'2D-Alter-Größe'!$C18),"")</f>
        <v/>
      </c>
      <c r="Z18" s="342" t="str">
        <f>IF(COUNTIFS(Urlisten!$C$15:$EL$15,'2D-Alter-Größe'!Z$3,Urlisten!$C$16:$EL$16,'2D-Alter-Größe'!$C18)&gt;0,COUNTIFS(Urlisten!$C$15:$EL$15,'2D-Alter-Größe'!Z$3,Urlisten!$C$16:$EL$16,'2D-Alter-Größe'!$C18),"")</f>
        <v/>
      </c>
      <c r="AA18" s="342" t="str">
        <f>IF(COUNTIFS(Urlisten!$C$15:$EL$15,'2D-Alter-Größe'!AA$3,Urlisten!$C$16:$EL$16,'2D-Alter-Größe'!$C18)&gt;0,COUNTIFS(Urlisten!$C$15:$EL$15,'2D-Alter-Größe'!AA$3,Urlisten!$C$16:$EL$16,'2D-Alter-Größe'!$C18),"")</f>
        <v/>
      </c>
      <c r="AB18" s="349" t="str">
        <f>IF(COUNTIFS(Urlisten!$C$15:$EL$15,'2D-Alter-Größe'!AB$3,Urlisten!$C$16:$EL$16,'2D-Alter-Größe'!$C18)&gt;0,COUNTIFS(Urlisten!$C$15:$EL$15,'2D-Alter-Größe'!AB$3,Urlisten!$C$16:$EL$16,'2D-Alter-Größe'!$C18),"")</f>
        <v/>
      </c>
      <c r="AC18" s="361">
        <f t="shared" si="1"/>
        <v>1</v>
      </c>
      <c r="AD18" s="758"/>
    </row>
    <row r="19" spans="1:30" x14ac:dyDescent="0.25">
      <c r="A19" s="6"/>
      <c r="B19" s="767"/>
      <c r="C19" s="502">
        <f t="shared" si="2"/>
        <v>170</v>
      </c>
      <c r="D19" s="343" t="str">
        <f>IF(COUNTIFS(Urlisten!$C$15:$EL$15,'2D-Alter-Größe'!D$3,Urlisten!$C$16:$EL$16,'2D-Alter-Größe'!$C19)&gt;0,COUNTIFS(Urlisten!$C$15:$EL$15,'2D-Alter-Größe'!D$3,Urlisten!$C$16:$EL$16,'2D-Alter-Größe'!$C19),"")</f>
        <v/>
      </c>
      <c r="E19" s="342" t="str">
        <f>IF(COUNTIFS(Urlisten!$C$15:$EL$15,'2D-Alter-Größe'!E$3,Urlisten!$C$16:$EL$16,'2D-Alter-Größe'!$C19)&gt;0,COUNTIFS(Urlisten!$C$15:$EL$15,'2D-Alter-Größe'!E$3,Urlisten!$C$16:$EL$16,'2D-Alter-Größe'!$C19),"")</f>
        <v/>
      </c>
      <c r="F19" s="342">
        <f>IF(COUNTIFS(Urlisten!$C$15:$EL$15,'2D-Alter-Größe'!F$3,Urlisten!$C$16:$EL$16,'2D-Alter-Größe'!$C19)&gt;0,COUNTIFS(Urlisten!$C$15:$EL$15,'2D-Alter-Größe'!F$3,Urlisten!$C$16:$EL$16,'2D-Alter-Größe'!$C19),"")</f>
        <v>1</v>
      </c>
      <c r="G19" s="342" t="str">
        <f>IF(COUNTIFS(Urlisten!$C$15:$EL$15,'2D-Alter-Größe'!G$3,Urlisten!$C$16:$EL$16,'2D-Alter-Größe'!$C19)&gt;0,COUNTIFS(Urlisten!$C$15:$EL$15,'2D-Alter-Größe'!G$3,Urlisten!$C$16:$EL$16,'2D-Alter-Größe'!$C19),"")</f>
        <v/>
      </c>
      <c r="H19" s="342">
        <f>IF(COUNTIFS(Urlisten!$C$15:$EL$15,'2D-Alter-Größe'!H$3,Urlisten!$C$16:$EL$16,'2D-Alter-Größe'!$C19)&gt;0,COUNTIFS(Urlisten!$C$15:$EL$15,'2D-Alter-Größe'!H$3,Urlisten!$C$16:$EL$16,'2D-Alter-Größe'!$C19),"")</f>
        <v>3</v>
      </c>
      <c r="I19" s="342">
        <f>IF(COUNTIFS(Urlisten!$C$15:$EL$15,'2D-Alter-Größe'!I$3,Urlisten!$C$16:$EL$16,'2D-Alter-Größe'!$C19)&gt;0,COUNTIFS(Urlisten!$C$15:$EL$15,'2D-Alter-Größe'!I$3,Urlisten!$C$16:$EL$16,'2D-Alter-Größe'!$C19),"")</f>
        <v>1</v>
      </c>
      <c r="J19" s="342">
        <f>IF(COUNTIFS(Urlisten!$C$15:$EL$15,'2D-Alter-Größe'!J$3,Urlisten!$C$16:$EL$16,'2D-Alter-Größe'!$C19)&gt;0,COUNTIFS(Urlisten!$C$15:$EL$15,'2D-Alter-Größe'!J$3,Urlisten!$C$16:$EL$16,'2D-Alter-Größe'!$C19),"")</f>
        <v>1</v>
      </c>
      <c r="K19" s="342">
        <f>IF(COUNTIFS(Urlisten!$C$15:$EL$15,'2D-Alter-Größe'!K$3,Urlisten!$C$16:$EL$16,'2D-Alter-Größe'!$C19)&gt;0,COUNTIFS(Urlisten!$C$15:$EL$15,'2D-Alter-Größe'!K$3,Urlisten!$C$16:$EL$16,'2D-Alter-Größe'!$C19),"")</f>
        <v>1</v>
      </c>
      <c r="L19" s="342" t="str">
        <f>IF(COUNTIFS(Urlisten!$C$15:$EL$15,'2D-Alter-Größe'!L$3,Urlisten!$C$16:$EL$16,'2D-Alter-Größe'!$C19)&gt;0,COUNTIFS(Urlisten!$C$15:$EL$15,'2D-Alter-Größe'!L$3,Urlisten!$C$16:$EL$16,'2D-Alter-Größe'!$C19),"")</f>
        <v/>
      </c>
      <c r="M19" s="342" t="str">
        <f>IF(COUNTIFS(Urlisten!$C$15:$EL$15,'2D-Alter-Größe'!M$3,Urlisten!$C$16:$EL$16,'2D-Alter-Größe'!$C19)&gt;0,COUNTIFS(Urlisten!$C$15:$EL$15,'2D-Alter-Größe'!M$3,Urlisten!$C$16:$EL$16,'2D-Alter-Größe'!$C19),"")</f>
        <v/>
      </c>
      <c r="N19" s="342" t="str">
        <f>IF(COUNTIFS(Urlisten!$C$15:$EL$15,'2D-Alter-Größe'!N$3,Urlisten!$C$16:$EL$16,'2D-Alter-Größe'!$C19)&gt;0,COUNTIFS(Urlisten!$C$15:$EL$15,'2D-Alter-Größe'!N$3,Urlisten!$C$16:$EL$16,'2D-Alter-Größe'!$C19),"")</f>
        <v/>
      </c>
      <c r="O19" s="342" t="str">
        <f>IF(COUNTIFS(Urlisten!$C$15:$EL$15,'2D-Alter-Größe'!O$3,Urlisten!$C$16:$EL$16,'2D-Alter-Größe'!$C19)&gt;0,COUNTIFS(Urlisten!$C$15:$EL$15,'2D-Alter-Größe'!O$3,Urlisten!$C$16:$EL$16,'2D-Alter-Größe'!$C19),"")</f>
        <v/>
      </c>
      <c r="P19" s="342" t="str">
        <f>IF(COUNTIFS(Urlisten!$C$15:$EL$15,'2D-Alter-Größe'!P$3,Urlisten!$C$16:$EL$16,'2D-Alter-Größe'!$C19)&gt;0,COUNTIFS(Urlisten!$C$15:$EL$15,'2D-Alter-Größe'!P$3,Urlisten!$C$16:$EL$16,'2D-Alter-Größe'!$C19),"")</f>
        <v/>
      </c>
      <c r="Q19" s="342" t="str">
        <f>IF(COUNTIFS(Urlisten!$C$15:$EL$15,'2D-Alter-Größe'!Q$3,Urlisten!$C$16:$EL$16,'2D-Alter-Größe'!$C19)&gt;0,COUNTIFS(Urlisten!$C$15:$EL$15,'2D-Alter-Größe'!Q$3,Urlisten!$C$16:$EL$16,'2D-Alter-Größe'!$C19),"")</f>
        <v/>
      </c>
      <c r="R19" s="342" t="str">
        <f>IF(COUNTIFS(Urlisten!$C$15:$EL$15,'2D-Alter-Größe'!R$3,Urlisten!$C$16:$EL$16,'2D-Alter-Größe'!$C19)&gt;0,COUNTIFS(Urlisten!$C$15:$EL$15,'2D-Alter-Größe'!R$3,Urlisten!$C$16:$EL$16,'2D-Alter-Größe'!$C19),"")</f>
        <v/>
      </c>
      <c r="S19" s="342" t="str">
        <f>IF(COUNTIFS(Urlisten!$C$15:$EL$15,'2D-Alter-Größe'!S$3,Urlisten!$C$16:$EL$16,'2D-Alter-Größe'!$C19)&gt;0,COUNTIFS(Urlisten!$C$15:$EL$15,'2D-Alter-Größe'!S$3,Urlisten!$C$16:$EL$16,'2D-Alter-Größe'!$C19),"")</f>
        <v/>
      </c>
      <c r="T19" s="342" t="str">
        <f>IF(COUNTIFS(Urlisten!$C$15:$EL$15,'2D-Alter-Größe'!T$3,Urlisten!$C$16:$EL$16,'2D-Alter-Größe'!$C19)&gt;0,COUNTIFS(Urlisten!$C$15:$EL$15,'2D-Alter-Größe'!T$3,Urlisten!$C$16:$EL$16,'2D-Alter-Größe'!$C19),"")</f>
        <v/>
      </c>
      <c r="U19" s="342" t="str">
        <f>IF(COUNTIFS(Urlisten!$C$15:$EL$15,'2D-Alter-Größe'!U$3,Urlisten!$C$16:$EL$16,'2D-Alter-Größe'!$C19)&gt;0,COUNTIFS(Urlisten!$C$15:$EL$15,'2D-Alter-Größe'!U$3,Urlisten!$C$16:$EL$16,'2D-Alter-Größe'!$C19),"")</f>
        <v/>
      </c>
      <c r="V19" s="342" t="str">
        <f>IF(COUNTIFS(Urlisten!$C$15:$EL$15,'2D-Alter-Größe'!V$3,Urlisten!$C$16:$EL$16,'2D-Alter-Größe'!$C19)&gt;0,COUNTIFS(Urlisten!$C$15:$EL$15,'2D-Alter-Größe'!V$3,Urlisten!$C$16:$EL$16,'2D-Alter-Größe'!$C19),"")</f>
        <v/>
      </c>
      <c r="W19" s="342" t="str">
        <f>IF(COUNTIFS(Urlisten!$C$15:$EL$15,'2D-Alter-Größe'!W$3,Urlisten!$C$16:$EL$16,'2D-Alter-Größe'!$C19)&gt;0,COUNTIFS(Urlisten!$C$15:$EL$15,'2D-Alter-Größe'!W$3,Urlisten!$C$16:$EL$16,'2D-Alter-Größe'!$C19),"")</f>
        <v/>
      </c>
      <c r="X19" s="342" t="str">
        <f>IF(COUNTIFS(Urlisten!$C$15:$EL$15,'2D-Alter-Größe'!X$3,Urlisten!$C$16:$EL$16,'2D-Alter-Größe'!$C19)&gt;0,COUNTIFS(Urlisten!$C$15:$EL$15,'2D-Alter-Größe'!X$3,Urlisten!$C$16:$EL$16,'2D-Alter-Größe'!$C19),"")</f>
        <v/>
      </c>
      <c r="Y19" s="342" t="str">
        <f>IF(COUNTIFS(Urlisten!$C$15:$EL$15,'2D-Alter-Größe'!Y$3,Urlisten!$C$16:$EL$16,'2D-Alter-Größe'!$C19)&gt;0,COUNTIFS(Urlisten!$C$15:$EL$15,'2D-Alter-Größe'!Y$3,Urlisten!$C$16:$EL$16,'2D-Alter-Größe'!$C19),"")</f>
        <v/>
      </c>
      <c r="Z19" s="342" t="str">
        <f>IF(COUNTIFS(Urlisten!$C$15:$EL$15,'2D-Alter-Größe'!Z$3,Urlisten!$C$16:$EL$16,'2D-Alter-Größe'!$C19)&gt;0,COUNTIFS(Urlisten!$C$15:$EL$15,'2D-Alter-Größe'!Z$3,Urlisten!$C$16:$EL$16,'2D-Alter-Größe'!$C19),"")</f>
        <v/>
      </c>
      <c r="AA19" s="342" t="str">
        <f>IF(COUNTIFS(Urlisten!$C$15:$EL$15,'2D-Alter-Größe'!AA$3,Urlisten!$C$16:$EL$16,'2D-Alter-Größe'!$C19)&gt;0,COUNTIFS(Urlisten!$C$15:$EL$15,'2D-Alter-Größe'!AA$3,Urlisten!$C$16:$EL$16,'2D-Alter-Größe'!$C19),"")</f>
        <v/>
      </c>
      <c r="AB19" s="349" t="str">
        <f>IF(COUNTIFS(Urlisten!$C$15:$EL$15,'2D-Alter-Größe'!AB$3,Urlisten!$C$16:$EL$16,'2D-Alter-Größe'!$C19)&gt;0,COUNTIFS(Urlisten!$C$15:$EL$15,'2D-Alter-Größe'!AB$3,Urlisten!$C$16:$EL$16,'2D-Alter-Größe'!$C19),"")</f>
        <v/>
      </c>
      <c r="AC19" s="361">
        <f t="shared" si="1"/>
        <v>7</v>
      </c>
      <c r="AD19" s="758"/>
    </row>
    <row r="20" spans="1:30" x14ac:dyDescent="0.25">
      <c r="A20" s="6"/>
      <c r="B20" s="767"/>
      <c r="C20" s="502">
        <f t="shared" si="2"/>
        <v>171</v>
      </c>
      <c r="D20" s="343" t="str">
        <f>IF(COUNTIFS(Urlisten!$C$15:$EL$15,'2D-Alter-Größe'!D$3,Urlisten!$C$16:$EL$16,'2D-Alter-Größe'!$C20)&gt;0,COUNTIFS(Urlisten!$C$15:$EL$15,'2D-Alter-Größe'!D$3,Urlisten!$C$16:$EL$16,'2D-Alter-Größe'!$C20),"")</f>
        <v/>
      </c>
      <c r="E20" s="342" t="str">
        <f>IF(COUNTIFS(Urlisten!$C$15:$EL$15,'2D-Alter-Größe'!E$3,Urlisten!$C$16:$EL$16,'2D-Alter-Größe'!$C20)&gt;0,COUNTIFS(Urlisten!$C$15:$EL$15,'2D-Alter-Größe'!E$3,Urlisten!$C$16:$EL$16,'2D-Alter-Größe'!$C20),"")</f>
        <v/>
      </c>
      <c r="F20" s="342" t="str">
        <f>IF(COUNTIFS(Urlisten!$C$15:$EL$15,'2D-Alter-Größe'!F$3,Urlisten!$C$16:$EL$16,'2D-Alter-Größe'!$C20)&gt;0,COUNTIFS(Urlisten!$C$15:$EL$15,'2D-Alter-Größe'!F$3,Urlisten!$C$16:$EL$16,'2D-Alter-Größe'!$C20),"")</f>
        <v/>
      </c>
      <c r="G20" s="342" t="str">
        <f>IF(COUNTIFS(Urlisten!$C$15:$EL$15,'2D-Alter-Größe'!G$3,Urlisten!$C$16:$EL$16,'2D-Alter-Größe'!$C20)&gt;0,COUNTIFS(Urlisten!$C$15:$EL$15,'2D-Alter-Größe'!G$3,Urlisten!$C$16:$EL$16,'2D-Alter-Größe'!$C20),"")</f>
        <v/>
      </c>
      <c r="H20" s="342" t="str">
        <f>IF(COUNTIFS(Urlisten!$C$15:$EL$15,'2D-Alter-Größe'!H$3,Urlisten!$C$16:$EL$16,'2D-Alter-Größe'!$C20)&gt;0,COUNTIFS(Urlisten!$C$15:$EL$15,'2D-Alter-Größe'!H$3,Urlisten!$C$16:$EL$16,'2D-Alter-Größe'!$C20),"")</f>
        <v/>
      </c>
      <c r="I20" s="342" t="str">
        <f>IF(COUNTIFS(Urlisten!$C$15:$EL$15,'2D-Alter-Größe'!I$3,Urlisten!$C$16:$EL$16,'2D-Alter-Größe'!$C20)&gt;0,COUNTIFS(Urlisten!$C$15:$EL$15,'2D-Alter-Größe'!I$3,Urlisten!$C$16:$EL$16,'2D-Alter-Größe'!$C20),"")</f>
        <v/>
      </c>
      <c r="J20" s="342">
        <f>IF(COUNTIFS(Urlisten!$C$15:$EL$15,'2D-Alter-Größe'!J$3,Urlisten!$C$16:$EL$16,'2D-Alter-Größe'!$C20)&gt;0,COUNTIFS(Urlisten!$C$15:$EL$15,'2D-Alter-Größe'!J$3,Urlisten!$C$16:$EL$16,'2D-Alter-Größe'!$C20),"")</f>
        <v>1</v>
      </c>
      <c r="K20" s="342" t="str">
        <f>IF(COUNTIFS(Urlisten!$C$15:$EL$15,'2D-Alter-Größe'!K$3,Urlisten!$C$16:$EL$16,'2D-Alter-Größe'!$C20)&gt;0,COUNTIFS(Urlisten!$C$15:$EL$15,'2D-Alter-Größe'!K$3,Urlisten!$C$16:$EL$16,'2D-Alter-Größe'!$C20),"")</f>
        <v/>
      </c>
      <c r="L20" s="342" t="str">
        <f>IF(COUNTIFS(Urlisten!$C$15:$EL$15,'2D-Alter-Größe'!L$3,Urlisten!$C$16:$EL$16,'2D-Alter-Größe'!$C20)&gt;0,COUNTIFS(Urlisten!$C$15:$EL$15,'2D-Alter-Größe'!L$3,Urlisten!$C$16:$EL$16,'2D-Alter-Größe'!$C20),"")</f>
        <v/>
      </c>
      <c r="M20" s="342" t="str">
        <f>IF(COUNTIFS(Urlisten!$C$15:$EL$15,'2D-Alter-Größe'!M$3,Urlisten!$C$16:$EL$16,'2D-Alter-Größe'!$C20)&gt;0,COUNTIFS(Urlisten!$C$15:$EL$15,'2D-Alter-Größe'!M$3,Urlisten!$C$16:$EL$16,'2D-Alter-Größe'!$C20),"")</f>
        <v/>
      </c>
      <c r="N20" s="342" t="str">
        <f>IF(COUNTIFS(Urlisten!$C$15:$EL$15,'2D-Alter-Größe'!N$3,Urlisten!$C$16:$EL$16,'2D-Alter-Größe'!$C20)&gt;0,COUNTIFS(Urlisten!$C$15:$EL$15,'2D-Alter-Größe'!N$3,Urlisten!$C$16:$EL$16,'2D-Alter-Größe'!$C20),"")</f>
        <v/>
      </c>
      <c r="O20" s="342" t="str">
        <f>IF(COUNTIFS(Urlisten!$C$15:$EL$15,'2D-Alter-Größe'!O$3,Urlisten!$C$16:$EL$16,'2D-Alter-Größe'!$C20)&gt;0,COUNTIFS(Urlisten!$C$15:$EL$15,'2D-Alter-Größe'!O$3,Urlisten!$C$16:$EL$16,'2D-Alter-Größe'!$C20),"")</f>
        <v/>
      </c>
      <c r="P20" s="342" t="str">
        <f>IF(COUNTIFS(Urlisten!$C$15:$EL$15,'2D-Alter-Größe'!P$3,Urlisten!$C$16:$EL$16,'2D-Alter-Größe'!$C20)&gt;0,COUNTIFS(Urlisten!$C$15:$EL$15,'2D-Alter-Größe'!P$3,Urlisten!$C$16:$EL$16,'2D-Alter-Größe'!$C20),"")</f>
        <v/>
      </c>
      <c r="Q20" s="342" t="str">
        <f>IF(COUNTIFS(Urlisten!$C$15:$EL$15,'2D-Alter-Größe'!Q$3,Urlisten!$C$16:$EL$16,'2D-Alter-Größe'!$C20)&gt;0,COUNTIFS(Urlisten!$C$15:$EL$15,'2D-Alter-Größe'!Q$3,Urlisten!$C$16:$EL$16,'2D-Alter-Größe'!$C20),"")</f>
        <v/>
      </c>
      <c r="R20" s="342" t="str">
        <f>IF(COUNTIFS(Urlisten!$C$15:$EL$15,'2D-Alter-Größe'!R$3,Urlisten!$C$16:$EL$16,'2D-Alter-Größe'!$C20)&gt;0,COUNTIFS(Urlisten!$C$15:$EL$15,'2D-Alter-Größe'!R$3,Urlisten!$C$16:$EL$16,'2D-Alter-Größe'!$C20),"")</f>
        <v/>
      </c>
      <c r="S20" s="342" t="str">
        <f>IF(COUNTIFS(Urlisten!$C$15:$EL$15,'2D-Alter-Größe'!S$3,Urlisten!$C$16:$EL$16,'2D-Alter-Größe'!$C20)&gt;0,COUNTIFS(Urlisten!$C$15:$EL$15,'2D-Alter-Größe'!S$3,Urlisten!$C$16:$EL$16,'2D-Alter-Größe'!$C20),"")</f>
        <v/>
      </c>
      <c r="T20" s="342" t="str">
        <f>IF(COUNTIFS(Urlisten!$C$15:$EL$15,'2D-Alter-Größe'!T$3,Urlisten!$C$16:$EL$16,'2D-Alter-Größe'!$C20)&gt;0,COUNTIFS(Urlisten!$C$15:$EL$15,'2D-Alter-Größe'!T$3,Urlisten!$C$16:$EL$16,'2D-Alter-Größe'!$C20),"")</f>
        <v/>
      </c>
      <c r="U20" s="342" t="str">
        <f>IF(COUNTIFS(Urlisten!$C$15:$EL$15,'2D-Alter-Größe'!U$3,Urlisten!$C$16:$EL$16,'2D-Alter-Größe'!$C20)&gt;0,COUNTIFS(Urlisten!$C$15:$EL$15,'2D-Alter-Größe'!U$3,Urlisten!$C$16:$EL$16,'2D-Alter-Größe'!$C20),"")</f>
        <v/>
      </c>
      <c r="V20" s="342" t="str">
        <f>IF(COUNTIFS(Urlisten!$C$15:$EL$15,'2D-Alter-Größe'!V$3,Urlisten!$C$16:$EL$16,'2D-Alter-Größe'!$C20)&gt;0,COUNTIFS(Urlisten!$C$15:$EL$15,'2D-Alter-Größe'!V$3,Urlisten!$C$16:$EL$16,'2D-Alter-Größe'!$C20),"")</f>
        <v/>
      </c>
      <c r="W20" s="342" t="str">
        <f>IF(COUNTIFS(Urlisten!$C$15:$EL$15,'2D-Alter-Größe'!W$3,Urlisten!$C$16:$EL$16,'2D-Alter-Größe'!$C20)&gt;0,COUNTIFS(Urlisten!$C$15:$EL$15,'2D-Alter-Größe'!W$3,Urlisten!$C$16:$EL$16,'2D-Alter-Größe'!$C20),"")</f>
        <v/>
      </c>
      <c r="X20" s="342" t="str">
        <f>IF(COUNTIFS(Urlisten!$C$15:$EL$15,'2D-Alter-Größe'!X$3,Urlisten!$C$16:$EL$16,'2D-Alter-Größe'!$C20)&gt;0,COUNTIFS(Urlisten!$C$15:$EL$15,'2D-Alter-Größe'!X$3,Urlisten!$C$16:$EL$16,'2D-Alter-Größe'!$C20),"")</f>
        <v/>
      </c>
      <c r="Y20" s="342" t="str">
        <f>IF(COUNTIFS(Urlisten!$C$15:$EL$15,'2D-Alter-Größe'!Y$3,Urlisten!$C$16:$EL$16,'2D-Alter-Größe'!$C20)&gt;0,COUNTIFS(Urlisten!$C$15:$EL$15,'2D-Alter-Größe'!Y$3,Urlisten!$C$16:$EL$16,'2D-Alter-Größe'!$C20),"")</f>
        <v/>
      </c>
      <c r="Z20" s="342" t="str">
        <f>IF(COUNTIFS(Urlisten!$C$15:$EL$15,'2D-Alter-Größe'!Z$3,Urlisten!$C$16:$EL$16,'2D-Alter-Größe'!$C20)&gt;0,COUNTIFS(Urlisten!$C$15:$EL$15,'2D-Alter-Größe'!Z$3,Urlisten!$C$16:$EL$16,'2D-Alter-Größe'!$C20),"")</f>
        <v/>
      </c>
      <c r="AA20" s="342" t="str">
        <f>IF(COUNTIFS(Urlisten!$C$15:$EL$15,'2D-Alter-Größe'!AA$3,Urlisten!$C$16:$EL$16,'2D-Alter-Größe'!$C20)&gt;0,COUNTIFS(Urlisten!$C$15:$EL$15,'2D-Alter-Größe'!AA$3,Urlisten!$C$16:$EL$16,'2D-Alter-Größe'!$C20),"")</f>
        <v/>
      </c>
      <c r="AB20" s="349" t="str">
        <f>IF(COUNTIFS(Urlisten!$C$15:$EL$15,'2D-Alter-Größe'!AB$3,Urlisten!$C$16:$EL$16,'2D-Alter-Größe'!$C20)&gt;0,COUNTIFS(Urlisten!$C$15:$EL$15,'2D-Alter-Größe'!AB$3,Urlisten!$C$16:$EL$16,'2D-Alter-Größe'!$C20),"")</f>
        <v/>
      </c>
      <c r="AC20" s="361">
        <f t="shared" si="1"/>
        <v>1</v>
      </c>
      <c r="AD20" s="758"/>
    </row>
    <row r="21" spans="1:30" x14ac:dyDescent="0.25">
      <c r="A21" s="6"/>
      <c r="B21" s="767"/>
      <c r="C21" s="502">
        <f t="shared" si="2"/>
        <v>172</v>
      </c>
      <c r="D21" s="343" t="str">
        <f>IF(COUNTIFS(Urlisten!$C$15:$EL$15,'2D-Alter-Größe'!D$3,Urlisten!$C$16:$EL$16,'2D-Alter-Größe'!$C21)&gt;0,COUNTIFS(Urlisten!$C$15:$EL$15,'2D-Alter-Größe'!D$3,Urlisten!$C$16:$EL$16,'2D-Alter-Größe'!$C21),"")</f>
        <v/>
      </c>
      <c r="E21" s="342" t="str">
        <f>IF(COUNTIFS(Urlisten!$C$15:$EL$15,'2D-Alter-Größe'!E$3,Urlisten!$C$16:$EL$16,'2D-Alter-Größe'!$C21)&gt;0,COUNTIFS(Urlisten!$C$15:$EL$15,'2D-Alter-Größe'!E$3,Urlisten!$C$16:$EL$16,'2D-Alter-Größe'!$C21),"")</f>
        <v/>
      </c>
      <c r="F21" s="342" t="str">
        <f>IF(COUNTIFS(Urlisten!$C$15:$EL$15,'2D-Alter-Größe'!F$3,Urlisten!$C$16:$EL$16,'2D-Alter-Größe'!$C21)&gt;0,COUNTIFS(Urlisten!$C$15:$EL$15,'2D-Alter-Größe'!F$3,Urlisten!$C$16:$EL$16,'2D-Alter-Größe'!$C21),"")</f>
        <v/>
      </c>
      <c r="G21" s="342" t="str">
        <f>IF(COUNTIFS(Urlisten!$C$15:$EL$15,'2D-Alter-Größe'!G$3,Urlisten!$C$16:$EL$16,'2D-Alter-Größe'!$C21)&gt;0,COUNTIFS(Urlisten!$C$15:$EL$15,'2D-Alter-Größe'!G$3,Urlisten!$C$16:$EL$16,'2D-Alter-Größe'!$C21),"")</f>
        <v/>
      </c>
      <c r="H21" s="342" t="str">
        <f>IF(COUNTIFS(Urlisten!$C$15:$EL$15,'2D-Alter-Größe'!H$3,Urlisten!$C$16:$EL$16,'2D-Alter-Größe'!$C21)&gt;0,COUNTIFS(Urlisten!$C$15:$EL$15,'2D-Alter-Größe'!H$3,Urlisten!$C$16:$EL$16,'2D-Alter-Größe'!$C21),"")</f>
        <v/>
      </c>
      <c r="I21" s="342" t="str">
        <f>IF(COUNTIFS(Urlisten!$C$15:$EL$15,'2D-Alter-Größe'!I$3,Urlisten!$C$16:$EL$16,'2D-Alter-Größe'!$C21)&gt;0,COUNTIFS(Urlisten!$C$15:$EL$15,'2D-Alter-Größe'!I$3,Urlisten!$C$16:$EL$16,'2D-Alter-Größe'!$C21),"")</f>
        <v/>
      </c>
      <c r="J21" s="342" t="str">
        <f>IF(COUNTIFS(Urlisten!$C$15:$EL$15,'2D-Alter-Größe'!J$3,Urlisten!$C$16:$EL$16,'2D-Alter-Größe'!$C21)&gt;0,COUNTIFS(Urlisten!$C$15:$EL$15,'2D-Alter-Größe'!J$3,Urlisten!$C$16:$EL$16,'2D-Alter-Größe'!$C21),"")</f>
        <v/>
      </c>
      <c r="K21" s="342">
        <f>IF(COUNTIFS(Urlisten!$C$15:$EL$15,'2D-Alter-Größe'!K$3,Urlisten!$C$16:$EL$16,'2D-Alter-Größe'!$C21)&gt;0,COUNTIFS(Urlisten!$C$15:$EL$15,'2D-Alter-Größe'!K$3,Urlisten!$C$16:$EL$16,'2D-Alter-Größe'!$C21),"")</f>
        <v>1</v>
      </c>
      <c r="L21" s="342" t="str">
        <f>IF(COUNTIFS(Urlisten!$C$15:$EL$15,'2D-Alter-Größe'!L$3,Urlisten!$C$16:$EL$16,'2D-Alter-Größe'!$C21)&gt;0,COUNTIFS(Urlisten!$C$15:$EL$15,'2D-Alter-Größe'!L$3,Urlisten!$C$16:$EL$16,'2D-Alter-Größe'!$C21),"")</f>
        <v/>
      </c>
      <c r="M21" s="342" t="str">
        <f>IF(COUNTIFS(Urlisten!$C$15:$EL$15,'2D-Alter-Größe'!M$3,Urlisten!$C$16:$EL$16,'2D-Alter-Größe'!$C21)&gt;0,COUNTIFS(Urlisten!$C$15:$EL$15,'2D-Alter-Größe'!M$3,Urlisten!$C$16:$EL$16,'2D-Alter-Größe'!$C21),"")</f>
        <v/>
      </c>
      <c r="N21" s="342" t="str">
        <f>IF(COUNTIFS(Urlisten!$C$15:$EL$15,'2D-Alter-Größe'!N$3,Urlisten!$C$16:$EL$16,'2D-Alter-Größe'!$C21)&gt;0,COUNTIFS(Urlisten!$C$15:$EL$15,'2D-Alter-Größe'!N$3,Urlisten!$C$16:$EL$16,'2D-Alter-Größe'!$C21),"")</f>
        <v/>
      </c>
      <c r="O21" s="342" t="str">
        <f>IF(COUNTIFS(Urlisten!$C$15:$EL$15,'2D-Alter-Größe'!O$3,Urlisten!$C$16:$EL$16,'2D-Alter-Größe'!$C21)&gt;0,COUNTIFS(Urlisten!$C$15:$EL$15,'2D-Alter-Größe'!O$3,Urlisten!$C$16:$EL$16,'2D-Alter-Größe'!$C21),"")</f>
        <v/>
      </c>
      <c r="P21" s="342" t="str">
        <f>IF(COUNTIFS(Urlisten!$C$15:$EL$15,'2D-Alter-Größe'!P$3,Urlisten!$C$16:$EL$16,'2D-Alter-Größe'!$C21)&gt;0,COUNTIFS(Urlisten!$C$15:$EL$15,'2D-Alter-Größe'!P$3,Urlisten!$C$16:$EL$16,'2D-Alter-Größe'!$C21),"")</f>
        <v/>
      </c>
      <c r="Q21" s="342" t="str">
        <f>IF(COUNTIFS(Urlisten!$C$15:$EL$15,'2D-Alter-Größe'!Q$3,Urlisten!$C$16:$EL$16,'2D-Alter-Größe'!$C21)&gt;0,COUNTIFS(Urlisten!$C$15:$EL$15,'2D-Alter-Größe'!Q$3,Urlisten!$C$16:$EL$16,'2D-Alter-Größe'!$C21),"")</f>
        <v/>
      </c>
      <c r="R21" s="342" t="str">
        <f>IF(COUNTIFS(Urlisten!$C$15:$EL$15,'2D-Alter-Größe'!R$3,Urlisten!$C$16:$EL$16,'2D-Alter-Größe'!$C21)&gt;0,COUNTIFS(Urlisten!$C$15:$EL$15,'2D-Alter-Größe'!R$3,Urlisten!$C$16:$EL$16,'2D-Alter-Größe'!$C21),"")</f>
        <v/>
      </c>
      <c r="S21" s="342" t="str">
        <f>IF(COUNTIFS(Urlisten!$C$15:$EL$15,'2D-Alter-Größe'!S$3,Urlisten!$C$16:$EL$16,'2D-Alter-Größe'!$C21)&gt;0,COUNTIFS(Urlisten!$C$15:$EL$15,'2D-Alter-Größe'!S$3,Urlisten!$C$16:$EL$16,'2D-Alter-Größe'!$C21),"")</f>
        <v/>
      </c>
      <c r="T21" s="342" t="str">
        <f>IF(COUNTIFS(Urlisten!$C$15:$EL$15,'2D-Alter-Größe'!T$3,Urlisten!$C$16:$EL$16,'2D-Alter-Größe'!$C21)&gt;0,COUNTIFS(Urlisten!$C$15:$EL$15,'2D-Alter-Größe'!T$3,Urlisten!$C$16:$EL$16,'2D-Alter-Größe'!$C21),"")</f>
        <v/>
      </c>
      <c r="U21" s="342" t="str">
        <f>IF(COUNTIFS(Urlisten!$C$15:$EL$15,'2D-Alter-Größe'!U$3,Urlisten!$C$16:$EL$16,'2D-Alter-Größe'!$C21)&gt;0,COUNTIFS(Urlisten!$C$15:$EL$15,'2D-Alter-Größe'!U$3,Urlisten!$C$16:$EL$16,'2D-Alter-Größe'!$C21),"")</f>
        <v/>
      </c>
      <c r="V21" s="342" t="str">
        <f>IF(COUNTIFS(Urlisten!$C$15:$EL$15,'2D-Alter-Größe'!V$3,Urlisten!$C$16:$EL$16,'2D-Alter-Größe'!$C21)&gt;0,COUNTIFS(Urlisten!$C$15:$EL$15,'2D-Alter-Größe'!V$3,Urlisten!$C$16:$EL$16,'2D-Alter-Größe'!$C21),"")</f>
        <v/>
      </c>
      <c r="W21" s="342" t="str">
        <f>IF(COUNTIFS(Urlisten!$C$15:$EL$15,'2D-Alter-Größe'!W$3,Urlisten!$C$16:$EL$16,'2D-Alter-Größe'!$C21)&gt;0,COUNTIFS(Urlisten!$C$15:$EL$15,'2D-Alter-Größe'!W$3,Urlisten!$C$16:$EL$16,'2D-Alter-Größe'!$C21),"")</f>
        <v/>
      </c>
      <c r="X21" s="342" t="str">
        <f>IF(COUNTIFS(Urlisten!$C$15:$EL$15,'2D-Alter-Größe'!X$3,Urlisten!$C$16:$EL$16,'2D-Alter-Größe'!$C21)&gt;0,COUNTIFS(Urlisten!$C$15:$EL$15,'2D-Alter-Größe'!X$3,Urlisten!$C$16:$EL$16,'2D-Alter-Größe'!$C21),"")</f>
        <v/>
      </c>
      <c r="Y21" s="342" t="str">
        <f>IF(COUNTIFS(Urlisten!$C$15:$EL$15,'2D-Alter-Größe'!Y$3,Urlisten!$C$16:$EL$16,'2D-Alter-Größe'!$C21)&gt;0,COUNTIFS(Urlisten!$C$15:$EL$15,'2D-Alter-Größe'!Y$3,Urlisten!$C$16:$EL$16,'2D-Alter-Größe'!$C21),"")</f>
        <v/>
      </c>
      <c r="Z21" s="342" t="str">
        <f>IF(COUNTIFS(Urlisten!$C$15:$EL$15,'2D-Alter-Größe'!Z$3,Urlisten!$C$16:$EL$16,'2D-Alter-Größe'!$C21)&gt;0,COUNTIFS(Urlisten!$C$15:$EL$15,'2D-Alter-Größe'!Z$3,Urlisten!$C$16:$EL$16,'2D-Alter-Größe'!$C21),"")</f>
        <v/>
      </c>
      <c r="AA21" s="342" t="str">
        <f>IF(COUNTIFS(Urlisten!$C$15:$EL$15,'2D-Alter-Größe'!AA$3,Urlisten!$C$16:$EL$16,'2D-Alter-Größe'!$C21)&gt;0,COUNTIFS(Urlisten!$C$15:$EL$15,'2D-Alter-Größe'!AA$3,Urlisten!$C$16:$EL$16,'2D-Alter-Größe'!$C21),"")</f>
        <v/>
      </c>
      <c r="AB21" s="349" t="str">
        <f>IF(COUNTIFS(Urlisten!$C$15:$EL$15,'2D-Alter-Größe'!AB$3,Urlisten!$C$16:$EL$16,'2D-Alter-Größe'!$C21)&gt;0,COUNTIFS(Urlisten!$C$15:$EL$15,'2D-Alter-Größe'!AB$3,Urlisten!$C$16:$EL$16,'2D-Alter-Größe'!$C21),"")</f>
        <v/>
      </c>
      <c r="AC21" s="361">
        <f t="shared" si="1"/>
        <v>1</v>
      </c>
      <c r="AD21" s="758"/>
    </row>
    <row r="22" spans="1:30" x14ac:dyDescent="0.25">
      <c r="A22" s="6"/>
      <c r="B22" s="767"/>
      <c r="C22" s="502">
        <f t="shared" si="2"/>
        <v>173</v>
      </c>
      <c r="D22" s="343" t="str">
        <f>IF(COUNTIFS(Urlisten!$C$15:$EL$15,'2D-Alter-Größe'!D$3,Urlisten!$C$16:$EL$16,'2D-Alter-Größe'!$C22)&gt;0,COUNTIFS(Urlisten!$C$15:$EL$15,'2D-Alter-Größe'!D$3,Urlisten!$C$16:$EL$16,'2D-Alter-Größe'!$C22),"")</f>
        <v/>
      </c>
      <c r="E22" s="342" t="str">
        <f>IF(COUNTIFS(Urlisten!$C$15:$EL$15,'2D-Alter-Größe'!E$3,Urlisten!$C$16:$EL$16,'2D-Alter-Größe'!$C22)&gt;0,COUNTIFS(Urlisten!$C$15:$EL$15,'2D-Alter-Größe'!E$3,Urlisten!$C$16:$EL$16,'2D-Alter-Größe'!$C22),"")</f>
        <v/>
      </c>
      <c r="F22" s="342" t="str">
        <f>IF(COUNTIFS(Urlisten!$C$15:$EL$15,'2D-Alter-Größe'!F$3,Urlisten!$C$16:$EL$16,'2D-Alter-Größe'!$C22)&gt;0,COUNTIFS(Urlisten!$C$15:$EL$15,'2D-Alter-Größe'!F$3,Urlisten!$C$16:$EL$16,'2D-Alter-Größe'!$C22),"")</f>
        <v/>
      </c>
      <c r="G22" s="342">
        <f>IF(COUNTIFS(Urlisten!$C$15:$EL$15,'2D-Alter-Größe'!G$3,Urlisten!$C$16:$EL$16,'2D-Alter-Größe'!$C22)&gt;0,COUNTIFS(Urlisten!$C$15:$EL$15,'2D-Alter-Größe'!G$3,Urlisten!$C$16:$EL$16,'2D-Alter-Größe'!$C22),"")</f>
        <v>1</v>
      </c>
      <c r="H22" s="342" t="str">
        <f>IF(COUNTIFS(Urlisten!$C$15:$EL$15,'2D-Alter-Größe'!H$3,Urlisten!$C$16:$EL$16,'2D-Alter-Größe'!$C22)&gt;0,COUNTIFS(Urlisten!$C$15:$EL$15,'2D-Alter-Größe'!H$3,Urlisten!$C$16:$EL$16,'2D-Alter-Größe'!$C22),"")</f>
        <v/>
      </c>
      <c r="I22" s="342" t="str">
        <f>IF(COUNTIFS(Urlisten!$C$15:$EL$15,'2D-Alter-Größe'!I$3,Urlisten!$C$16:$EL$16,'2D-Alter-Größe'!$C22)&gt;0,COUNTIFS(Urlisten!$C$15:$EL$15,'2D-Alter-Größe'!I$3,Urlisten!$C$16:$EL$16,'2D-Alter-Größe'!$C22),"")</f>
        <v/>
      </c>
      <c r="J22" s="342" t="str">
        <f>IF(COUNTIFS(Urlisten!$C$15:$EL$15,'2D-Alter-Größe'!J$3,Urlisten!$C$16:$EL$16,'2D-Alter-Größe'!$C22)&gt;0,COUNTIFS(Urlisten!$C$15:$EL$15,'2D-Alter-Größe'!J$3,Urlisten!$C$16:$EL$16,'2D-Alter-Größe'!$C22),"")</f>
        <v/>
      </c>
      <c r="K22" s="342" t="str">
        <f>IF(COUNTIFS(Urlisten!$C$15:$EL$15,'2D-Alter-Größe'!K$3,Urlisten!$C$16:$EL$16,'2D-Alter-Größe'!$C22)&gt;0,COUNTIFS(Urlisten!$C$15:$EL$15,'2D-Alter-Größe'!K$3,Urlisten!$C$16:$EL$16,'2D-Alter-Größe'!$C22),"")</f>
        <v/>
      </c>
      <c r="L22" s="342" t="str">
        <f>IF(COUNTIFS(Urlisten!$C$15:$EL$15,'2D-Alter-Größe'!L$3,Urlisten!$C$16:$EL$16,'2D-Alter-Größe'!$C22)&gt;0,COUNTIFS(Urlisten!$C$15:$EL$15,'2D-Alter-Größe'!L$3,Urlisten!$C$16:$EL$16,'2D-Alter-Größe'!$C22),"")</f>
        <v/>
      </c>
      <c r="M22" s="342" t="str">
        <f>IF(COUNTIFS(Urlisten!$C$15:$EL$15,'2D-Alter-Größe'!M$3,Urlisten!$C$16:$EL$16,'2D-Alter-Größe'!$C22)&gt;0,COUNTIFS(Urlisten!$C$15:$EL$15,'2D-Alter-Größe'!M$3,Urlisten!$C$16:$EL$16,'2D-Alter-Größe'!$C22),"")</f>
        <v/>
      </c>
      <c r="N22" s="342" t="str">
        <f>IF(COUNTIFS(Urlisten!$C$15:$EL$15,'2D-Alter-Größe'!N$3,Urlisten!$C$16:$EL$16,'2D-Alter-Größe'!$C22)&gt;0,COUNTIFS(Urlisten!$C$15:$EL$15,'2D-Alter-Größe'!N$3,Urlisten!$C$16:$EL$16,'2D-Alter-Größe'!$C22),"")</f>
        <v/>
      </c>
      <c r="O22" s="342" t="str">
        <f>IF(COUNTIFS(Urlisten!$C$15:$EL$15,'2D-Alter-Größe'!O$3,Urlisten!$C$16:$EL$16,'2D-Alter-Größe'!$C22)&gt;0,COUNTIFS(Urlisten!$C$15:$EL$15,'2D-Alter-Größe'!O$3,Urlisten!$C$16:$EL$16,'2D-Alter-Größe'!$C22),"")</f>
        <v/>
      </c>
      <c r="P22" s="342" t="str">
        <f>IF(COUNTIFS(Urlisten!$C$15:$EL$15,'2D-Alter-Größe'!P$3,Urlisten!$C$16:$EL$16,'2D-Alter-Größe'!$C22)&gt;0,COUNTIFS(Urlisten!$C$15:$EL$15,'2D-Alter-Größe'!P$3,Urlisten!$C$16:$EL$16,'2D-Alter-Größe'!$C22),"")</f>
        <v/>
      </c>
      <c r="Q22" s="342" t="str">
        <f>IF(COUNTIFS(Urlisten!$C$15:$EL$15,'2D-Alter-Größe'!Q$3,Urlisten!$C$16:$EL$16,'2D-Alter-Größe'!$C22)&gt;0,COUNTIFS(Urlisten!$C$15:$EL$15,'2D-Alter-Größe'!Q$3,Urlisten!$C$16:$EL$16,'2D-Alter-Größe'!$C22),"")</f>
        <v/>
      </c>
      <c r="R22" s="342" t="str">
        <f>IF(COUNTIFS(Urlisten!$C$15:$EL$15,'2D-Alter-Größe'!R$3,Urlisten!$C$16:$EL$16,'2D-Alter-Größe'!$C22)&gt;0,COUNTIFS(Urlisten!$C$15:$EL$15,'2D-Alter-Größe'!R$3,Urlisten!$C$16:$EL$16,'2D-Alter-Größe'!$C22),"")</f>
        <v/>
      </c>
      <c r="S22" s="342" t="str">
        <f>IF(COUNTIFS(Urlisten!$C$15:$EL$15,'2D-Alter-Größe'!S$3,Urlisten!$C$16:$EL$16,'2D-Alter-Größe'!$C22)&gt;0,COUNTIFS(Urlisten!$C$15:$EL$15,'2D-Alter-Größe'!S$3,Urlisten!$C$16:$EL$16,'2D-Alter-Größe'!$C22),"")</f>
        <v/>
      </c>
      <c r="T22" s="342" t="str">
        <f>IF(COUNTIFS(Urlisten!$C$15:$EL$15,'2D-Alter-Größe'!T$3,Urlisten!$C$16:$EL$16,'2D-Alter-Größe'!$C22)&gt;0,COUNTIFS(Urlisten!$C$15:$EL$15,'2D-Alter-Größe'!T$3,Urlisten!$C$16:$EL$16,'2D-Alter-Größe'!$C22),"")</f>
        <v/>
      </c>
      <c r="U22" s="342" t="str">
        <f>IF(COUNTIFS(Urlisten!$C$15:$EL$15,'2D-Alter-Größe'!U$3,Urlisten!$C$16:$EL$16,'2D-Alter-Größe'!$C22)&gt;0,COUNTIFS(Urlisten!$C$15:$EL$15,'2D-Alter-Größe'!U$3,Urlisten!$C$16:$EL$16,'2D-Alter-Größe'!$C22),"")</f>
        <v/>
      </c>
      <c r="V22" s="342" t="str">
        <f>IF(COUNTIFS(Urlisten!$C$15:$EL$15,'2D-Alter-Größe'!V$3,Urlisten!$C$16:$EL$16,'2D-Alter-Größe'!$C22)&gt;0,COUNTIFS(Urlisten!$C$15:$EL$15,'2D-Alter-Größe'!V$3,Urlisten!$C$16:$EL$16,'2D-Alter-Größe'!$C22),"")</f>
        <v/>
      </c>
      <c r="W22" s="342" t="str">
        <f>IF(COUNTIFS(Urlisten!$C$15:$EL$15,'2D-Alter-Größe'!W$3,Urlisten!$C$16:$EL$16,'2D-Alter-Größe'!$C22)&gt;0,COUNTIFS(Urlisten!$C$15:$EL$15,'2D-Alter-Größe'!W$3,Urlisten!$C$16:$EL$16,'2D-Alter-Größe'!$C22),"")</f>
        <v/>
      </c>
      <c r="X22" s="342" t="str">
        <f>IF(COUNTIFS(Urlisten!$C$15:$EL$15,'2D-Alter-Größe'!X$3,Urlisten!$C$16:$EL$16,'2D-Alter-Größe'!$C22)&gt;0,COUNTIFS(Urlisten!$C$15:$EL$15,'2D-Alter-Größe'!X$3,Urlisten!$C$16:$EL$16,'2D-Alter-Größe'!$C22),"")</f>
        <v/>
      </c>
      <c r="Y22" s="342" t="str">
        <f>IF(COUNTIFS(Urlisten!$C$15:$EL$15,'2D-Alter-Größe'!Y$3,Urlisten!$C$16:$EL$16,'2D-Alter-Größe'!$C22)&gt;0,COUNTIFS(Urlisten!$C$15:$EL$15,'2D-Alter-Größe'!Y$3,Urlisten!$C$16:$EL$16,'2D-Alter-Größe'!$C22),"")</f>
        <v/>
      </c>
      <c r="Z22" s="342" t="str">
        <f>IF(COUNTIFS(Urlisten!$C$15:$EL$15,'2D-Alter-Größe'!Z$3,Urlisten!$C$16:$EL$16,'2D-Alter-Größe'!$C22)&gt;0,COUNTIFS(Urlisten!$C$15:$EL$15,'2D-Alter-Größe'!Z$3,Urlisten!$C$16:$EL$16,'2D-Alter-Größe'!$C22),"")</f>
        <v/>
      </c>
      <c r="AA22" s="342" t="str">
        <f>IF(COUNTIFS(Urlisten!$C$15:$EL$15,'2D-Alter-Größe'!AA$3,Urlisten!$C$16:$EL$16,'2D-Alter-Größe'!$C22)&gt;0,COUNTIFS(Urlisten!$C$15:$EL$15,'2D-Alter-Größe'!AA$3,Urlisten!$C$16:$EL$16,'2D-Alter-Größe'!$C22),"")</f>
        <v/>
      </c>
      <c r="AB22" s="349" t="str">
        <f>IF(COUNTIFS(Urlisten!$C$15:$EL$15,'2D-Alter-Größe'!AB$3,Urlisten!$C$16:$EL$16,'2D-Alter-Größe'!$C22)&gt;0,COUNTIFS(Urlisten!$C$15:$EL$15,'2D-Alter-Größe'!AB$3,Urlisten!$C$16:$EL$16,'2D-Alter-Größe'!$C22),"")</f>
        <v/>
      </c>
      <c r="AC22" s="361">
        <f t="shared" si="1"/>
        <v>1</v>
      </c>
      <c r="AD22" s="758"/>
    </row>
    <row r="23" spans="1:30" x14ac:dyDescent="0.25">
      <c r="A23" s="6"/>
      <c r="B23" s="767"/>
      <c r="C23" s="502">
        <f t="shared" si="2"/>
        <v>174</v>
      </c>
      <c r="D23" s="343" t="str">
        <f>IF(COUNTIFS(Urlisten!$C$15:$EL$15,'2D-Alter-Größe'!D$3,Urlisten!$C$16:$EL$16,'2D-Alter-Größe'!$C23)&gt;0,COUNTIFS(Urlisten!$C$15:$EL$15,'2D-Alter-Größe'!D$3,Urlisten!$C$16:$EL$16,'2D-Alter-Größe'!$C23),"")</f>
        <v/>
      </c>
      <c r="E23" s="342" t="str">
        <f>IF(COUNTIFS(Urlisten!$C$15:$EL$15,'2D-Alter-Größe'!E$3,Urlisten!$C$16:$EL$16,'2D-Alter-Größe'!$C23)&gt;0,COUNTIFS(Urlisten!$C$15:$EL$15,'2D-Alter-Größe'!E$3,Urlisten!$C$16:$EL$16,'2D-Alter-Größe'!$C23),"")</f>
        <v/>
      </c>
      <c r="F23" s="342">
        <f>IF(COUNTIFS(Urlisten!$C$15:$EL$15,'2D-Alter-Größe'!F$3,Urlisten!$C$16:$EL$16,'2D-Alter-Größe'!$C23)&gt;0,COUNTIFS(Urlisten!$C$15:$EL$15,'2D-Alter-Größe'!F$3,Urlisten!$C$16:$EL$16,'2D-Alter-Größe'!$C23),"")</f>
        <v>1</v>
      </c>
      <c r="G23" s="342">
        <f>IF(COUNTIFS(Urlisten!$C$15:$EL$15,'2D-Alter-Größe'!G$3,Urlisten!$C$16:$EL$16,'2D-Alter-Größe'!$C23)&gt;0,COUNTIFS(Urlisten!$C$15:$EL$15,'2D-Alter-Größe'!G$3,Urlisten!$C$16:$EL$16,'2D-Alter-Größe'!$C23),"")</f>
        <v>1</v>
      </c>
      <c r="H23" s="342">
        <f>IF(COUNTIFS(Urlisten!$C$15:$EL$15,'2D-Alter-Größe'!H$3,Urlisten!$C$16:$EL$16,'2D-Alter-Größe'!$C23)&gt;0,COUNTIFS(Urlisten!$C$15:$EL$15,'2D-Alter-Größe'!H$3,Urlisten!$C$16:$EL$16,'2D-Alter-Größe'!$C23),"")</f>
        <v>1</v>
      </c>
      <c r="I23" s="342" t="str">
        <f>IF(COUNTIFS(Urlisten!$C$15:$EL$15,'2D-Alter-Größe'!I$3,Urlisten!$C$16:$EL$16,'2D-Alter-Größe'!$C23)&gt;0,COUNTIFS(Urlisten!$C$15:$EL$15,'2D-Alter-Größe'!I$3,Urlisten!$C$16:$EL$16,'2D-Alter-Größe'!$C23),"")</f>
        <v/>
      </c>
      <c r="J23" s="342" t="str">
        <f>IF(COUNTIFS(Urlisten!$C$15:$EL$15,'2D-Alter-Größe'!J$3,Urlisten!$C$16:$EL$16,'2D-Alter-Größe'!$C23)&gt;0,COUNTIFS(Urlisten!$C$15:$EL$15,'2D-Alter-Größe'!J$3,Urlisten!$C$16:$EL$16,'2D-Alter-Größe'!$C23),"")</f>
        <v/>
      </c>
      <c r="K23" s="342" t="str">
        <f>IF(COUNTIFS(Urlisten!$C$15:$EL$15,'2D-Alter-Größe'!K$3,Urlisten!$C$16:$EL$16,'2D-Alter-Größe'!$C23)&gt;0,COUNTIFS(Urlisten!$C$15:$EL$15,'2D-Alter-Größe'!K$3,Urlisten!$C$16:$EL$16,'2D-Alter-Größe'!$C23),"")</f>
        <v/>
      </c>
      <c r="L23" s="342" t="str">
        <f>IF(COUNTIFS(Urlisten!$C$15:$EL$15,'2D-Alter-Größe'!L$3,Urlisten!$C$16:$EL$16,'2D-Alter-Größe'!$C23)&gt;0,COUNTIFS(Urlisten!$C$15:$EL$15,'2D-Alter-Größe'!L$3,Urlisten!$C$16:$EL$16,'2D-Alter-Größe'!$C23),"")</f>
        <v/>
      </c>
      <c r="M23" s="342" t="str">
        <f>IF(COUNTIFS(Urlisten!$C$15:$EL$15,'2D-Alter-Größe'!M$3,Urlisten!$C$16:$EL$16,'2D-Alter-Größe'!$C23)&gt;0,COUNTIFS(Urlisten!$C$15:$EL$15,'2D-Alter-Größe'!M$3,Urlisten!$C$16:$EL$16,'2D-Alter-Größe'!$C23),"")</f>
        <v/>
      </c>
      <c r="N23" s="342" t="str">
        <f>IF(COUNTIFS(Urlisten!$C$15:$EL$15,'2D-Alter-Größe'!N$3,Urlisten!$C$16:$EL$16,'2D-Alter-Größe'!$C23)&gt;0,COUNTIFS(Urlisten!$C$15:$EL$15,'2D-Alter-Größe'!N$3,Urlisten!$C$16:$EL$16,'2D-Alter-Größe'!$C23),"")</f>
        <v/>
      </c>
      <c r="O23" s="342" t="str">
        <f>IF(COUNTIFS(Urlisten!$C$15:$EL$15,'2D-Alter-Größe'!O$3,Urlisten!$C$16:$EL$16,'2D-Alter-Größe'!$C23)&gt;0,COUNTIFS(Urlisten!$C$15:$EL$15,'2D-Alter-Größe'!O$3,Urlisten!$C$16:$EL$16,'2D-Alter-Größe'!$C23),"")</f>
        <v/>
      </c>
      <c r="P23" s="342" t="str">
        <f>IF(COUNTIFS(Urlisten!$C$15:$EL$15,'2D-Alter-Größe'!P$3,Urlisten!$C$16:$EL$16,'2D-Alter-Größe'!$C23)&gt;0,COUNTIFS(Urlisten!$C$15:$EL$15,'2D-Alter-Größe'!P$3,Urlisten!$C$16:$EL$16,'2D-Alter-Größe'!$C23),"")</f>
        <v/>
      </c>
      <c r="Q23" s="342" t="str">
        <f>IF(COUNTIFS(Urlisten!$C$15:$EL$15,'2D-Alter-Größe'!Q$3,Urlisten!$C$16:$EL$16,'2D-Alter-Größe'!$C23)&gt;0,COUNTIFS(Urlisten!$C$15:$EL$15,'2D-Alter-Größe'!Q$3,Urlisten!$C$16:$EL$16,'2D-Alter-Größe'!$C23),"")</f>
        <v/>
      </c>
      <c r="R23" s="342" t="str">
        <f>IF(COUNTIFS(Urlisten!$C$15:$EL$15,'2D-Alter-Größe'!R$3,Urlisten!$C$16:$EL$16,'2D-Alter-Größe'!$C23)&gt;0,COUNTIFS(Urlisten!$C$15:$EL$15,'2D-Alter-Größe'!R$3,Urlisten!$C$16:$EL$16,'2D-Alter-Größe'!$C23),"")</f>
        <v/>
      </c>
      <c r="S23" s="342" t="str">
        <f>IF(COUNTIFS(Urlisten!$C$15:$EL$15,'2D-Alter-Größe'!S$3,Urlisten!$C$16:$EL$16,'2D-Alter-Größe'!$C23)&gt;0,COUNTIFS(Urlisten!$C$15:$EL$15,'2D-Alter-Größe'!S$3,Urlisten!$C$16:$EL$16,'2D-Alter-Größe'!$C23),"")</f>
        <v/>
      </c>
      <c r="T23" s="342" t="str">
        <f>IF(COUNTIFS(Urlisten!$C$15:$EL$15,'2D-Alter-Größe'!T$3,Urlisten!$C$16:$EL$16,'2D-Alter-Größe'!$C23)&gt;0,COUNTIFS(Urlisten!$C$15:$EL$15,'2D-Alter-Größe'!T$3,Urlisten!$C$16:$EL$16,'2D-Alter-Größe'!$C23),"")</f>
        <v/>
      </c>
      <c r="U23" s="342" t="str">
        <f>IF(COUNTIFS(Urlisten!$C$15:$EL$15,'2D-Alter-Größe'!U$3,Urlisten!$C$16:$EL$16,'2D-Alter-Größe'!$C23)&gt;0,COUNTIFS(Urlisten!$C$15:$EL$15,'2D-Alter-Größe'!U$3,Urlisten!$C$16:$EL$16,'2D-Alter-Größe'!$C23),"")</f>
        <v/>
      </c>
      <c r="V23" s="342" t="str">
        <f>IF(COUNTIFS(Urlisten!$C$15:$EL$15,'2D-Alter-Größe'!V$3,Urlisten!$C$16:$EL$16,'2D-Alter-Größe'!$C23)&gt;0,COUNTIFS(Urlisten!$C$15:$EL$15,'2D-Alter-Größe'!V$3,Urlisten!$C$16:$EL$16,'2D-Alter-Größe'!$C23),"")</f>
        <v/>
      </c>
      <c r="W23" s="342" t="str">
        <f>IF(COUNTIFS(Urlisten!$C$15:$EL$15,'2D-Alter-Größe'!W$3,Urlisten!$C$16:$EL$16,'2D-Alter-Größe'!$C23)&gt;0,COUNTIFS(Urlisten!$C$15:$EL$15,'2D-Alter-Größe'!W$3,Urlisten!$C$16:$EL$16,'2D-Alter-Größe'!$C23),"")</f>
        <v/>
      </c>
      <c r="X23" s="342" t="str">
        <f>IF(COUNTIFS(Urlisten!$C$15:$EL$15,'2D-Alter-Größe'!X$3,Urlisten!$C$16:$EL$16,'2D-Alter-Größe'!$C23)&gt;0,COUNTIFS(Urlisten!$C$15:$EL$15,'2D-Alter-Größe'!X$3,Urlisten!$C$16:$EL$16,'2D-Alter-Größe'!$C23),"")</f>
        <v/>
      </c>
      <c r="Y23" s="342" t="str">
        <f>IF(COUNTIFS(Urlisten!$C$15:$EL$15,'2D-Alter-Größe'!Y$3,Urlisten!$C$16:$EL$16,'2D-Alter-Größe'!$C23)&gt;0,COUNTIFS(Urlisten!$C$15:$EL$15,'2D-Alter-Größe'!Y$3,Urlisten!$C$16:$EL$16,'2D-Alter-Größe'!$C23),"")</f>
        <v/>
      </c>
      <c r="Z23" s="342" t="str">
        <f>IF(COUNTIFS(Urlisten!$C$15:$EL$15,'2D-Alter-Größe'!Z$3,Urlisten!$C$16:$EL$16,'2D-Alter-Größe'!$C23)&gt;0,COUNTIFS(Urlisten!$C$15:$EL$15,'2D-Alter-Größe'!Z$3,Urlisten!$C$16:$EL$16,'2D-Alter-Größe'!$C23),"")</f>
        <v/>
      </c>
      <c r="AA23" s="342" t="str">
        <f>IF(COUNTIFS(Urlisten!$C$15:$EL$15,'2D-Alter-Größe'!AA$3,Urlisten!$C$16:$EL$16,'2D-Alter-Größe'!$C23)&gt;0,COUNTIFS(Urlisten!$C$15:$EL$15,'2D-Alter-Größe'!AA$3,Urlisten!$C$16:$EL$16,'2D-Alter-Größe'!$C23),"")</f>
        <v/>
      </c>
      <c r="AB23" s="349" t="str">
        <f>IF(COUNTIFS(Urlisten!$C$15:$EL$15,'2D-Alter-Größe'!AB$3,Urlisten!$C$16:$EL$16,'2D-Alter-Größe'!$C23)&gt;0,COUNTIFS(Urlisten!$C$15:$EL$15,'2D-Alter-Größe'!AB$3,Urlisten!$C$16:$EL$16,'2D-Alter-Größe'!$C23),"")</f>
        <v/>
      </c>
      <c r="AC23" s="361">
        <f t="shared" si="1"/>
        <v>3</v>
      </c>
      <c r="AD23" s="758"/>
    </row>
    <row r="24" spans="1:30" x14ac:dyDescent="0.25">
      <c r="A24" s="6"/>
      <c r="B24" s="767"/>
      <c r="C24" s="502">
        <f t="shared" si="2"/>
        <v>175</v>
      </c>
      <c r="D24" s="343" t="str">
        <f>IF(COUNTIFS(Urlisten!$C$15:$EL$15,'2D-Alter-Größe'!D$3,Urlisten!$C$16:$EL$16,'2D-Alter-Größe'!$C24)&gt;0,COUNTIFS(Urlisten!$C$15:$EL$15,'2D-Alter-Größe'!D$3,Urlisten!$C$16:$EL$16,'2D-Alter-Größe'!$C24),"")</f>
        <v/>
      </c>
      <c r="E24" s="342" t="str">
        <f>IF(COUNTIFS(Urlisten!$C$15:$EL$15,'2D-Alter-Größe'!E$3,Urlisten!$C$16:$EL$16,'2D-Alter-Größe'!$C24)&gt;0,COUNTIFS(Urlisten!$C$15:$EL$15,'2D-Alter-Größe'!E$3,Urlisten!$C$16:$EL$16,'2D-Alter-Größe'!$C24),"")</f>
        <v/>
      </c>
      <c r="F24" s="342" t="str">
        <f>IF(COUNTIFS(Urlisten!$C$15:$EL$15,'2D-Alter-Größe'!F$3,Urlisten!$C$16:$EL$16,'2D-Alter-Größe'!$C24)&gt;0,COUNTIFS(Urlisten!$C$15:$EL$15,'2D-Alter-Größe'!F$3,Urlisten!$C$16:$EL$16,'2D-Alter-Größe'!$C24),"")</f>
        <v/>
      </c>
      <c r="G24" s="342" t="str">
        <f>IF(COUNTIFS(Urlisten!$C$15:$EL$15,'2D-Alter-Größe'!G$3,Urlisten!$C$16:$EL$16,'2D-Alter-Größe'!$C24)&gt;0,COUNTIFS(Urlisten!$C$15:$EL$15,'2D-Alter-Größe'!G$3,Urlisten!$C$16:$EL$16,'2D-Alter-Größe'!$C24),"")</f>
        <v/>
      </c>
      <c r="H24" s="342" t="str">
        <f>IF(COUNTIFS(Urlisten!$C$15:$EL$15,'2D-Alter-Größe'!H$3,Urlisten!$C$16:$EL$16,'2D-Alter-Größe'!$C24)&gt;0,COUNTIFS(Urlisten!$C$15:$EL$15,'2D-Alter-Größe'!H$3,Urlisten!$C$16:$EL$16,'2D-Alter-Größe'!$C24),"")</f>
        <v/>
      </c>
      <c r="I24" s="342" t="str">
        <f>IF(COUNTIFS(Urlisten!$C$15:$EL$15,'2D-Alter-Größe'!I$3,Urlisten!$C$16:$EL$16,'2D-Alter-Größe'!$C24)&gt;0,COUNTIFS(Urlisten!$C$15:$EL$15,'2D-Alter-Größe'!I$3,Urlisten!$C$16:$EL$16,'2D-Alter-Größe'!$C24),"")</f>
        <v/>
      </c>
      <c r="J24" s="342" t="str">
        <f>IF(COUNTIFS(Urlisten!$C$15:$EL$15,'2D-Alter-Größe'!J$3,Urlisten!$C$16:$EL$16,'2D-Alter-Größe'!$C24)&gt;0,COUNTIFS(Urlisten!$C$15:$EL$15,'2D-Alter-Größe'!J$3,Urlisten!$C$16:$EL$16,'2D-Alter-Größe'!$C24),"")</f>
        <v/>
      </c>
      <c r="K24" s="342" t="str">
        <f>IF(COUNTIFS(Urlisten!$C$15:$EL$15,'2D-Alter-Größe'!K$3,Urlisten!$C$16:$EL$16,'2D-Alter-Größe'!$C24)&gt;0,COUNTIFS(Urlisten!$C$15:$EL$15,'2D-Alter-Größe'!K$3,Urlisten!$C$16:$EL$16,'2D-Alter-Größe'!$C24),"")</f>
        <v/>
      </c>
      <c r="L24" s="342">
        <f>IF(COUNTIFS(Urlisten!$C$15:$EL$15,'2D-Alter-Größe'!L$3,Urlisten!$C$16:$EL$16,'2D-Alter-Größe'!$C24)&gt;0,COUNTIFS(Urlisten!$C$15:$EL$15,'2D-Alter-Größe'!L$3,Urlisten!$C$16:$EL$16,'2D-Alter-Größe'!$C24),"")</f>
        <v>1</v>
      </c>
      <c r="M24" s="342" t="str">
        <f>IF(COUNTIFS(Urlisten!$C$15:$EL$15,'2D-Alter-Größe'!M$3,Urlisten!$C$16:$EL$16,'2D-Alter-Größe'!$C24)&gt;0,COUNTIFS(Urlisten!$C$15:$EL$15,'2D-Alter-Größe'!M$3,Urlisten!$C$16:$EL$16,'2D-Alter-Größe'!$C24),"")</f>
        <v/>
      </c>
      <c r="N24" s="342" t="str">
        <f>IF(COUNTIFS(Urlisten!$C$15:$EL$15,'2D-Alter-Größe'!N$3,Urlisten!$C$16:$EL$16,'2D-Alter-Größe'!$C24)&gt;0,COUNTIFS(Urlisten!$C$15:$EL$15,'2D-Alter-Größe'!N$3,Urlisten!$C$16:$EL$16,'2D-Alter-Größe'!$C24),"")</f>
        <v/>
      </c>
      <c r="O24" s="342" t="str">
        <f>IF(COUNTIFS(Urlisten!$C$15:$EL$15,'2D-Alter-Größe'!O$3,Urlisten!$C$16:$EL$16,'2D-Alter-Größe'!$C24)&gt;0,COUNTIFS(Urlisten!$C$15:$EL$15,'2D-Alter-Größe'!O$3,Urlisten!$C$16:$EL$16,'2D-Alter-Größe'!$C24),"")</f>
        <v/>
      </c>
      <c r="P24" s="342" t="str">
        <f>IF(COUNTIFS(Urlisten!$C$15:$EL$15,'2D-Alter-Größe'!P$3,Urlisten!$C$16:$EL$16,'2D-Alter-Größe'!$C24)&gt;0,COUNTIFS(Urlisten!$C$15:$EL$15,'2D-Alter-Größe'!P$3,Urlisten!$C$16:$EL$16,'2D-Alter-Größe'!$C24),"")</f>
        <v/>
      </c>
      <c r="Q24" s="342" t="str">
        <f>IF(COUNTIFS(Urlisten!$C$15:$EL$15,'2D-Alter-Größe'!Q$3,Urlisten!$C$16:$EL$16,'2D-Alter-Größe'!$C24)&gt;0,COUNTIFS(Urlisten!$C$15:$EL$15,'2D-Alter-Größe'!Q$3,Urlisten!$C$16:$EL$16,'2D-Alter-Größe'!$C24),"")</f>
        <v/>
      </c>
      <c r="R24" s="342" t="str">
        <f>IF(COUNTIFS(Urlisten!$C$15:$EL$15,'2D-Alter-Größe'!R$3,Urlisten!$C$16:$EL$16,'2D-Alter-Größe'!$C24)&gt;0,COUNTIFS(Urlisten!$C$15:$EL$15,'2D-Alter-Größe'!R$3,Urlisten!$C$16:$EL$16,'2D-Alter-Größe'!$C24),"")</f>
        <v/>
      </c>
      <c r="S24" s="342" t="str">
        <f>IF(COUNTIFS(Urlisten!$C$15:$EL$15,'2D-Alter-Größe'!S$3,Urlisten!$C$16:$EL$16,'2D-Alter-Größe'!$C24)&gt;0,COUNTIFS(Urlisten!$C$15:$EL$15,'2D-Alter-Größe'!S$3,Urlisten!$C$16:$EL$16,'2D-Alter-Größe'!$C24),"")</f>
        <v/>
      </c>
      <c r="T24" s="342" t="str">
        <f>IF(COUNTIFS(Urlisten!$C$15:$EL$15,'2D-Alter-Größe'!T$3,Urlisten!$C$16:$EL$16,'2D-Alter-Größe'!$C24)&gt;0,COUNTIFS(Urlisten!$C$15:$EL$15,'2D-Alter-Größe'!T$3,Urlisten!$C$16:$EL$16,'2D-Alter-Größe'!$C24),"")</f>
        <v/>
      </c>
      <c r="U24" s="342" t="str">
        <f>IF(COUNTIFS(Urlisten!$C$15:$EL$15,'2D-Alter-Größe'!U$3,Urlisten!$C$16:$EL$16,'2D-Alter-Größe'!$C24)&gt;0,COUNTIFS(Urlisten!$C$15:$EL$15,'2D-Alter-Größe'!U$3,Urlisten!$C$16:$EL$16,'2D-Alter-Größe'!$C24),"")</f>
        <v/>
      </c>
      <c r="V24" s="342" t="str">
        <f>IF(COUNTIFS(Urlisten!$C$15:$EL$15,'2D-Alter-Größe'!V$3,Urlisten!$C$16:$EL$16,'2D-Alter-Größe'!$C24)&gt;0,COUNTIFS(Urlisten!$C$15:$EL$15,'2D-Alter-Größe'!V$3,Urlisten!$C$16:$EL$16,'2D-Alter-Größe'!$C24),"")</f>
        <v/>
      </c>
      <c r="W24" s="342" t="str">
        <f>IF(COUNTIFS(Urlisten!$C$15:$EL$15,'2D-Alter-Größe'!W$3,Urlisten!$C$16:$EL$16,'2D-Alter-Größe'!$C24)&gt;0,COUNTIFS(Urlisten!$C$15:$EL$15,'2D-Alter-Größe'!W$3,Urlisten!$C$16:$EL$16,'2D-Alter-Größe'!$C24),"")</f>
        <v/>
      </c>
      <c r="X24" s="342" t="str">
        <f>IF(COUNTIFS(Urlisten!$C$15:$EL$15,'2D-Alter-Größe'!X$3,Urlisten!$C$16:$EL$16,'2D-Alter-Größe'!$C24)&gt;0,COUNTIFS(Urlisten!$C$15:$EL$15,'2D-Alter-Größe'!X$3,Urlisten!$C$16:$EL$16,'2D-Alter-Größe'!$C24),"")</f>
        <v/>
      </c>
      <c r="Y24" s="342" t="str">
        <f>IF(COUNTIFS(Urlisten!$C$15:$EL$15,'2D-Alter-Größe'!Y$3,Urlisten!$C$16:$EL$16,'2D-Alter-Größe'!$C24)&gt;0,COUNTIFS(Urlisten!$C$15:$EL$15,'2D-Alter-Größe'!Y$3,Urlisten!$C$16:$EL$16,'2D-Alter-Größe'!$C24),"")</f>
        <v/>
      </c>
      <c r="Z24" s="342" t="str">
        <f>IF(COUNTIFS(Urlisten!$C$15:$EL$15,'2D-Alter-Größe'!Z$3,Urlisten!$C$16:$EL$16,'2D-Alter-Größe'!$C24)&gt;0,COUNTIFS(Urlisten!$C$15:$EL$15,'2D-Alter-Größe'!Z$3,Urlisten!$C$16:$EL$16,'2D-Alter-Größe'!$C24),"")</f>
        <v/>
      </c>
      <c r="AA24" s="342" t="str">
        <f>IF(COUNTIFS(Urlisten!$C$15:$EL$15,'2D-Alter-Größe'!AA$3,Urlisten!$C$16:$EL$16,'2D-Alter-Größe'!$C24)&gt;0,COUNTIFS(Urlisten!$C$15:$EL$15,'2D-Alter-Größe'!AA$3,Urlisten!$C$16:$EL$16,'2D-Alter-Größe'!$C24),"")</f>
        <v/>
      </c>
      <c r="AB24" s="349" t="str">
        <f>IF(COUNTIFS(Urlisten!$C$15:$EL$15,'2D-Alter-Größe'!AB$3,Urlisten!$C$16:$EL$16,'2D-Alter-Größe'!$C24)&gt;0,COUNTIFS(Urlisten!$C$15:$EL$15,'2D-Alter-Größe'!AB$3,Urlisten!$C$16:$EL$16,'2D-Alter-Größe'!$C24),"")</f>
        <v/>
      </c>
      <c r="AC24" s="361">
        <f t="shared" si="1"/>
        <v>1</v>
      </c>
      <c r="AD24" s="758"/>
    </row>
    <row r="25" spans="1:30" x14ac:dyDescent="0.25">
      <c r="A25" s="6"/>
      <c r="B25" s="767"/>
      <c r="C25" s="502">
        <f t="shared" si="2"/>
        <v>176</v>
      </c>
      <c r="D25" s="343" t="str">
        <f>IF(COUNTIFS(Urlisten!$C$15:$EL$15,'2D-Alter-Größe'!D$3,Urlisten!$C$16:$EL$16,'2D-Alter-Größe'!$C25)&gt;0,COUNTIFS(Urlisten!$C$15:$EL$15,'2D-Alter-Größe'!D$3,Urlisten!$C$16:$EL$16,'2D-Alter-Größe'!$C25),"")</f>
        <v/>
      </c>
      <c r="E25" s="342" t="str">
        <f>IF(COUNTIFS(Urlisten!$C$15:$EL$15,'2D-Alter-Größe'!E$3,Urlisten!$C$16:$EL$16,'2D-Alter-Größe'!$C25)&gt;0,COUNTIFS(Urlisten!$C$15:$EL$15,'2D-Alter-Größe'!E$3,Urlisten!$C$16:$EL$16,'2D-Alter-Größe'!$C25),"")</f>
        <v/>
      </c>
      <c r="F25" s="342" t="str">
        <f>IF(COUNTIFS(Urlisten!$C$15:$EL$15,'2D-Alter-Größe'!F$3,Urlisten!$C$16:$EL$16,'2D-Alter-Größe'!$C25)&gt;0,COUNTIFS(Urlisten!$C$15:$EL$15,'2D-Alter-Größe'!F$3,Urlisten!$C$16:$EL$16,'2D-Alter-Größe'!$C25),"")</f>
        <v/>
      </c>
      <c r="G25" s="342">
        <f>IF(COUNTIFS(Urlisten!$C$15:$EL$15,'2D-Alter-Größe'!G$3,Urlisten!$C$16:$EL$16,'2D-Alter-Größe'!$C25)&gt;0,COUNTIFS(Urlisten!$C$15:$EL$15,'2D-Alter-Größe'!G$3,Urlisten!$C$16:$EL$16,'2D-Alter-Größe'!$C25),"")</f>
        <v>2</v>
      </c>
      <c r="H25" s="342" t="str">
        <f>IF(COUNTIFS(Urlisten!$C$15:$EL$15,'2D-Alter-Größe'!H$3,Urlisten!$C$16:$EL$16,'2D-Alter-Größe'!$C25)&gt;0,COUNTIFS(Urlisten!$C$15:$EL$15,'2D-Alter-Größe'!H$3,Urlisten!$C$16:$EL$16,'2D-Alter-Größe'!$C25),"")</f>
        <v/>
      </c>
      <c r="I25" s="342">
        <f>IF(COUNTIFS(Urlisten!$C$15:$EL$15,'2D-Alter-Größe'!I$3,Urlisten!$C$16:$EL$16,'2D-Alter-Größe'!$C25)&gt;0,COUNTIFS(Urlisten!$C$15:$EL$15,'2D-Alter-Größe'!I$3,Urlisten!$C$16:$EL$16,'2D-Alter-Größe'!$C25),"")</f>
        <v>2</v>
      </c>
      <c r="J25" s="342" t="str">
        <f>IF(COUNTIFS(Urlisten!$C$15:$EL$15,'2D-Alter-Größe'!J$3,Urlisten!$C$16:$EL$16,'2D-Alter-Größe'!$C25)&gt;0,COUNTIFS(Urlisten!$C$15:$EL$15,'2D-Alter-Größe'!J$3,Urlisten!$C$16:$EL$16,'2D-Alter-Größe'!$C25),"")</f>
        <v/>
      </c>
      <c r="K25" s="342">
        <f>IF(COUNTIFS(Urlisten!$C$15:$EL$15,'2D-Alter-Größe'!K$3,Urlisten!$C$16:$EL$16,'2D-Alter-Größe'!$C25)&gt;0,COUNTIFS(Urlisten!$C$15:$EL$15,'2D-Alter-Größe'!K$3,Urlisten!$C$16:$EL$16,'2D-Alter-Größe'!$C25),"")</f>
        <v>2</v>
      </c>
      <c r="L25" s="342" t="str">
        <f>IF(COUNTIFS(Urlisten!$C$15:$EL$15,'2D-Alter-Größe'!L$3,Urlisten!$C$16:$EL$16,'2D-Alter-Größe'!$C25)&gt;0,COUNTIFS(Urlisten!$C$15:$EL$15,'2D-Alter-Größe'!L$3,Urlisten!$C$16:$EL$16,'2D-Alter-Größe'!$C25),"")</f>
        <v/>
      </c>
      <c r="M25" s="342" t="str">
        <f>IF(COUNTIFS(Urlisten!$C$15:$EL$15,'2D-Alter-Größe'!M$3,Urlisten!$C$16:$EL$16,'2D-Alter-Größe'!$C25)&gt;0,COUNTIFS(Urlisten!$C$15:$EL$15,'2D-Alter-Größe'!M$3,Urlisten!$C$16:$EL$16,'2D-Alter-Größe'!$C25),"")</f>
        <v/>
      </c>
      <c r="N25" s="342" t="str">
        <f>IF(COUNTIFS(Urlisten!$C$15:$EL$15,'2D-Alter-Größe'!N$3,Urlisten!$C$16:$EL$16,'2D-Alter-Größe'!$C25)&gt;0,COUNTIFS(Urlisten!$C$15:$EL$15,'2D-Alter-Größe'!N$3,Urlisten!$C$16:$EL$16,'2D-Alter-Größe'!$C25),"")</f>
        <v/>
      </c>
      <c r="O25" s="342" t="str">
        <f>IF(COUNTIFS(Urlisten!$C$15:$EL$15,'2D-Alter-Größe'!O$3,Urlisten!$C$16:$EL$16,'2D-Alter-Größe'!$C25)&gt;0,COUNTIFS(Urlisten!$C$15:$EL$15,'2D-Alter-Größe'!O$3,Urlisten!$C$16:$EL$16,'2D-Alter-Größe'!$C25),"")</f>
        <v/>
      </c>
      <c r="P25" s="342" t="str">
        <f>IF(COUNTIFS(Urlisten!$C$15:$EL$15,'2D-Alter-Größe'!P$3,Urlisten!$C$16:$EL$16,'2D-Alter-Größe'!$C25)&gt;0,COUNTIFS(Urlisten!$C$15:$EL$15,'2D-Alter-Größe'!P$3,Urlisten!$C$16:$EL$16,'2D-Alter-Größe'!$C25),"")</f>
        <v/>
      </c>
      <c r="Q25" s="342" t="str">
        <f>IF(COUNTIFS(Urlisten!$C$15:$EL$15,'2D-Alter-Größe'!Q$3,Urlisten!$C$16:$EL$16,'2D-Alter-Größe'!$C25)&gt;0,COUNTIFS(Urlisten!$C$15:$EL$15,'2D-Alter-Größe'!Q$3,Urlisten!$C$16:$EL$16,'2D-Alter-Größe'!$C25),"")</f>
        <v/>
      </c>
      <c r="R25" s="342" t="str">
        <f>IF(COUNTIFS(Urlisten!$C$15:$EL$15,'2D-Alter-Größe'!R$3,Urlisten!$C$16:$EL$16,'2D-Alter-Größe'!$C25)&gt;0,COUNTIFS(Urlisten!$C$15:$EL$15,'2D-Alter-Größe'!R$3,Urlisten!$C$16:$EL$16,'2D-Alter-Größe'!$C25),"")</f>
        <v/>
      </c>
      <c r="S25" s="342" t="str">
        <f>IF(COUNTIFS(Urlisten!$C$15:$EL$15,'2D-Alter-Größe'!S$3,Urlisten!$C$16:$EL$16,'2D-Alter-Größe'!$C25)&gt;0,COUNTIFS(Urlisten!$C$15:$EL$15,'2D-Alter-Größe'!S$3,Urlisten!$C$16:$EL$16,'2D-Alter-Größe'!$C25),"")</f>
        <v/>
      </c>
      <c r="T25" s="342" t="str">
        <f>IF(COUNTIFS(Urlisten!$C$15:$EL$15,'2D-Alter-Größe'!T$3,Urlisten!$C$16:$EL$16,'2D-Alter-Größe'!$C25)&gt;0,COUNTIFS(Urlisten!$C$15:$EL$15,'2D-Alter-Größe'!T$3,Urlisten!$C$16:$EL$16,'2D-Alter-Größe'!$C25),"")</f>
        <v/>
      </c>
      <c r="U25" s="342" t="str">
        <f>IF(COUNTIFS(Urlisten!$C$15:$EL$15,'2D-Alter-Größe'!U$3,Urlisten!$C$16:$EL$16,'2D-Alter-Größe'!$C25)&gt;0,COUNTIFS(Urlisten!$C$15:$EL$15,'2D-Alter-Größe'!U$3,Urlisten!$C$16:$EL$16,'2D-Alter-Größe'!$C25),"")</f>
        <v/>
      </c>
      <c r="V25" s="342" t="str">
        <f>IF(COUNTIFS(Urlisten!$C$15:$EL$15,'2D-Alter-Größe'!V$3,Urlisten!$C$16:$EL$16,'2D-Alter-Größe'!$C25)&gt;0,COUNTIFS(Urlisten!$C$15:$EL$15,'2D-Alter-Größe'!V$3,Urlisten!$C$16:$EL$16,'2D-Alter-Größe'!$C25),"")</f>
        <v/>
      </c>
      <c r="W25" s="342" t="str">
        <f>IF(COUNTIFS(Urlisten!$C$15:$EL$15,'2D-Alter-Größe'!W$3,Urlisten!$C$16:$EL$16,'2D-Alter-Größe'!$C25)&gt;0,COUNTIFS(Urlisten!$C$15:$EL$15,'2D-Alter-Größe'!W$3,Urlisten!$C$16:$EL$16,'2D-Alter-Größe'!$C25),"")</f>
        <v/>
      </c>
      <c r="X25" s="342" t="str">
        <f>IF(COUNTIFS(Urlisten!$C$15:$EL$15,'2D-Alter-Größe'!X$3,Urlisten!$C$16:$EL$16,'2D-Alter-Größe'!$C25)&gt;0,COUNTIFS(Urlisten!$C$15:$EL$15,'2D-Alter-Größe'!X$3,Urlisten!$C$16:$EL$16,'2D-Alter-Größe'!$C25),"")</f>
        <v/>
      </c>
      <c r="Y25" s="342" t="str">
        <f>IF(COUNTIFS(Urlisten!$C$15:$EL$15,'2D-Alter-Größe'!Y$3,Urlisten!$C$16:$EL$16,'2D-Alter-Größe'!$C25)&gt;0,COUNTIFS(Urlisten!$C$15:$EL$15,'2D-Alter-Größe'!Y$3,Urlisten!$C$16:$EL$16,'2D-Alter-Größe'!$C25),"")</f>
        <v/>
      </c>
      <c r="Z25" s="342" t="str">
        <f>IF(COUNTIFS(Urlisten!$C$15:$EL$15,'2D-Alter-Größe'!Z$3,Urlisten!$C$16:$EL$16,'2D-Alter-Größe'!$C25)&gt;0,COUNTIFS(Urlisten!$C$15:$EL$15,'2D-Alter-Größe'!Z$3,Urlisten!$C$16:$EL$16,'2D-Alter-Größe'!$C25),"")</f>
        <v/>
      </c>
      <c r="AA25" s="342" t="str">
        <f>IF(COUNTIFS(Urlisten!$C$15:$EL$15,'2D-Alter-Größe'!AA$3,Urlisten!$C$16:$EL$16,'2D-Alter-Größe'!$C25)&gt;0,COUNTIFS(Urlisten!$C$15:$EL$15,'2D-Alter-Größe'!AA$3,Urlisten!$C$16:$EL$16,'2D-Alter-Größe'!$C25),"")</f>
        <v/>
      </c>
      <c r="AB25" s="349" t="str">
        <f>IF(COUNTIFS(Urlisten!$C$15:$EL$15,'2D-Alter-Größe'!AB$3,Urlisten!$C$16:$EL$16,'2D-Alter-Größe'!$C25)&gt;0,COUNTIFS(Urlisten!$C$15:$EL$15,'2D-Alter-Größe'!AB$3,Urlisten!$C$16:$EL$16,'2D-Alter-Größe'!$C25),"")</f>
        <v/>
      </c>
      <c r="AC25" s="361">
        <f t="shared" si="1"/>
        <v>6</v>
      </c>
      <c r="AD25" s="758"/>
    </row>
    <row r="26" spans="1:30" x14ac:dyDescent="0.25">
      <c r="A26" s="6"/>
      <c r="B26" s="767"/>
      <c r="C26" s="502">
        <f t="shared" si="2"/>
        <v>177</v>
      </c>
      <c r="D26" s="343" t="str">
        <f>IF(COUNTIFS(Urlisten!$C$15:$EL$15,'2D-Alter-Größe'!D$3,Urlisten!$C$16:$EL$16,'2D-Alter-Größe'!$C26)&gt;0,COUNTIFS(Urlisten!$C$15:$EL$15,'2D-Alter-Größe'!D$3,Urlisten!$C$16:$EL$16,'2D-Alter-Größe'!$C26),"")</f>
        <v/>
      </c>
      <c r="E26" s="342" t="str">
        <f>IF(COUNTIFS(Urlisten!$C$15:$EL$15,'2D-Alter-Größe'!E$3,Urlisten!$C$16:$EL$16,'2D-Alter-Größe'!$C26)&gt;0,COUNTIFS(Urlisten!$C$15:$EL$15,'2D-Alter-Größe'!E$3,Urlisten!$C$16:$EL$16,'2D-Alter-Größe'!$C26),"")</f>
        <v/>
      </c>
      <c r="F26" s="342" t="str">
        <f>IF(COUNTIFS(Urlisten!$C$15:$EL$15,'2D-Alter-Größe'!F$3,Urlisten!$C$16:$EL$16,'2D-Alter-Größe'!$C26)&gt;0,COUNTIFS(Urlisten!$C$15:$EL$15,'2D-Alter-Größe'!F$3,Urlisten!$C$16:$EL$16,'2D-Alter-Größe'!$C26),"")</f>
        <v/>
      </c>
      <c r="G26" s="342" t="str">
        <f>IF(COUNTIFS(Urlisten!$C$15:$EL$15,'2D-Alter-Größe'!G$3,Urlisten!$C$16:$EL$16,'2D-Alter-Größe'!$C26)&gt;0,COUNTIFS(Urlisten!$C$15:$EL$15,'2D-Alter-Größe'!G$3,Urlisten!$C$16:$EL$16,'2D-Alter-Größe'!$C26),"")</f>
        <v/>
      </c>
      <c r="H26" s="342" t="str">
        <f>IF(COUNTIFS(Urlisten!$C$15:$EL$15,'2D-Alter-Größe'!H$3,Urlisten!$C$16:$EL$16,'2D-Alter-Größe'!$C26)&gt;0,COUNTIFS(Urlisten!$C$15:$EL$15,'2D-Alter-Größe'!H$3,Urlisten!$C$16:$EL$16,'2D-Alter-Größe'!$C26),"")</f>
        <v/>
      </c>
      <c r="I26" s="342" t="str">
        <f>IF(COUNTIFS(Urlisten!$C$15:$EL$15,'2D-Alter-Größe'!I$3,Urlisten!$C$16:$EL$16,'2D-Alter-Größe'!$C26)&gt;0,COUNTIFS(Urlisten!$C$15:$EL$15,'2D-Alter-Größe'!I$3,Urlisten!$C$16:$EL$16,'2D-Alter-Größe'!$C26),"")</f>
        <v/>
      </c>
      <c r="J26" s="342" t="str">
        <f>IF(COUNTIFS(Urlisten!$C$15:$EL$15,'2D-Alter-Größe'!J$3,Urlisten!$C$16:$EL$16,'2D-Alter-Größe'!$C26)&gt;0,COUNTIFS(Urlisten!$C$15:$EL$15,'2D-Alter-Größe'!J$3,Urlisten!$C$16:$EL$16,'2D-Alter-Größe'!$C26),"")</f>
        <v/>
      </c>
      <c r="K26" s="342" t="str">
        <f>IF(COUNTIFS(Urlisten!$C$15:$EL$15,'2D-Alter-Größe'!K$3,Urlisten!$C$16:$EL$16,'2D-Alter-Größe'!$C26)&gt;0,COUNTIFS(Urlisten!$C$15:$EL$15,'2D-Alter-Größe'!K$3,Urlisten!$C$16:$EL$16,'2D-Alter-Größe'!$C26),"")</f>
        <v/>
      </c>
      <c r="L26" s="342" t="str">
        <f>IF(COUNTIFS(Urlisten!$C$15:$EL$15,'2D-Alter-Größe'!L$3,Urlisten!$C$16:$EL$16,'2D-Alter-Größe'!$C26)&gt;0,COUNTIFS(Urlisten!$C$15:$EL$15,'2D-Alter-Größe'!L$3,Urlisten!$C$16:$EL$16,'2D-Alter-Größe'!$C26),"")</f>
        <v/>
      </c>
      <c r="M26" s="342" t="str">
        <f>IF(COUNTIFS(Urlisten!$C$15:$EL$15,'2D-Alter-Größe'!M$3,Urlisten!$C$16:$EL$16,'2D-Alter-Größe'!$C26)&gt;0,COUNTIFS(Urlisten!$C$15:$EL$15,'2D-Alter-Größe'!M$3,Urlisten!$C$16:$EL$16,'2D-Alter-Größe'!$C26),"")</f>
        <v/>
      </c>
      <c r="N26" s="342" t="str">
        <f>IF(COUNTIFS(Urlisten!$C$15:$EL$15,'2D-Alter-Größe'!N$3,Urlisten!$C$16:$EL$16,'2D-Alter-Größe'!$C26)&gt;0,COUNTIFS(Urlisten!$C$15:$EL$15,'2D-Alter-Größe'!N$3,Urlisten!$C$16:$EL$16,'2D-Alter-Größe'!$C26),"")</f>
        <v/>
      </c>
      <c r="O26" s="342" t="str">
        <f>IF(COUNTIFS(Urlisten!$C$15:$EL$15,'2D-Alter-Größe'!O$3,Urlisten!$C$16:$EL$16,'2D-Alter-Größe'!$C26)&gt;0,COUNTIFS(Urlisten!$C$15:$EL$15,'2D-Alter-Größe'!O$3,Urlisten!$C$16:$EL$16,'2D-Alter-Größe'!$C26),"")</f>
        <v/>
      </c>
      <c r="P26" s="342" t="str">
        <f>IF(COUNTIFS(Urlisten!$C$15:$EL$15,'2D-Alter-Größe'!P$3,Urlisten!$C$16:$EL$16,'2D-Alter-Größe'!$C26)&gt;0,COUNTIFS(Urlisten!$C$15:$EL$15,'2D-Alter-Größe'!P$3,Urlisten!$C$16:$EL$16,'2D-Alter-Größe'!$C26),"")</f>
        <v/>
      </c>
      <c r="Q26" s="342" t="str">
        <f>IF(COUNTIFS(Urlisten!$C$15:$EL$15,'2D-Alter-Größe'!Q$3,Urlisten!$C$16:$EL$16,'2D-Alter-Größe'!$C26)&gt;0,COUNTIFS(Urlisten!$C$15:$EL$15,'2D-Alter-Größe'!Q$3,Urlisten!$C$16:$EL$16,'2D-Alter-Größe'!$C26),"")</f>
        <v/>
      </c>
      <c r="R26" s="342" t="str">
        <f>IF(COUNTIFS(Urlisten!$C$15:$EL$15,'2D-Alter-Größe'!R$3,Urlisten!$C$16:$EL$16,'2D-Alter-Größe'!$C26)&gt;0,COUNTIFS(Urlisten!$C$15:$EL$15,'2D-Alter-Größe'!R$3,Urlisten!$C$16:$EL$16,'2D-Alter-Größe'!$C26),"")</f>
        <v/>
      </c>
      <c r="S26" s="342" t="str">
        <f>IF(COUNTIFS(Urlisten!$C$15:$EL$15,'2D-Alter-Größe'!S$3,Urlisten!$C$16:$EL$16,'2D-Alter-Größe'!$C26)&gt;0,COUNTIFS(Urlisten!$C$15:$EL$15,'2D-Alter-Größe'!S$3,Urlisten!$C$16:$EL$16,'2D-Alter-Größe'!$C26),"")</f>
        <v/>
      </c>
      <c r="T26" s="342" t="str">
        <f>IF(COUNTIFS(Urlisten!$C$15:$EL$15,'2D-Alter-Größe'!T$3,Urlisten!$C$16:$EL$16,'2D-Alter-Größe'!$C26)&gt;0,COUNTIFS(Urlisten!$C$15:$EL$15,'2D-Alter-Größe'!T$3,Urlisten!$C$16:$EL$16,'2D-Alter-Größe'!$C26),"")</f>
        <v/>
      </c>
      <c r="U26" s="342" t="str">
        <f>IF(COUNTIFS(Urlisten!$C$15:$EL$15,'2D-Alter-Größe'!U$3,Urlisten!$C$16:$EL$16,'2D-Alter-Größe'!$C26)&gt;0,COUNTIFS(Urlisten!$C$15:$EL$15,'2D-Alter-Größe'!U$3,Urlisten!$C$16:$EL$16,'2D-Alter-Größe'!$C26),"")</f>
        <v/>
      </c>
      <c r="V26" s="342" t="str">
        <f>IF(COUNTIFS(Urlisten!$C$15:$EL$15,'2D-Alter-Größe'!V$3,Urlisten!$C$16:$EL$16,'2D-Alter-Größe'!$C26)&gt;0,COUNTIFS(Urlisten!$C$15:$EL$15,'2D-Alter-Größe'!V$3,Urlisten!$C$16:$EL$16,'2D-Alter-Größe'!$C26),"")</f>
        <v/>
      </c>
      <c r="W26" s="342" t="str">
        <f>IF(COUNTIFS(Urlisten!$C$15:$EL$15,'2D-Alter-Größe'!W$3,Urlisten!$C$16:$EL$16,'2D-Alter-Größe'!$C26)&gt;0,COUNTIFS(Urlisten!$C$15:$EL$15,'2D-Alter-Größe'!W$3,Urlisten!$C$16:$EL$16,'2D-Alter-Größe'!$C26),"")</f>
        <v/>
      </c>
      <c r="X26" s="342" t="str">
        <f>IF(COUNTIFS(Urlisten!$C$15:$EL$15,'2D-Alter-Größe'!X$3,Urlisten!$C$16:$EL$16,'2D-Alter-Größe'!$C26)&gt;0,COUNTIFS(Urlisten!$C$15:$EL$15,'2D-Alter-Größe'!X$3,Urlisten!$C$16:$EL$16,'2D-Alter-Größe'!$C26),"")</f>
        <v/>
      </c>
      <c r="Y26" s="342" t="str">
        <f>IF(COUNTIFS(Urlisten!$C$15:$EL$15,'2D-Alter-Größe'!Y$3,Urlisten!$C$16:$EL$16,'2D-Alter-Größe'!$C26)&gt;0,COUNTIFS(Urlisten!$C$15:$EL$15,'2D-Alter-Größe'!Y$3,Urlisten!$C$16:$EL$16,'2D-Alter-Größe'!$C26),"")</f>
        <v/>
      </c>
      <c r="Z26" s="342" t="str">
        <f>IF(COUNTIFS(Urlisten!$C$15:$EL$15,'2D-Alter-Größe'!Z$3,Urlisten!$C$16:$EL$16,'2D-Alter-Größe'!$C26)&gt;0,COUNTIFS(Urlisten!$C$15:$EL$15,'2D-Alter-Größe'!Z$3,Urlisten!$C$16:$EL$16,'2D-Alter-Größe'!$C26),"")</f>
        <v/>
      </c>
      <c r="AA26" s="342" t="str">
        <f>IF(COUNTIFS(Urlisten!$C$15:$EL$15,'2D-Alter-Größe'!AA$3,Urlisten!$C$16:$EL$16,'2D-Alter-Größe'!$C26)&gt;0,COUNTIFS(Urlisten!$C$15:$EL$15,'2D-Alter-Größe'!AA$3,Urlisten!$C$16:$EL$16,'2D-Alter-Größe'!$C26),"")</f>
        <v/>
      </c>
      <c r="AB26" s="349" t="str">
        <f>IF(COUNTIFS(Urlisten!$C$15:$EL$15,'2D-Alter-Größe'!AB$3,Urlisten!$C$16:$EL$16,'2D-Alter-Größe'!$C26)&gt;0,COUNTIFS(Urlisten!$C$15:$EL$15,'2D-Alter-Größe'!AB$3,Urlisten!$C$16:$EL$16,'2D-Alter-Größe'!$C26),"")</f>
        <v/>
      </c>
      <c r="AC26" s="361" t="str">
        <f t="shared" si="1"/>
        <v/>
      </c>
      <c r="AD26" s="758"/>
    </row>
    <row r="27" spans="1:30" x14ac:dyDescent="0.25">
      <c r="A27" s="6"/>
      <c r="B27" s="767"/>
      <c r="C27" s="502">
        <f t="shared" si="2"/>
        <v>178</v>
      </c>
      <c r="D27" s="343" t="str">
        <f>IF(COUNTIFS(Urlisten!$C$15:$EL$15,'2D-Alter-Größe'!D$3,Urlisten!$C$16:$EL$16,'2D-Alter-Größe'!$C27)&gt;0,COUNTIFS(Urlisten!$C$15:$EL$15,'2D-Alter-Größe'!D$3,Urlisten!$C$16:$EL$16,'2D-Alter-Größe'!$C27),"")</f>
        <v/>
      </c>
      <c r="E27" s="342" t="str">
        <f>IF(COUNTIFS(Urlisten!$C$15:$EL$15,'2D-Alter-Größe'!E$3,Urlisten!$C$16:$EL$16,'2D-Alter-Größe'!$C27)&gt;0,COUNTIFS(Urlisten!$C$15:$EL$15,'2D-Alter-Größe'!E$3,Urlisten!$C$16:$EL$16,'2D-Alter-Größe'!$C27),"")</f>
        <v/>
      </c>
      <c r="F27" s="342" t="str">
        <f>IF(COUNTIFS(Urlisten!$C$15:$EL$15,'2D-Alter-Größe'!F$3,Urlisten!$C$16:$EL$16,'2D-Alter-Größe'!$C27)&gt;0,COUNTIFS(Urlisten!$C$15:$EL$15,'2D-Alter-Größe'!F$3,Urlisten!$C$16:$EL$16,'2D-Alter-Größe'!$C27),"")</f>
        <v/>
      </c>
      <c r="G27" s="342">
        <f>IF(COUNTIFS(Urlisten!$C$15:$EL$15,'2D-Alter-Größe'!G$3,Urlisten!$C$16:$EL$16,'2D-Alter-Größe'!$C27)&gt;0,COUNTIFS(Urlisten!$C$15:$EL$15,'2D-Alter-Größe'!G$3,Urlisten!$C$16:$EL$16,'2D-Alter-Größe'!$C27),"")</f>
        <v>1</v>
      </c>
      <c r="H27" s="342" t="str">
        <f>IF(COUNTIFS(Urlisten!$C$15:$EL$15,'2D-Alter-Größe'!H$3,Urlisten!$C$16:$EL$16,'2D-Alter-Größe'!$C27)&gt;0,COUNTIFS(Urlisten!$C$15:$EL$15,'2D-Alter-Größe'!H$3,Urlisten!$C$16:$EL$16,'2D-Alter-Größe'!$C27),"")</f>
        <v/>
      </c>
      <c r="I27" s="342">
        <f>IF(COUNTIFS(Urlisten!$C$15:$EL$15,'2D-Alter-Größe'!I$3,Urlisten!$C$16:$EL$16,'2D-Alter-Größe'!$C27)&gt;0,COUNTIFS(Urlisten!$C$15:$EL$15,'2D-Alter-Größe'!I$3,Urlisten!$C$16:$EL$16,'2D-Alter-Größe'!$C27),"")</f>
        <v>1</v>
      </c>
      <c r="J27" s="342" t="str">
        <f>IF(COUNTIFS(Urlisten!$C$15:$EL$15,'2D-Alter-Größe'!J$3,Urlisten!$C$16:$EL$16,'2D-Alter-Größe'!$C27)&gt;0,COUNTIFS(Urlisten!$C$15:$EL$15,'2D-Alter-Größe'!J$3,Urlisten!$C$16:$EL$16,'2D-Alter-Größe'!$C27),"")</f>
        <v/>
      </c>
      <c r="K27" s="342">
        <f>IF(COUNTIFS(Urlisten!$C$15:$EL$15,'2D-Alter-Größe'!K$3,Urlisten!$C$16:$EL$16,'2D-Alter-Größe'!$C27)&gt;0,COUNTIFS(Urlisten!$C$15:$EL$15,'2D-Alter-Größe'!K$3,Urlisten!$C$16:$EL$16,'2D-Alter-Größe'!$C27),"")</f>
        <v>1</v>
      </c>
      <c r="L27" s="342" t="str">
        <f>IF(COUNTIFS(Urlisten!$C$15:$EL$15,'2D-Alter-Größe'!L$3,Urlisten!$C$16:$EL$16,'2D-Alter-Größe'!$C27)&gt;0,COUNTIFS(Urlisten!$C$15:$EL$15,'2D-Alter-Größe'!L$3,Urlisten!$C$16:$EL$16,'2D-Alter-Größe'!$C27),"")</f>
        <v/>
      </c>
      <c r="M27" s="342" t="str">
        <f>IF(COUNTIFS(Urlisten!$C$15:$EL$15,'2D-Alter-Größe'!M$3,Urlisten!$C$16:$EL$16,'2D-Alter-Größe'!$C27)&gt;0,COUNTIFS(Urlisten!$C$15:$EL$15,'2D-Alter-Größe'!M$3,Urlisten!$C$16:$EL$16,'2D-Alter-Größe'!$C27),"")</f>
        <v/>
      </c>
      <c r="N27" s="342" t="str">
        <f>IF(COUNTIFS(Urlisten!$C$15:$EL$15,'2D-Alter-Größe'!N$3,Urlisten!$C$16:$EL$16,'2D-Alter-Größe'!$C27)&gt;0,COUNTIFS(Urlisten!$C$15:$EL$15,'2D-Alter-Größe'!N$3,Urlisten!$C$16:$EL$16,'2D-Alter-Größe'!$C27),"")</f>
        <v/>
      </c>
      <c r="O27" s="342" t="str">
        <f>IF(COUNTIFS(Urlisten!$C$15:$EL$15,'2D-Alter-Größe'!O$3,Urlisten!$C$16:$EL$16,'2D-Alter-Größe'!$C27)&gt;0,COUNTIFS(Urlisten!$C$15:$EL$15,'2D-Alter-Größe'!O$3,Urlisten!$C$16:$EL$16,'2D-Alter-Größe'!$C27),"")</f>
        <v/>
      </c>
      <c r="P27" s="342" t="str">
        <f>IF(COUNTIFS(Urlisten!$C$15:$EL$15,'2D-Alter-Größe'!P$3,Urlisten!$C$16:$EL$16,'2D-Alter-Größe'!$C27)&gt;0,COUNTIFS(Urlisten!$C$15:$EL$15,'2D-Alter-Größe'!P$3,Urlisten!$C$16:$EL$16,'2D-Alter-Größe'!$C27),"")</f>
        <v/>
      </c>
      <c r="Q27" s="342" t="str">
        <f>IF(COUNTIFS(Urlisten!$C$15:$EL$15,'2D-Alter-Größe'!Q$3,Urlisten!$C$16:$EL$16,'2D-Alter-Größe'!$C27)&gt;0,COUNTIFS(Urlisten!$C$15:$EL$15,'2D-Alter-Größe'!Q$3,Urlisten!$C$16:$EL$16,'2D-Alter-Größe'!$C27),"")</f>
        <v/>
      </c>
      <c r="R27" s="342" t="str">
        <f>IF(COUNTIFS(Urlisten!$C$15:$EL$15,'2D-Alter-Größe'!R$3,Urlisten!$C$16:$EL$16,'2D-Alter-Größe'!$C27)&gt;0,COUNTIFS(Urlisten!$C$15:$EL$15,'2D-Alter-Größe'!R$3,Urlisten!$C$16:$EL$16,'2D-Alter-Größe'!$C27),"")</f>
        <v/>
      </c>
      <c r="S27" s="342" t="str">
        <f>IF(COUNTIFS(Urlisten!$C$15:$EL$15,'2D-Alter-Größe'!S$3,Urlisten!$C$16:$EL$16,'2D-Alter-Größe'!$C27)&gt;0,COUNTIFS(Urlisten!$C$15:$EL$15,'2D-Alter-Größe'!S$3,Urlisten!$C$16:$EL$16,'2D-Alter-Größe'!$C27),"")</f>
        <v/>
      </c>
      <c r="T27" s="342" t="str">
        <f>IF(COUNTIFS(Urlisten!$C$15:$EL$15,'2D-Alter-Größe'!T$3,Urlisten!$C$16:$EL$16,'2D-Alter-Größe'!$C27)&gt;0,COUNTIFS(Urlisten!$C$15:$EL$15,'2D-Alter-Größe'!T$3,Urlisten!$C$16:$EL$16,'2D-Alter-Größe'!$C27),"")</f>
        <v/>
      </c>
      <c r="U27" s="342" t="str">
        <f>IF(COUNTIFS(Urlisten!$C$15:$EL$15,'2D-Alter-Größe'!U$3,Urlisten!$C$16:$EL$16,'2D-Alter-Größe'!$C27)&gt;0,COUNTIFS(Urlisten!$C$15:$EL$15,'2D-Alter-Größe'!U$3,Urlisten!$C$16:$EL$16,'2D-Alter-Größe'!$C27),"")</f>
        <v/>
      </c>
      <c r="V27" s="342" t="str">
        <f>IF(COUNTIFS(Urlisten!$C$15:$EL$15,'2D-Alter-Größe'!V$3,Urlisten!$C$16:$EL$16,'2D-Alter-Größe'!$C27)&gt;0,COUNTIFS(Urlisten!$C$15:$EL$15,'2D-Alter-Größe'!V$3,Urlisten!$C$16:$EL$16,'2D-Alter-Größe'!$C27),"")</f>
        <v/>
      </c>
      <c r="W27" s="342" t="str">
        <f>IF(COUNTIFS(Urlisten!$C$15:$EL$15,'2D-Alter-Größe'!W$3,Urlisten!$C$16:$EL$16,'2D-Alter-Größe'!$C27)&gt;0,COUNTIFS(Urlisten!$C$15:$EL$15,'2D-Alter-Größe'!W$3,Urlisten!$C$16:$EL$16,'2D-Alter-Größe'!$C27),"")</f>
        <v/>
      </c>
      <c r="X27" s="342" t="str">
        <f>IF(COUNTIFS(Urlisten!$C$15:$EL$15,'2D-Alter-Größe'!X$3,Urlisten!$C$16:$EL$16,'2D-Alter-Größe'!$C27)&gt;0,COUNTIFS(Urlisten!$C$15:$EL$15,'2D-Alter-Größe'!X$3,Urlisten!$C$16:$EL$16,'2D-Alter-Größe'!$C27),"")</f>
        <v/>
      </c>
      <c r="Y27" s="342" t="str">
        <f>IF(COUNTIFS(Urlisten!$C$15:$EL$15,'2D-Alter-Größe'!Y$3,Urlisten!$C$16:$EL$16,'2D-Alter-Größe'!$C27)&gt;0,COUNTIFS(Urlisten!$C$15:$EL$15,'2D-Alter-Größe'!Y$3,Urlisten!$C$16:$EL$16,'2D-Alter-Größe'!$C27),"")</f>
        <v/>
      </c>
      <c r="Z27" s="342" t="str">
        <f>IF(COUNTIFS(Urlisten!$C$15:$EL$15,'2D-Alter-Größe'!Z$3,Urlisten!$C$16:$EL$16,'2D-Alter-Größe'!$C27)&gt;0,COUNTIFS(Urlisten!$C$15:$EL$15,'2D-Alter-Größe'!Z$3,Urlisten!$C$16:$EL$16,'2D-Alter-Größe'!$C27),"")</f>
        <v/>
      </c>
      <c r="AA27" s="342" t="str">
        <f>IF(COUNTIFS(Urlisten!$C$15:$EL$15,'2D-Alter-Größe'!AA$3,Urlisten!$C$16:$EL$16,'2D-Alter-Größe'!$C27)&gt;0,COUNTIFS(Urlisten!$C$15:$EL$15,'2D-Alter-Größe'!AA$3,Urlisten!$C$16:$EL$16,'2D-Alter-Größe'!$C27),"")</f>
        <v/>
      </c>
      <c r="AB27" s="349" t="str">
        <f>IF(COUNTIFS(Urlisten!$C$15:$EL$15,'2D-Alter-Größe'!AB$3,Urlisten!$C$16:$EL$16,'2D-Alter-Größe'!$C27)&gt;0,COUNTIFS(Urlisten!$C$15:$EL$15,'2D-Alter-Größe'!AB$3,Urlisten!$C$16:$EL$16,'2D-Alter-Größe'!$C27),"")</f>
        <v/>
      </c>
      <c r="AC27" s="361">
        <f t="shared" si="1"/>
        <v>3</v>
      </c>
      <c r="AD27" s="758"/>
    </row>
    <row r="28" spans="1:30" x14ac:dyDescent="0.25">
      <c r="A28" s="6"/>
      <c r="B28" s="767"/>
      <c r="C28" s="502">
        <f t="shared" si="2"/>
        <v>179</v>
      </c>
      <c r="D28" s="343" t="str">
        <f>IF(COUNTIFS(Urlisten!$C$15:$EL$15,'2D-Alter-Größe'!D$3,Urlisten!$C$16:$EL$16,'2D-Alter-Größe'!$C28)&gt;0,COUNTIFS(Urlisten!$C$15:$EL$15,'2D-Alter-Größe'!D$3,Urlisten!$C$16:$EL$16,'2D-Alter-Größe'!$C28),"")</f>
        <v/>
      </c>
      <c r="E28" s="342" t="str">
        <f>IF(COUNTIFS(Urlisten!$C$15:$EL$15,'2D-Alter-Größe'!E$3,Urlisten!$C$16:$EL$16,'2D-Alter-Größe'!$C28)&gt;0,COUNTIFS(Urlisten!$C$15:$EL$15,'2D-Alter-Größe'!E$3,Urlisten!$C$16:$EL$16,'2D-Alter-Größe'!$C28),"")</f>
        <v/>
      </c>
      <c r="F28" s="342" t="str">
        <f>IF(COUNTIFS(Urlisten!$C$15:$EL$15,'2D-Alter-Größe'!F$3,Urlisten!$C$16:$EL$16,'2D-Alter-Größe'!$C28)&gt;0,COUNTIFS(Urlisten!$C$15:$EL$15,'2D-Alter-Größe'!F$3,Urlisten!$C$16:$EL$16,'2D-Alter-Größe'!$C28),"")</f>
        <v/>
      </c>
      <c r="G28" s="342" t="str">
        <f>IF(COUNTIFS(Urlisten!$C$15:$EL$15,'2D-Alter-Größe'!G$3,Urlisten!$C$16:$EL$16,'2D-Alter-Größe'!$C28)&gt;0,COUNTIFS(Urlisten!$C$15:$EL$15,'2D-Alter-Größe'!G$3,Urlisten!$C$16:$EL$16,'2D-Alter-Größe'!$C28),"")</f>
        <v/>
      </c>
      <c r="H28" s="342" t="str">
        <f>IF(COUNTIFS(Urlisten!$C$15:$EL$15,'2D-Alter-Größe'!H$3,Urlisten!$C$16:$EL$16,'2D-Alter-Größe'!$C28)&gt;0,COUNTIFS(Urlisten!$C$15:$EL$15,'2D-Alter-Größe'!H$3,Urlisten!$C$16:$EL$16,'2D-Alter-Größe'!$C28),"")</f>
        <v/>
      </c>
      <c r="I28" s="342" t="str">
        <f>IF(COUNTIFS(Urlisten!$C$15:$EL$15,'2D-Alter-Größe'!I$3,Urlisten!$C$16:$EL$16,'2D-Alter-Größe'!$C28)&gt;0,COUNTIFS(Urlisten!$C$15:$EL$15,'2D-Alter-Größe'!I$3,Urlisten!$C$16:$EL$16,'2D-Alter-Größe'!$C28),"")</f>
        <v/>
      </c>
      <c r="J28" s="342" t="str">
        <f>IF(COUNTIFS(Urlisten!$C$15:$EL$15,'2D-Alter-Größe'!J$3,Urlisten!$C$16:$EL$16,'2D-Alter-Größe'!$C28)&gt;0,COUNTIFS(Urlisten!$C$15:$EL$15,'2D-Alter-Größe'!J$3,Urlisten!$C$16:$EL$16,'2D-Alter-Größe'!$C28),"")</f>
        <v/>
      </c>
      <c r="K28" s="342" t="str">
        <f>IF(COUNTIFS(Urlisten!$C$15:$EL$15,'2D-Alter-Größe'!K$3,Urlisten!$C$16:$EL$16,'2D-Alter-Größe'!$C28)&gt;0,COUNTIFS(Urlisten!$C$15:$EL$15,'2D-Alter-Größe'!K$3,Urlisten!$C$16:$EL$16,'2D-Alter-Größe'!$C28),"")</f>
        <v/>
      </c>
      <c r="L28" s="342" t="str">
        <f>IF(COUNTIFS(Urlisten!$C$15:$EL$15,'2D-Alter-Größe'!L$3,Urlisten!$C$16:$EL$16,'2D-Alter-Größe'!$C28)&gt;0,COUNTIFS(Urlisten!$C$15:$EL$15,'2D-Alter-Größe'!L$3,Urlisten!$C$16:$EL$16,'2D-Alter-Größe'!$C28),"")</f>
        <v/>
      </c>
      <c r="M28" s="342" t="str">
        <f>IF(COUNTIFS(Urlisten!$C$15:$EL$15,'2D-Alter-Größe'!M$3,Urlisten!$C$16:$EL$16,'2D-Alter-Größe'!$C28)&gt;0,COUNTIFS(Urlisten!$C$15:$EL$15,'2D-Alter-Größe'!M$3,Urlisten!$C$16:$EL$16,'2D-Alter-Größe'!$C28),"")</f>
        <v/>
      </c>
      <c r="N28" s="342" t="str">
        <f>IF(COUNTIFS(Urlisten!$C$15:$EL$15,'2D-Alter-Größe'!N$3,Urlisten!$C$16:$EL$16,'2D-Alter-Größe'!$C28)&gt;0,COUNTIFS(Urlisten!$C$15:$EL$15,'2D-Alter-Größe'!N$3,Urlisten!$C$16:$EL$16,'2D-Alter-Größe'!$C28),"")</f>
        <v/>
      </c>
      <c r="O28" s="342" t="str">
        <f>IF(COUNTIFS(Urlisten!$C$15:$EL$15,'2D-Alter-Größe'!O$3,Urlisten!$C$16:$EL$16,'2D-Alter-Größe'!$C28)&gt;0,COUNTIFS(Urlisten!$C$15:$EL$15,'2D-Alter-Größe'!O$3,Urlisten!$C$16:$EL$16,'2D-Alter-Größe'!$C28),"")</f>
        <v/>
      </c>
      <c r="P28" s="342" t="str">
        <f>IF(COUNTIFS(Urlisten!$C$15:$EL$15,'2D-Alter-Größe'!P$3,Urlisten!$C$16:$EL$16,'2D-Alter-Größe'!$C28)&gt;0,COUNTIFS(Urlisten!$C$15:$EL$15,'2D-Alter-Größe'!P$3,Urlisten!$C$16:$EL$16,'2D-Alter-Größe'!$C28),"")</f>
        <v/>
      </c>
      <c r="Q28" s="342" t="str">
        <f>IF(COUNTIFS(Urlisten!$C$15:$EL$15,'2D-Alter-Größe'!Q$3,Urlisten!$C$16:$EL$16,'2D-Alter-Größe'!$C28)&gt;0,COUNTIFS(Urlisten!$C$15:$EL$15,'2D-Alter-Größe'!Q$3,Urlisten!$C$16:$EL$16,'2D-Alter-Größe'!$C28),"")</f>
        <v/>
      </c>
      <c r="R28" s="342" t="str">
        <f>IF(COUNTIFS(Urlisten!$C$15:$EL$15,'2D-Alter-Größe'!R$3,Urlisten!$C$16:$EL$16,'2D-Alter-Größe'!$C28)&gt;0,COUNTIFS(Urlisten!$C$15:$EL$15,'2D-Alter-Größe'!R$3,Urlisten!$C$16:$EL$16,'2D-Alter-Größe'!$C28),"")</f>
        <v/>
      </c>
      <c r="S28" s="342" t="str">
        <f>IF(COUNTIFS(Urlisten!$C$15:$EL$15,'2D-Alter-Größe'!S$3,Urlisten!$C$16:$EL$16,'2D-Alter-Größe'!$C28)&gt;0,COUNTIFS(Urlisten!$C$15:$EL$15,'2D-Alter-Größe'!S$3,Urlisten!$C$16:$EL$16,'2D-Alter-Größe'!$C28),"")</f>
        <v/>
      </c>
      <c r="T28" s="342" t="str">
        <f>IF(COUNTIFS(Urlisten!$C$15:$EL$15,'2D-Alter-Größe'!T$3,Urlisten!$C$16:$EL$16,'2D-Alter-Größe'!$C28)&gt;0,COUNTIFS(Urlisten!$C$15:$EL$15,'2D-Alter-Größe'!T$3,Urlisten!$C$16:$EL$16,'2D-Alter-Größe'!$C28),"")</f>
        <v/>
      </c>
      <c r="U28" s="342" t="str">
        <f>IF(COUNTIFS(Urlisten!$C$15:$EL$15,'2D-Alter-Größe'!U$3,Urlisten!$C$16:$EL$16,'2D-Alter-Größe'!$C28)&gt;0,COUNTIFS(Urlisten!$C$15:$EL$15,'2D-Alter-Größe'!U$3,Urlisten!$C$16:$EL$16,'2D-Alter-Größe'!$C28),"")</f>
        <v/>
      </c>
      <c r="V28" s="342" t="str">
        <f>IF(COUNTIFS(Urlisten!$C$15:$EL$15,'2D-Alter-Größe'!V$3,Urlisten!$C$16:$EL$16,'2D-Alter-Größe'!$C28)&gt;0,COUNTIFS(Urlisten!$C$15:$EL$15,'2D-Alter-Größe'!V$3,Urlisten!$C$16:$EL$16,'2D-Alter-Größe'!$C28),"")</f>
        <v/>
      </c>
      <c r="W28" s="342" t="str">
        <f>IF(COUNTIFS(Urlisten!$C$15:$EL$15,'2D-Alter-Größe'!W$3,Urlisten!$C$16:$EL$16,'2D-Alter-Größe'!$C28)&gt;0,COUNTIFS(Urlisten!$C$15:$EL$15,'2D-Alter-Größe'!W$3,Urlisten!$C$16:$EL$16,'2D-Alter-Größe'!$C28),"")</f>
        <v/>
      </c>
      <c r="X28" s="342" t="str">
        <f>IF(COUNTIFS(Urlisten!$C$15:$EL$15,'2D-Alter-Größe'!X$3,Urlisten!$C$16:$EL$16,'2D-Alter-Größe'!$C28)&gt;0,COUNTIFS(Urlisten!$C$15:$EL$15,'2D-Alter-Größe'!X$3,Urlisten!$C$16:$EL$16,'2D-Alter-Größe'!$C28),"")</f>
        <v/>
      </c>
      <c r="Y28" s="342" t="str">
        <f>IF(COUNTIFS(Urlisten!$C$15:$EL$15,'2D-Alter-Größe'!Y$3,Urlisten!$C$16:$EL$16,'2D-Alter-Größe'!$C28)&gt;0,COUNTIFS(Urlisten!$C$15:$EL$15,'2D-Alter-Größe'!Y$3,Urlisten!$C$16:$EL$16,'2D-Alter-Größe'!$C28),"")</f>
        <v/>
      </c>
      <c r="Z28" s="342" t="str">
        <f>IF(COUNTIFS(Urlisten!$C$15:$EL$15,'2D-Alter-Größe'!Z$3,Urlisten!$C$16:$EL$16,'2D-Alter-Größe'!$C28)&gt;0,COUNTIFS(Urlisten!$C$15:$EL$15,'2D-Alter-Größe'!Z$3,Urlisten!$C$16:$EL$16,'2D-Alter-Größe'!$C28),"")</f>
        <v/>
      </c>
      <c r="AA28" s="342" t="str">
        <f>IF(COUNTIFS(Urlisten!$C$15:$EL$15,'2D-Alter-Größe'!AA$3,Urlisten!$C$16:$EL$16,'2D-Alter-Größe'!$C28)&gt;0,COUNTIFS(Urlisten!$C$15:$EL$15,'2D-Alter-Größe'!AA$3,Urlisten!$C$16:$EL$16,'2D-Alter-Größe'!$C28),"")</f>
        <v/>
      </c>
      <c r="AB28" s="349" t="str">
        <f>IF(COUNTIFS(Urlisten!$C$15:$EL$15,'2D-Alter-Größe'!AB$3,Urlisten!$C$16:$EL$16,'2D-Alter-Größe'!$C28)&gt;0,COUNTIFS(Urlisten!$C$15:$EL$15,'2D-Alter-Größe'!AB$3,Urlisten!$C$16:$EL$16,'2D-Alter-Größe'!$C28),"")</f>
        <v/>
      </c>
      <c r="AC28" s="361" t="str">
        <f t="shared" si="1"/>
        <v/>
      </c>
      <c r="AD28" s="758"/>
    </row>
    <row r="29" spans="1:30" x14ac:dyDescent="0.25">
      <c r="A29" s="6"/>
      <c r="B29" s="767"/>
      <c r="C29" s="502">
        <f t="shared" si="2"/>
        <v>180</v>
      </c>
      <c r="D29" s="343" t="str">
        <f>IF(COUNTIFS(Urlisten!$C$15:$EL$15,'2D-Alter-Größe'!D$3,Urlisten!$C$16:$EL$16,'2D-Alter-Größe'!$C29)&gt;0,COUNTIFS(Urlisten!$C$15:$EL$15,'2D-Alter-Größe'!D$3,Urlisten!$C$16:$EL$16,'2D-Alter-Größe'!$C29),"")</f>
        <v/>
      </c>
      <c r="E29" s="342" t="str">
        <f>IF(COUNTIFS(Urlisten!$C$15:$EL$15,'2D-Alter-Größe'!E$3,Urlisten!$C$16:$EL$16,'2D-Alter-Größe'!$C29)&gt;0,COUNTIFS(Urlisten!$C$15:$EL$15,'2D-Alter-Größe'!E$3,Urlisten!$C$16:$EL$16,'2D-Alter-Größe'!$C29),"")</f>
        <v/>
      </c>
      <c r="F29" s="342">
        <f>IF(COUNTIFS(Urlisten!$C$15:$EL$15,'2D-Alter-Größe'!F$3,Urlisten!$C$16:$EL$16,'2D-Alter-Größe'!$C29)&gt;0,COUNTIFS(Urlisten!$C$15:$EL$15,'2D-Alter-Größe'!F$3,Urlisten!$C$16:$EL$16,'2D-Alter-Größe'!$C29),"")</f>
        <v>1</v>
      </c>
      <c r="G29" s="342" t="str">
        <f>IF(COUNTIFS(Urlisten!$C$15:$EL$15,'2D-Alter-Größe'!G$3,Urlisten!$C$16:$EL$16,'2D-Alter-Größe'!$C29)&gt;0,COUNTIFS(Urlisten!$C$15:$EL$15,'2D-Alter-Größe'!G$3,Urlisten!$C$16:$EL$16,'2D-Alter-Größe'!$C29),"")</f>
        <v/>
      </c>
      <c r="H29" s="342">
        <f>IF(COUNTIFS(Urlisten!$C$15:$EL$15,'2D-Alter-Größe'!H$3,Urlisten!$C$16:$EL$16,'2D-Alter-Größe'!$C29)&gt;0,COUNTIFS(Urlisten!$C$15:$EL$15,'2D-Alter-Größe'!H$3,Urlisten!$C$16:$EL$16,'2D-Alter-Größe'!$C29),"")</f>
        <v>2</v>
      </c>
      <c r="I29" s="342" t="str">
        <f>IF(COUNTIFS(Urlisten!$C$15:$EL$15,'2D-Alter-Größe'!I$3,Urlisten!$C$16:$EL$16,'2D-Alter-Größe'!$C29)&gt;0,COUNTIFS(Urlisten!$C$15:$EL$15,'2D-Alter-Größe'!I$3,Urlisten!$C$16:$EL$16,'2D-Alter-Größe'!$C29),"")</f>
        <v/>
      </c>
      <c r="J29" s="342" t="str">
        <f>IF(COUNTIFS(Urlisten!$C$15:$EL$15,'2D-Alter-Größe'!J$3,Urlisten!$C$16:$EL$16,'2D-Alter-Größe'!$C29)&gt;0,COUNTIFS(Urlisten!$C$15:$EL$15,'2D-Alter-Größe'!J$3,Urlisten!$C$16:$EL$16,'2D-Alter-Größe'!$C29),"")</f>
        <v/>
      </c>
      <c r="K29" s="342">
        <f>IF(COUNTIFS(Urlisten!$C$15:$EL$15,'2D-Alter-Größe'!K$3,Urlisten!$C$16:$EL$16,'2D-Alter-Größe'!$C29)&gt;0,COUNTIFS(Urlisten!$C$15:$EL$15,'2D-Alter-Größe'!K$3,Urlisten!$C$16:$EL$16,'2D-Alter-Größe'!$C29),"")</f>
        <v>1</v>
      </c>
      <c r="L29" s="342" t="str">
        <f>IF(COUNTIFS(Urlisten!$C$15:$EL$15,'2D-Alter-Größe'!L$3,Urlisten!$C$16:$EL$16,'2D-Alter-Größe'!$C29)&gt;0,COUNTIFS(Urlisten!$C$15:$EL$15,'2D-Alter-Größe'!L$3,Urlisten!$C$16:$EL$16,'2D-Alter-Größe'!$C29),"")</f>
        <v/>
      </c>
      <c r="M29" s="342" t="str">
        <f>IF(COUNTIFS(Urlisten!$C$15:$EL$15,'2D-Alter-Größe'!M$3,Urlisten!$C$16:$EL$16,'2D-Alter-Größe'!$C29)&gt;0,COUNTIFS(Urlisten!$C$15:$EL$15,'2D-Alter-Größe'!M$3,Urlisten!$C$16:$EL$16,'2D-Alter-Größe'!$C29),"")</f>
        <v/>
      </c>
      <c r="N29" s="342" t="str">
        <f>IF(COUNTIFS(Urlisten!$C$15:$EL$15,'2D-Alter-Größe'!N$3,Urlisten!$C$16:$EL$16,'2D-Alter-Größe'!$C29)&gt;0,COUNTIFS(Urlisten!$C$15:$EL$15,'2D-Alter-Größe'!N$3,Urlisten!$C$16:$EL$16,'2D-Alter-Größe'!$C29),"")</f>
        <v/>
      </c>
      <c r="O29" s="342" t="str">
        <f>IF(COUNTIFS(Urlisten!$C$15:$EL$15,'2D-Alter-Größe'!O$3,Urlisten!$C$16:$EL$16,'2D-Alter-Größe'!$C29)&gt;0,COUNTIFS(Urlisten!$C$15:$EL$15,'2D-Alter-Größe'!O$3,Urlisten!$C$16:$EL$16,'2D-Alter-Größe'!$C29),"")</f>
        <v/>
      </c>
      <c r="P29" s="342" t="str">
        <f>IF(COUNTIFS(Urlisten!$C$15:$EL$15,'2D-Alter-Größe'!P$3,Urlisten!$C$16:$EL$16,'2D-Alter-Größe'!$C29)&gt;0,COUNTIFS(Urlisten!$C$15:$EL$15,'2D-Alter-Größe'!P$3,Urlisten!$C$16:$EL$16,'2D-Alter-Größe'!$C29),"")</f>
        <v/>
      </c>
      <c r="Q29" s="342" t="str">
        <f>IF(COUNTIFS(Urlisten!$C$15:$EL$15,'2D-Alter-Größe'!Q$3,Urlisten!$C$16:$EL$16,'2D-Alter-Größe'!$C29)&gt;0,COUNTIFS(Urlisten!$C$15:$EL$15,'2D-Alter-Größe'!Q$3,Urlisten!$C$16:$EL$16,'2D-Alter-Größe'!$C29),"")</f>
        <v/>
      </c>
      <c r="R29" s="342" t="str">
        <f>IF(COUNTIFS(Urlisten!$C$15:$EL$15,'2D-Alter-Größe'!R$3,Urlisten!$C$16:$EL$16,'2D-Alter-Größe'!$C29)&gt;0,COUNTIFS(Urlisten!$C$15:$EL$15,'2D-Alter-Größe'!R$3,Urlisten!$C$16:$EL$16,'2D-Alter-Größe'!$C29),"")</f>
        <v/>
      </c>
      <c r="S29" s="342" t="str">
        <f>IF(COUNTIFS(Urlisten!$C$15:$EL$15,'2D-Alter-Größe'!S$3,Urlisten!$C$16:$EL$16,'2D-Alter-Größe'!$C29)&gt;0,COUNTIFS(Urlisten!$C$15:$EL$15,'2D-Alter-Größe'!S$3,Urlisten!$C$16:$EL$16,'2D-Alter-Größe'!$C29),"")</f>
        <v/>
      </c>
      <c r="T29" s="342" t="str">
        <f>IF(COUNTIFS(Urlisten!$C$15:$EL$15,'2D-Alter-Größe'!T$3,Urlisten!$C$16:$EL$16,'2D-Alter-Größe'!$C29)&gt;0,COUNTIFS(Urlisten!$C$15:$EL$15,'2D-Alter-Größe'!T$3,Urlisten!$C$16:$EL$16,'2D-Alter-Größe'!$C29),"")</f>
        <v/>
      </c>
      <c r="U29" s="342" t="str">
        <f>IF(COUNTIFS(Urlisten!$C$15:$EL$15,'2D-Alter-Größe'!U$3,Urlisten!$C$16:$EL$16,'2D-Alter-Größe'!$C29)&gt;0,COUNTIFS(Urlisten!$C$15:$EL$15,'2D-Alter-Größe'!U$3,Urlisten!$C$16:$EL$16,'2D-Alter-Größe'!$C29),"")</f>
        <v/>
      </c>
      <c r="V29" s="342" t="str">
        <f>IF(COUNTIFS(Urlisten!$C$15:$EL$15,'2D-Alter-Größe'!V$3,Urlisten!$C$16:$EL$16,'2D-Alter-Größe'!$C29)&gt;0,COUNTIFS(Urlisten!$C$15:$EL$15,'2D-Alter-Größe'!V$3,Urlisten!$C$16:$EL$16,'2D-Alter-Größe'!$C29),"")</f>
        <v/>
      </c>
      <c r="W29" s="342" t="str">
        <f>IF(COUNTIFS(Urlisten!$C$15:$EL$15,'2D-Alter-Größe'!W$3,Urlisten!$C$16:$EL$16,'2D-Alter-Größe'!$C29)&gt;0,COUNTIFS(Urlisten!$C$15:$EL$15,'2D-Alter-Größe'!W$3,Urlisten!$C$16:$EL$16,'2D-Alter-Größe'!$C29),"")</f>
        <v/>
      </c>
      <c r="X29" s="342" t="str">
        <f>IF(COUNTIFS(Urlisten!$C$15:$EL$15,'2D-Alter-Größe'!X$3,Urlisten!$C$16:$EL$16,'2D-Alter-Größe'!$C29)&gt;0,COUNTIFS(Urlisten!$C$15:$EL$15,'2D-Alter-Größe'!X$3,Urlisten!$C$16:$EL$16,'2D-Alter-Größe'!$C29),"")</f>
        <v/>
      </c>
      <c r="Y29" s="342" t="str">
        <f>IF(COUNTIFS(Urlisten!$C$15:$EL$15,'2D-Alter-Größe'!Y$3,Urlisten!$C$16:$EL$16,'2D-Alter-Größe'!$C29)&gt;0,COUNTIFS(Urlisten!$C$15:$EL$15,'2D-Alter-Größe'!Y$3,Urlisten!$C$16:$EL$16,'2D-Alter-Größe'!$C29),"")</f>
        <v/>
      </c>
      <c r="Z29" s="342" t="str">
        <f>IF(COUNTIFS(Urlisten!$C$15:$EL$15,'2D-Alter-Größe'!Z$3,Urlisten!$C$16:$EL$16,'2D-Alter-Größe'!$C29)&gt;0,COUNTIFS(Urlisten!$C$15:$EL$15,'2D-Alter-Größe'!Z$3,Urlisten!$C$16:$EL$16,'2D-Alter-Größe'!$C29),"")</f>
        <v/>
      </c>
      <c r="AA29" s="342" t="str">
        <f>IF(COUNTIFS(Urlisten!$C$15:$EL$15,'2D-Alter-Größe'!AA$3,Urlisten!$C$16:$EL$16,'2D-Alter-Größe'!$C29)&gt;0,COUNTIFS(Urlisten!$C$15:$EL$15,'2D-Alter-Größe'!AA$3,Urlisten!$C$16:$EL$16,'2D-Alter-Größe'!$C29),"")</f>
        <v/>
      </c>
      <c r="AB29" s="349" t="str">
        <f>IF(COUNTIFS(Urlisten!$C$15:$EL$15,'2D-Alter-Größe'!AB$3,Urlisten!$C$16:$EL$16,'2D-Alter-Größe'!$C29)&gt;0,COUNTIFS(Urlisten!$C$15:$EL$15,'2D-Alter-Größe'!AB$3,Urlisten!$C$16:$EL$16,'2D-Alter-Größe'!$C29),"")</f>
        <v/>
      </c>
      <c r="AC29" s="361">
        <f t="shared" si="1"/>
        <v>4</v>
      </c>
      <c r="AD29" s="758"/>
    </row>
    <row r="30" spans="1:30" x14ac:dyDescent="0.25">
      <c r="A30" s="6"/>
      <c r="B30" s="767"/>
      <c r="C30" s="502">
        <f t="shared" si="2"/>
        <v>181</v>
      </c>
      <c r="D30" s="343" t="str">
        <f>IF(COUNTIFS(Urlisten!$C$15:$EL$15,'2D-Alter-Größe'!D$3,Urlisten!$C$16:$EL$16,'2D-Alter-Größe'!$C30)&gt;0,COUNTIFS(Urlisten!$C$15:$EL$15,'2D-Alter-Größe'!D$3,Urlisten!$C$16:$EL$16,'2D-Alter-Größe'!$C30),"")</f>
        <v/>
      </c>
      <c r="E30" s="342" t="str">
        <f>IF(COUNTIFS(Urlisten!$C$15:$EL$15,'2D-Alter-Größe'!E$3,Urlisten!$C$16:$EL$16,'2D-Alter-Größe'!$C30)&gt;0,COUNTIFS(Urlisten!$C$15:$EL$15,'2D-Alter-Größe'!E$3,Urlisten!$C$16:$EL$16,'2D-Alter-Größe'!$C30),"")</f>
        <v/>
      </c>
      <c r="F30" s="342" t="str">
        <f>IF(COUNTIFS(Urlisten!$C$15:$EL$15,'2D-Alter-Größe'!F$3,Urlisten!$C$16:$EL$16,'2D-Alter-Größe'!$C30)&gt;0,COUNTIFS(Urlisten!$C$15:$EL$15,'2D-Alter-Größe'!F$3,Urlisten!$C$16:$EL$16,'2D-Alter-Größe'!$C30),"")</f>
        <v/>
      </c>
      <c r="G30" s="342" t="str">
        <f>IF(COUNTIFS(Urlisten!$C$15:$EL$15,'2D-Alter-Größe'!G$3,Urlisten!$C$16:$EL$16,'2D-Alter-Größe'!$C30)&gt;0,COUNTIFS(Urlisten!$C$15:$EL$15,'2D-Alter-Größe'!G$3,Urlisten!$C$16:$EL$16,'2D-Alter-Größe'!$C30),"")</f>
        <v/>
      </c>
      <c r="H30" s="342" t="str">
        <f>IF(COUNTIFS(Urlisten!$C$15:$EL$15,'2D-Alter-Größe'!H$3,Urlisten!$C$16:$EL$16,'2D-Alter-Größe'!$C30)&gt;0,COUNTIFS(Urlisten!$C$15:$EL$15,'2D-Alter-Größe'!H$3,Urlisten!$C$16:$EL$16,'2D-Alter-Größe'!$C30),"")</f>
        <v/>
      </c>
      <c r="I30" s="342" t="str">
        <f>IF(COUNTIFS(Urlisten!$C$15:$EL$15,'2D-Alter-Größe'!I$3,Urlisten!$C$16:$EL$16,'2D-Alter-Größe'!$C30)&gt;0,COUNTIFS(Urlisten!$C$15:$EL$15,'2D-Alter-Größe'!I$3,Urlisten!$C$16:$EL$16,'2D-Alter-Größe'!$C30),"")</f>
        <v/>
      </c>
      <c r="J30" s="342" t="str">
        <f>IF(COUNTIFS(Urlisten!$C$15:$EL$15,'2D-Alter-Größe'!J$3,Urlisten!$C$16:$EL$16,'2D-Alter-Größe'!$C30)&gt;0,COUNTIFS(Urlisten!$C$15:$EL$15,'2D-Alter-Größe'!J$3,Urlisten!$C$16:$EL$16,'2D-Alter-Größe'!$C30),"")</f>
        <v/>
      </c>
      <c r="K30" s="342" t="str">
        <f>IF(COUNTIFS(Urlisten!$C$15:$EL$15,'2D-Alter-Größe'!K$3,Urlisten!$C$16:$EL$16,'2D-Alter-Größe'!$C30)&gt;0,COUNTIFS(Urlisten!$C$15:$EL$15,'2D-Alter-Größe'!K$3,Urlisten!$C$16:$EL$16,'2D-Alter-Größe'!$C30),"")</f>
        <v/>
      </c>
      <c r="L30" s="342" t="str">
        <f>IF(COUNTIFS(Urlisten!$C$15:$EL$15,'2D-Alter-Größe'!L$3,Urlisten!$C$16:$EL$16,'2D-Alter-Größe'!$C30)&gt;0,COUNTIFS(Urlisten!$C$15:$EL$15,'2D-Alter-Größe'!L$3,Urlisten!$C$16:$EL$16,'2D-Alter-Größe'!$C30),"")</f>
        <v/>
      </c>
      <c r="M30" s="342" t="str">
        <f>IF(COUNTIFS(Urlisten!$C$15:$EL$15,'2D-Alter-Größe'!M$3,Urlisten!$C$16:$EL$16,'2D-Alter-Größe'!$C30)&gt;0,COUNTIFS(Urlisten!$C$15:$EL$15,'2D-Alter-Größe'!M$3,Urlisten!$C$16:$EL$16,'2D-Alter-Größe'!$C30),"")</f>
        <v/>
      </c>
      <c r="N30" s="342" t="str">
        <f>IF(COUNTIFS(Urlisten!$C$15:$EL$15,'2D-Alter-Größe'!N$3,Urlisten!$C$16:$EL$16,'2D-Alter-Größe'!$C30)&gt;0,COUNTIFS(Urlisten!$C$15:$EL$15,'2D-Alter-Größe'!N$3,Urlisten!$C$16:$EL$16,'2D-Alter-Größe'!$C30),"")</f>
        <v/>
      </c>
      <c r="O30" s="342" t="str">
        <f>IF(COUNTIFS(Urlisten!$C$15:$EL$15,'2D-Alter-Größe'!O$3,Urlisten!$C$16:$EL$16,'2D-Alter-Größe'!$C30)&gt;0,COUNTIFS(Urlisten!$C$15:$EL$15,'2D-Alter-Größe'!O$3,Urlisten!$C$16:$EL$16,'2D-Alter-Größe'!$C30),"")</f>
        <v/>
      </c>
      <c r="P30" s="342" t="str">
        <f>IF(COUNTIFS(Urlisten!$C$15:$EL$15,'2D-Alter-Größe'!P$3,Urlisten!$C$16:$EL$16,'2D-Alter-Größe'!$C30)&gt;0,COUNTIFS(Urlisten!$C$15:$EL$15,'2D-Alter-Größe'!P$3,Urlisten!$C$16:$EL$16,'2D-Alter-Größe'!$C30),"")</f>
        <v/>
      </c>
      <c r="Q30" s="342" t="str">
        <f>IF(COUNTIFS(Urlisten!$C$15:$EL$15,'2D-Alter-Größe'!Q$3,Urlisten!$C$16:$EL$16,'2D-Alter-Größe'!$C30)&gt;0,COUNTIFS(Urlisten!$C$15:$EL$15,'2D-Alter-Größe'!Q$3,Urlisten!$C$16:$EL$16,'2D-Alter-Größe'!$C30),"")</f>
        <v/>
      </c>
      <c r="R30" s="342" t="str">
        <f>IF(COUNTIFS(Urlisten!$C$15:$EL$15,'2D-Alter-Größe'!R$3,Urlisten!$C$16:$EL$16,'2D-Alter-Größe'!$C30)&gt;0,COUNTIFS(Urlisten!$C$15:$EL$15,'2D-Alter-Größe'!R$3,Urlisten!$C$16:$EL$16,'2D-Alter-Größe'!$C30),"")</f>
        <v/>
      </c>
      <c r="S30" s="342" t="str">
        <f>IF(COUNTIFS(Urlisten!$C$15:$EL$15,'2D-Alter-Größe'!S$3,Urlisten!$C$16:$EL$16,'2D-Alter-Größe'!$C30)&gt;0,COUNTIFS(Urlisten!$C$15:$EL$15,'2D-Alter-Größe'!S$3,Urlisten!$C$16:$EL$16,'2D-Alter-Größe'!$C30),"")</f>
        <v/>
      </c>
      <c r="T30" s="342" t="str">
        <f>IF(COUNTIFS(Urlisten!$C$15:$EL$15,'2D-Alter-Größe'!T$3,Urlisten!$C$16:$EL$16,'2D-Alter-Größe'!$C30)&gt;0,COUNTIFS(Urlisten!$C$15:$EL$15,'2D-Alter-Größe'!T$3,Urlisten!$C$16:$EL$16,'2D-Alter-Größe'!$C30),"")</f>
        <v/>
      </c>
      <c r="U30" s="342" t="str">
        <f>IF(COUNTIFS(Urlisten!$C$15:$EL$15,'2D-Alter-Größe'!U$3,Urlisten!$C$16:$EL$16,'2D-Alter-Größe'!$C30)&gt;0,COUNTIFS(Urlisten!$C$15:$EL$15,'2D-Alter-Größe'!U$3,Urlisten!$C$16:$EL$16,'2D-Alter-Größe'!$C30),"")</f>
        <v/>
      </c>
      <c r="V30" s="342" t="str">
        <f>IF(COUNTIFS(Urlisten!$C$15:$EL$15,'2D-Alter-Größe'!V$3,Urlisten!$C$16:$EL$16,'2D-Alter-Größe'!$C30)&gt;0,COUNTIFS(Urlisten!$C$15:$EL$15,'2D-Alter-Größe'!V$3,Urlisten!$C$16:$EL$16,'2D-Alter-Größe'!$C30),"")</f>
        <v/>
      </c>
      <c r="W30" s="342" t="str">
        <f>IF(COUNTIFS(Urlisten!$C$15:$EL$15,'2D-Alter-Größe'!W$3,Urlisten!$C$16:$EL$16,'2D-Alter-Größe'!$C30)&gt;0,COUNTIFS(Urlisten!$C$15:$EL$15,'2D-Alter-Größe'!W$3,Urlisten!$C$16:$EL$16,'2D-Alter-Größe'!$C30),"")</f>
        <v/>
      </c>
      <c r="X30" s="342" t="str">
        <f>IF(COUNTIFS(Urlisten!$C$15:$EL$15,'2D-Alter-Größe'!X$3,Urlisten!$C$16:$EL$16,'2D-Alter-Größe'!$C30)&gt;0,COUNTIFS(Urlisten!$C$15:$EL$15,'2D-Alter-Größe'!X$3,Urlisten!$C$16:$EL$16,'2D-Alter-Größe'!$C30),"")</f>
        <v/>
      </c>
      <c r="Y30" s="342" t="str">
        <f>IF(COUNTIFS(Urlisten!$C$15:$EL$15,'2D-Alter-Größe'!Y$3,Urlisten!$C$16:$EL$16,'2D-Alter-Größe'!$C30)&gt;0,COUNTIFS(Urlisten!$C$15:$EL$15,'2D-Alter-Größe'!Y$3,Urlisten!$C$16:$EL$16,'2D-Alter-Größe'!$C30),"")</f>
        <v/>
      </c>
      <c r="Z30" s="342" t="str">
        <f>IF(COUNTIFS(Urlisten!$C$15:$EL$15,'2D-Alter-Größe'!Z$3,Urlisten!$C$16:$EL$16,'2D-Alter-Größe'!$C30)&gt;0,COUNTIFS(Urlisten!$C$15:$EL$15,'2D-Alter-Größe'!Z$3,Urlisten!$C$16:$EL$16,'2D-Alter-Größe'!$C30),"")</f>
        <v/>
      </c>
      <c r="AA30" s="342" t="str">
        <f>IF(COUNTIFS(Urlisten!$C$15:$EL$15,'2D-Alter-Größe'!AA$3,Urlisten!$C$16:$EL$16,'2D-Alter-Größe'!$C30)&gt;0,COUNTIFS(Urlisten!$C$15:$EL$15,'2D-Alter-Größe'!AA$3,Urlisten!$C$16:$EL$16,'2D-Alter-Größe'!$C30),"")</f>
        <v/>
      </c>
      <c r="AB30" s="349" t="str">
        <f>IF(COUNTIFS(Urlisten!$C$15:$EL$15,'2D-Alter-Größe'!AB$3,Urlisten!$C$16:$EL$16,'2D-Alter-Größe'!$C30)&gt;0,COUNTIFS(Urlisten!$C$15:$EL$15,'2D-Alter-Größe'!AB$3,Urlisten!$C$16:$EL$16,'2D-Alter-Größe'!$C30),"")</f>
        <v/>
      </c>
      <c r="AC30" s="361" t="str">
        <f t="shared" si="1"/>
        <v/>
      </c>
      <c r="AD30" s="758"/>
    </row>
    <row r="31" spans="1:30" x14ac:dyDescent="0.25">
      <c r="A31" s="6"/>
      <c r="B31" s="767"/>
      <c r="C31" s="502">
        <f t="shared" si="2"/>
        <v>182</v>
      </c>
      <c r="D31" s="343" t="str">
        <f>IF(COUNTIFS(Urlisten!$C$15:$EL$15,'2D-Alter-Größe'!D$3,Urlisten!$C$16:$EL$16,'2D-Alter-Größe'!$C31)&gt;0,COUNTIFS(Urlisten!$C$15:$EL$15,'2D-Alter-Größe'!D$3,Urlisten!$C$16:$EL$16,'2D-Alter-Größe'!$C31),"")</f>
        <v/>
      </c>
      <c r="E31" s="342">
        <f>IF(COUNTIFS(Urlisten!$C$15:$EL$15,'2D-Alter-Größe'!E$3,Urlisten!$C$16:$EL$16,'2D-Alter-Größe'!$C31)&gt;0,COUNTIFS(Urlisten!$C$15:$EL$15,'2D-Alter-Größe'!E$3,Urlisten!$C$16:$EL$16,'2D-Alter-Größe'!$C31),"")</f>
        <v>1</v>
      </c>
      <c r="F31" s="342">
        <f>IF(COUNTIFS(Urlisten!$C$15:$EL$15,'2D-Alter-Größe'!F$3,Urlisten!$C$16:$EL$16,'2D-Alter-Größe'!$C31)&gt;0,COUNTIFS(Urlisten!$C$15:$EL$15,'2D-Alter-Größe'!F$3,Urlisten!$C$16:$EL$16,'2D-Alter-Größe'!$C31),"")</f>
        <v>1</v>
      </c>
      <c r="G31" s="342" t="str">
        <f>IF(COUNTIFS(Urlisten!$C$15:$EL$15,'2D-Alter-Größe'!G$3,Urlisten!$C$16:$EL$16,'2D-Alter-Größe'!$C31)&gt;0,COUNTIFS(Urlisten!$C$15:$EL$15,'2D-Alter-Größe'!G$3,Urlisten!$C$16:$EL$16,'2D-Alter-Größe'!$C31),"")</f>
        <v/>
      </c>
      <c r="H31" s="342" t="str">
        <f>IF(COUNTIFS(Urlisten!$C$15:$EL$15,'2D-Alter-Größe'!H$3,Urlisten!$C$16:$EL$16,'2D-Alter-Größe'!$C31)&gt;0,COUNTIFS(Urlisten!$C$15:$EL$15,'2D-Alter-Größe'!H$3,Urlisten!$C$16:$EL$16,'2D-Alter-Größe'!$C31),"")</f>
        <v/>
      </c>
      <c r="I31" s="342" t="str">
        <f>IF(COUNTIFS(Urlisten!$C$15:$EL$15,'2D-Alter-Größe'!I$3,Urlisten!$C$16:$EL$16,'2D-Alter-Größe'!$C31)&gt;0,COUNTIFS(Urlisten!$C$15:$EL$15,'2D-Alter-Größe'!I$3,Urlisten!$C$16:$EL$16,'2D-Alter-Größe'!$C31),"")</f>
        <v/>
      </c>
      <c r="J31" s="342">
        <f>IF(COUNTIFS(Urlisten!$C$15:$EL$15,'2D-Alter-Größe'!J$3,Urlisten!$C$16:$EL$16,'2D-Alter-Größe'!$C31)&gt;0,COUNTIFS(Urlisten!$C$15:$EL$15,'2D-Alter-Größe'!J$3,Urlisten!$C$16:$EL$16,'2D-Alter-Größe'!$C31),"")</f>
        <v>2</v>
      </c>
      <c r="K31" s="342" t="str">
        <f>IF(COUNTIFS(Urlisten!$C$15:$EL$15,'2D-Alter-Größe'!K$3,Urlisten!$C$16:$EL$16,'2D-Alter-Größe'!$C31)&gt;0,COUNTIFS(Urlisten!$C$15:$EL$15,'2D-Alter-Größe'!K$3,Urlisten!$C$16:$EL$16,'2D-Alter-Größe'!$C31),"")</f>
        <v/>
      </c>
      <c r="L31" s="342">
        <f>IF(COUNTIFS(Urlisten!$C$15:$EL$15,'2D-Alter-Größe'!L$3,Urlisten!$C$16:$EL$16,'2D-Alter-Größe'!$C31)&gt;0,COUNTIFS(Urlisten!$C$15:$EL$15,'2D-Alter-Größe'!L$3,Urlisten!$C$16:$EL$16,'2D-Alter-Größe'!$C31),"")</f>
        <v>1</v>
      </c>
      <c r="M31" s="342" t="str">
        <f>IF(COUNTIFS(Urlisten!$C$15:$EL$15,'2D-Alter-Größe'!M$3,Urlisten!$C$16:$EL$16,'2D-Alter-Größe'!$C31)&gt;0,COUNTIFS(Urlisten!$C$15:$EL$15,'2D-Alter-Größe'!M$3,Urlisten!$C$16:$EL$16,'2D-Alter-Größe'!$C31),"")</f>
        <v/>
      </c>
      <c r="N31" s="342" t="str">
        <f>IF(COUNTIFS(Urlisten!$C$15:$EL$15,'2D-Alter-Größe'!N$3,Urlisten!$C$16:$EL$16,'2D-Alter-Größe'!$C31)&gt;0,COUNTIFS(Urlisten!$C$15:$EL$15,'2D-Alter-Größe'!N$3,Urlisten!$C$16:$EL$16,'2D-Alter-Größe'!$C31),"")</f>
        <v/>
      </c>
      <c r="O31" s="342" t="str">
        <f>IF(COUNTIFS(Urlisten!$C$15:$EL$15,'2D-Alter-Größe'!O$3,Urlisten!$C$16:$EL$16,'2D-Alter-Größe'!$C31)&gt;0,COUNTIFS(Urlisten!$C$15:$EL$15,'2D-Alter-Größe'!O$3,Urlisten!$C$16:$EL$16,'2D-Alter-Größe'!$C31),"")</f>
        <v/>
      </c>
      <c r="P31" s="342" t="str">
        <f>IF(COUNTIFS(Urlisten!$C$15:$EL$15,'2D-Alter-Größe'!P$3,Urlisten!$C$16:$EL$16,'2D-Alter-Größe'!$C31)&gt;0,COUNTIFS(Urlisten!$C$15:$EL$15,'2D-Alter-Größe'!P$3,Urlisten!$C$16:$EL$16,'2D-Alter-Größe'!$C31),"")</f>
        <v/>
      </c>
      <c r="Q31" s="342" t="str">
        <f>IF(COUNTIFS(Urlisten!$C$15:$EL$15,'2D-Alter-Größe'!Q$3,Urlisten!$C$16:$EL$16,'2D-Alter-Größe'!$C31)&gt;0,COUNTIFS(Urlisten!$C$15:$EL$15,'2D-Alter-Größe'!Q$3,Urlisten!$C$16:$EL$16,'2D-Alter-Größe'!$C31),"")</f>
        <v/>
      </c>
      <c r="R31" s="342" t="str">
        <f>IF(COUNTIFS(Urlisten!$C$15:$EL$15,'2D-Alter-Größe'!R$3,Urlisten!$C$16:$EL$16,'2D-Alter-Größe'!$C31)&gt;0,COUNTIFS(Urlisten!$C$15:$EL$15,'2D-Alter-Größe'!R$3,Urlisten!$C$16:$EL$16,'2D-Alter-Größe'!$C31),"")</f>
        <v/>
      </c>
      <c r="S31" s="342" t="str">
        <f>IF(COUNTIFS(Urlisten!$C$15:$EL$15,'2D-Alter-Größe'!S$3,Urlisten!$C$16:$EL$16,'2D-Alter-Größe'!$C31)&gt;0,COUNTIFS(Urlisten!$C$15:$EL$15,'2D-Alter-Größe'!S$3,Urlisten!$C$16:$EL$16,'2D-Alter-Größe'!$C31),"")</f>
        <v/>
      </c>
      <c r="T31" s="342" t="str">
        <f>IF(COUNTIFS(Urlisten!$C$15:$EL$15,'2D-Alter-Größe'!T$3,Urlisten!$C$16:$EL$16,'2D-Alter-Größe'!$C31)&gt;0,COUNTIFS(Urlisten!$C$15:$EL$15,'2D-Alter-Größe'!T$3,Urlisten!$C$16:$EL$16,'2D-Alter-Größe'!$C31),"")</f>
        <v/>
      </c>
      <c r="U31" s="342" t="str">
        <f>IF(COUNTIFS(Urlisten!$C$15:$EL$15,'2D-Alter-Größe'!U$3,Urlisten!$C$16:$EL$16,'2D-Alter-Größe'!$C31)&gt;0,COUNTIFS(Urlisten!$C$15:$EL$15,'2D-Alter-Größe'!U$3,Urlisten!$C$16:$EL$16,'2D-Alter-Größe'!$C31),"")</f>
        <v/>
      </c>
      <c r="V31" s="342" t="str">
        <f>IF(COUNTIFS(Urlisten!$C$15:$EL$15,'2D-Alter-Größe'!V$3,Urlisten!$C$16:$EL$16,'2D-Alter-Größe'!$C31)&gt;0,COUNTIFS(Urlisten!$C$15:$EL$15,'2D-Alter-Größe'!V$3,Urlisten!$C$16:$EL$16,'2D-Alter-Größe'!$C31),"")</f>
        <v/>
      </c>
      <c r="W31" s="342" t="str">
        <f>IF(COUNTIFS(Urlisten!$C$15:$EL$15,'2D-Alter-Größe'!W$3,Urlisten!$C$16:$EL$16,'2D-Alter-Größe'!$C31)&gt;0,COUNTIFS(Urlisten!$C$15:$EL$15,'2D-Alter-Größe'!W$3,Urlisten!$C$16:$EL$16,'2D-Alter-Größe'!$C31),"")</f>
        <v/>
      </c>
      <c r="X31" s="342" t="str">
        <f>IF(COUNTIFS(Urlisten!$C$15:$EL$15,'2D-Alter-Größe'!X$3,Urlisten!$C$16:$EL$16,'2D-Alter-Größe'!$C31)&gt;0,COUNTIFS(Urlisten!$C$15:$EL$15,'2D-Alter-Größe'!X$3,Urlisten!$C$16:$EL$16,'2D-Alter-Größe'!$C31),"")</f>
        <v/>
      </c>
      <c r="Y31" s="342" t="str">
        <f>IF(COUNTIFS(Urlisten!$C$15:$EL$15,'2D-Alter-Größe'!Y$3,Urlisten!$C$16:$EL$16,'2D-Alter-Größe'!$C31)&gt;0,COUNTIFS(Urlisten!$C$15:$EL$15,'2D-Alter-Größe'!Y$3,Urlisten!$C$16:$EL$16,'2D-Alter-Größe'!$C31),"")</f>
        <v/>
      </c>
      <c r="Z31" s="342" t="str">
        <f>IF(COUNTIFS(Urlisten!$C$15:$EL$15,'2D-Alter-Größe'!Z$3,Urlisten!$C$16:$EL$16,'2D-Alter-Größe'!$C31)&gt;0,COUNTIFS(Urlisten!$C$15:$EL$15,'2D-Alter-Größe'!Z$3,Urlisten!$C$16:$EL$16,'2D-Alter-Größe'!$C31),"")</f>
        <v/>
      </c>
      <c r="AA31" s="342" t="str">
        <f>IF(COUNTIFS(Urlisten!$C$15:$EL$15,'2D-Alter-Größe'!AA$3,Urlisten!$C$16:$EL$16,'2D-Alter-Größe'!$C31)&gt;0,COUNTIFS(Urlisten!$C$15:$EL$15,'2D-Alter-Größe'!AA$3,Urlisten!$C$16:$EL$16,'2D-Alter-Größe'!$C31),"")</f>
        <v/>
      </c>
      <c r="AB31" s="349" t="str">
        <f>IF(COUNTIFS(Urlisten!$C$15:$EL$15,'2D-Alter-Größe'!AB$3,Urlisten!$C$16:$EL$16,'2D-Alter-Größe'!$C31)&gt;0,COUNTIFS(Urlisten!$C$15:$EL$15,'2D-Alter-Größe'!AB$3,Urlisten!$C$16:$EL$16,'2D-Alter-Größe'!$C31),"")</f>
        <v/>
      </c>
      <c r="AC31" s="361">
        <f t="shared" si="1"/>
        <v>5</v>
      </c>
      <c r="AD31" s="758"/>
    </row>
    <row r="32" spans="1:30" x14ac:dyDescent="0.25">
      <c r="A32" s="6"/>
      <c r="B32" s="767"/>
      <c r="C32" s="502">
        <f t="shared" si="2"/>
        <v>183</v>
      </c>
      <c r="D32" s="343" t="str">
        <f>IF(COUNTIFS(Urlisten!$C$15:$EL$15,'2D-Alter-Größe'!D$3,Urlisten!$C$16:$EL$16,'2D-Alter-Größe'!$C32)&gt;0,COUNTIFS(Urlisten!$C$15:$EL$15,'2D-Alter-Größe'!D$3,Urlisten!$C$16:$EL$16,'2D-Alter-Größe'!$C32),"")</f>
        <v/>
      </c>
      <c r="E32" s="342" t="str">
        <f>IF(COUNTIFS(Urlisten!$C$15:$EL$15,'2D-Alter-Größe'!E$3,Urlisten!$C$16:$EL$16,'2D-Alter-Größe'!$C32)&gt;0,COUNTIFS(Urlisten!$C$15:$EL$15,'2D-Alter-Größe'!E$3,Urlisten!$C$16:$EL$16,'2D-Alter-Größe'!$C32),"")</f>
        <v/>
      </c>
      <c r="F32" s="342">
        <f>IF(COUNTIFS(Urlisten!$C$15:$EL$15,'2D-Alter-Größe'!F$3,Urlisten!$C$16:$EL$16,'2D-Alter-Größe'!$C32)&gt;0,COUNTIFS(Urlisten!$C$15:$EL$15,'2D-Alter-Größe'!F$3,Urlisten!$C$16:$EL$16,'2D-Alter-Größe'!$C32),"")</f>
        <v>2</v>
      </c>
      <c r="G32" s="342" t="str">
        <f>IF(COUNTIFS(Urlisten!$C$15:$EL$15,'2D-Alter-Größe'!G$3,Urlisten!$C$16:$EL$16,'2D-Alter-Größe'!$C32)&gt;0,COUNTIFS(Urlisten!$C$15:$EL$15,'2D-Alter-Größe'!G$3,Urlisten!$C$16:$EL$16,'2D-Alter-Größe'!$C32),"")</f>
        <v/>
      </c>
      <c r="H32" s="342" t="str">
        <f>IF(COUNTIFS(Urlisten!$C$15:$EL$15,'2D-Alter-Größe'!H$3,Urlisten!$C$16:$EL$16,'2D-Alter-Größe'!$C32)&gt;0,COUNTIFS(Urlisten!$C$15:$EL$15,'2D-Alter-Größe'!H$3,Urlisten!$C$16:$EL$16,'2D-Alter-Größe'!$C32),"")</f>
        <v/>
      </c>
      <c r="I32" s="342" t="str">
        <f>IF(COUNTIFS(Urlisten!$C$15:$EL$15,'2D-Alter-Größe'!I$3,Urlisten!$C$16:$EL$16,'2D-Alter-Größe'!$C32)&gt;0,COUNTIFS(Urlisten!$C$15:$EL$15,'2D-Alter-Größe'!I$3,Urlisten!$C$16:$EL$16,'2D-Alter-Größe'!$C32),"")</f>
        <v/>
      </c>
      <c r="J32" s="342">
        <f>IF(COUNTIFS(Urlisten!$C$15:$EL$15,'2D-Alter-Größe'!J$3,Urlisten!$C$16:$EL$16,'2D-Alter-Größe'!$C32)&gt;0,COUNTIFS(Urlisten!$C$15:$EL$15,'2D-Alter-Größe'!J$3,Urlisten!$C$16:$EL$16,'2D-Alter-Größe'!$C32),"")</f>
        <v>1</v>
      </c>
      <c r="K32" s="342">
        <f>IF(COUNTIFS(Urlisten!$C$15:$EL$15,'2D-Alter-Größe'!K$3,Urlisten!$C$16:$EL$16,'2D-Alter-Größe'!$C32)&gt;0,COUNTIFS(Urlisten!$C$15:$EL$15,'2D-Alter-Größe'!K$3,Urlisten!$C$16:$EL$16,'2D-Alter-Größe'!$C32),"")</f>
        <v>1</v>
      </c>
      <c r="L32" s="342" t="str">
        <f>IF(COUNTIFS(Urlisten!$C$15:$EL$15,'2D-Alter-Größe'!L$3,Urlisten!$C$16:$EL$16,'2D-Alter-Größe'!$C32)&gt;0,COUNTIFS(Urlisten!$C$15:$EL$15,'2D-Alter-Größe'!L$3,Urlisten!$C$16:$EL$16,'2D-Alter-Größe'!$C32),"")</f>
        <v/>
      </c>
      <c r="M32" s="342" t="str">
        <f>IF(COUNTIFS(Urlisten!$C$15:$EL$15,'2D-Alter-Größe'!M$3,Urlisten!$C$16:$EL$16,'2D-Alter-Größe'!$C32)&gt;0,COUNTIFS(Urlisten!$C$15:$EL$15,'2D-Alter-Größe'!M$3,Urlisten!$C$16:$EL$16,'2D-Alter-Größe'!$C32),"")</f>
        <v/>
      </c>
      <c r="N32" s="342" t="str">
        <f>IF(COUNTIFS(Urlisten!$C$15:$EL$15,'2D-Alter-Größe'!N$3,Urlisten!$C$16:$EL$16,'2D-Alter-Größe'!$C32)&gt;0,COUNTIFS(Urlisten!$C$15:$EL$15,'2D-Alter-Größe'!N$3,Urlisten!$C$16:$EL$16,'2D-Alter-Größe'!$C32),"")</f>
        <v/>
      </c>
      <c r="O32" s="342" t="str">
        <f>IF(COUNTIFS(Urlisten!$C$15:$EL$15,'2D-Alter-Größe'!O$3,Urlisten!$C$16:$EL$16,'2D-Alter-Größe'!$C32)&gt;0,COUNTIFS(Urlisten!$C$15:$EL$15,'2D-Alter-Größe'!O$3,Urlisten!$C$16:$EL$16,'2D-Alter-Größe'!$C32),"")</f>
        <v/>
      </c>
      <c r="P32" s="342" t="str">
        <f>IF(COUNTIFS(Urlisten!$C$15:$EL$15,'2D-Alter-Größe'!P$3,Urlisten!$C$16:$EL$16,'2D-Alter-Größe'!$C32)&gt;0,COUNTIFS(Urlisten!$C$15:$EL$15,'2D-Alter-Größe'!P$3,Urlisten!$C$16:$EL$16,'2D-Alter-Größe'!$C32),"")</f>
        <v/>
      </c>
      <c r="Q32" s="342" t="str">
        <f>IF(COUNTIFS(Urlisten!$C$15:$EL$15,'2D-Alter-Größe'!Q$3,Urlisten!$C$16:$EL$16,'2D-Alter-Größe'!$C32)&gt;0,COUNTIFS(Urlisten!$C$15:$EL$15,'2D-Alter-Größe'!Q$3,Urlisten!$C$16:$EL$16,'2D-Alter-Größe'!$C32),"")</f>
        <v/>
      </c>
      <c r="R32" s="342" t="str">
        <f>IF(COUNTIFS(Urlisten!$C$15:$EL$15,'2D-Alter-Größe'!R$3,Urlisten!$C$16:$EL$16,'2D-Alter-Größe'!$C32)&gt;0,COUNTIFS(Urlisten!$C$15:$EL$15,'2D-Alter-Größe'!R$3,Urlisten!$C$16:$EL$16,'2D-Alter-Größe'!$C32),"")</f>
        <v/>
      </c>
      <c r="S32" s="342" t="str">
        <f>IF(COUNTIFS(Urlisten!$C$15:$EL$15,'2D-Alter-Größe'!S$3,Urlisten!$C$16:$EL$16,'2D-Alter-Größe'!$C32)&gt;0,COUNTIFS(Urlisten!$C$15:$EL$15,'2D-Alter-Größe'!S$3,Urlisten!$C$16:$EL$16,'2D-Alter-Größe'!$C32),"")</f>
        <v/>
      </c>
      <c r="T32" s="342" t="str">
        <f>IF(COUNTIFS(Urlisten!$C$15:$EL$15,'2D-Alter-Größe'!T$3,Urlisten!$C$16:$EL$16,'2D-Alter-Größe'!$C32)&gt;0,COUNTIFS(Urlisten!$C$15:$EL$15,'2D-Alter-Größe'!T$3,Urlisten!$C$16:$EL$16,'2D-Alter-Größe'!$C32),"")</f>
        <v/>
      </c>
      <c r="U32" s="342" t="str">
        <f>IF(COUNTIFS(Urlisten!$C$15:$EL$15,'2D-Alter-Größe'!U$3,Urlisten!$C$16:$EL$16,'2D-Alter-Größe'!$C32)&gt;0,COUNTIFS(Urlisten!$C$15:$EL$15,'2D-Alter-Größe'!U$3,Urlisten!$C$16:$EL$16,'2D-Alter-Größe'!$C32),"")</f>
        <v/>
      </c>
      <c r="V32" s="342" t="str">
        <f>IF(COUNTIFS(Urlisten!$C$15:$EL$15,'2D-Alter-Größe'!V$3,Urlisten!$C$16:$EL$16,'2D-Alter-Größe'!$C32)&gt;0,COUNTIFS(Urlisten!$C$15:$EL$15,'2D-Alter-Größe'!V$3,Urlisten!$C$16:$EL$16,'2D-Alter-Größe'!$C32),"")</f>
        <v/>
      </c>
      <c r="W32" s="342" t="str">
        <f>IF(COUNTIFS(Urlisten!$C$15:$EL$15,'2D-Alter-Größe'!W$3,Urlisten!$C$16:$EL$16,'2D-Alter-Größe'!$C32)&gt;0,COUNTIFS(Urlisten!$C$15:$EL$15,'2D-Alter-Größe'!W$3,Urlisten!$C$16:$EL$16,'2D-Alter-Größe'!$C32),"")</f>
        <v/>
      </c>
      <c r="X32" s="342" t="str">
        <f>IF(COUNTIFS(Urlisten!$C$15:$EL$15,'2D-Alter-Größe'!X$3,Urlisten!$C$16:$EL$16,'2D-Alter-Größe'!$C32)&gt;0,COUNTIFS(Urlisten!$C$15:$EL$15,'2D-Alter-Größe'!X$3,Urlisten!$C$16:$EL$16,'2D-Alter-Größe'!$C32),"")</f>
        <v/>
      </c>
      <c r="Y32" s="342" t="str">
        <f>IF(COUNTIFS(Urlisten!$C$15:$EL$15,'2D-Alter-Größe'!Y$3,Urlisten!$C$16:$EL$16,'2D-Alter-Größe'!$C32)&gt;0,COUNTIFS(Urlisten!$C$15:$EL$15,'2D-Alter-Größe'!Y$3,Urlisten!$C$16:$EL$16,'2D-Alter-Größe'!$C32),"")</f>
        <v/>
      </c>
      <c r="Z32" s="342" t="str">
        <f>IF(COUNTIFS(Urlisten!$C$15:$EL$15,'2D-Alter-Größe'!Z$3,Urlisten!$C$16:$EL$16,'2D-Alter-Größe'!$C32)&gt;0,COUNTIFS(Urlisten!$C$15:$EL$15,'2D-Alter-Größe'!Z$3,Urlisten!$C$16:$EL$16,'2D-Alter-Größe'!$C32),"")</f>
        <v/>
      </c>
      <c r="AA32" s="342" t="str">
        <f>IF(COUNTIFS(Urlisten!$C$15:$EL$15,'2D-Alter-Größe'!AA$3,Urlisten!$C$16:$EL$16,'2D-Alter-Größe'!$C32)&gt;0,COUNTIFS(Urlisten!$C$15:$EL$15,'2D-Alter-Größe'!AA$3,Urlisten!$C$16:$EL$16,'2D-Alter-Größe'!$C32),"")</f>
        <v/>
      </c>
      <c r="AB32" s="349" t="str">
        <f>IF(COUNTIFS(Urlisten!$C$15:$EL$15,'2D-Alter-Größe'!AB$3,Urlisten!$C$16:$EL$16,'2D-Alter-Größe'!$C32)&gt;0,COUNTIFS(Urlisten!$C$15:$EL$15,'2D-Alter-Größe'!AB$3,Urlisten!$C$16:$EL$16,'2D-Alter-Größe'!$C32),"")</f>
        <v/>
      </c>
      <c r="AC32" s="361">
        <f t="shared" si="1"/>
        <v>4</v>
      </c>
      <c r="AD32" s="758"/>
    </row>
    <row r="33" spans="1:30" x14ac:dyDescent="0.25">
      <c r="B33" s="767"/>
      <c r="C33" s="502">
        <f t="shared" si="2"/>
        <v>184</v>
      </c>
      <c r="D33" s="343" t="str">
        <f>IF(COUNTIFS(Urlisten!$C$15:$EL$15,'2D-Alter-Größe'!D$3,Urlisten!$C$16:$EL$16,'2D-Alter-Größe'!$C33)&gt;0,COUNTIFS(Urlisten!$C$15:$EL$15,'2D-Alter-Größe'!D$3,Urlisten!$C$16:$EL$16,'2D-Alter-Größe'!$C33),"")</f>
        <v/>
      </c>
      <c r="E33" s="342" t="str">
        <f>IF(COUNTIFS(Urlisten!$C$15:$EL$15,'2D-Alter-Größe'!E$3,Urlisten!$C$16:$EL$16,'2D-Alter-Größe'!$C33)&gt;0,COUNTIFS(Urlisten!$C$15:$EL$15,'2D-Alter-Größe'!E$3,Urlisten!$C$16:$EL$16,'2D-Alter-Größe'!$C33),"")</f>
        <v/>
      </c>
      <c r="F33" s="342" t="str">
        <f>IF(COUNTIFS(Urlisten!$C$15:$EL$15,'2D-Alter-Größe'!F$3,Urlisten!$C$16:$EL$16,'2D-Alter-Größe'!$C33)&gt;0,COUNTIFS(Urlisten!$C$15:$EL$15,'2D-Alter-Größe'!F$3,Urlisten!$C$16:$EL$16,'2D-Alter-Größe'!$C33),"")</f>
        <v/>
      </c>
      <c r="G33" s="342">
        <f>IF(COUNTIFS(Urlisten!$C$15:$EL$15,'2D-Alter-Größe'!G$3,Urlisten!$C$16:$EL$16,'2D-Alter-Größe'!$C33)&gt;0,COUNTIFS(Urlisten!$C$15:$EL$15,'2D-Alter-Größe'!G$3,Urlisten!$C$16:$EL$16,'2D-Alter-Größe'!$C33),"")</f>
        <v>1</v>
      </c>
      <c r="H33" s="342">
        <f>IF(COUNTIFS(Urlisten!$C$15:$EL$15,'2D-Alter-Größe'!H$3,Urlisten!$C$16:$EL$16,'2D-Alter-Größe'!$C33)&gt;0,COUNTIFS(Urlisten!$C$15:$EL$15,'2D-Alter-Größe'!H$3,Urlisten!$C$16:$EL$16,'2D-Alter-Größe'!$C33),"")</f>
        <v>1</v>
      </c>
      <c r="I33" s="342" t="str">
        <f>IF(COUNTIFS(Urlisten!$C$15:$EL$15,'2D-Alter-Größe'!I$3,Urlisten!$C$16:$EL$16,'2D-Alter-Größe'!$C33)&gt;0,COUNTIFS(Urlisten!$C$15:$EL$15,'2D-Alter-Größe'!I$3,Urlisten!$C$16:$EL$16,'2D-Alter-Größe'!$C33),"")</f>
        <v/>
      </c>
      <c r="J33" s="342" t="str">
        <f>IF(COUNTIFS(Urlisten!$C$15:$EL$15,'2D-Alter-Größe'!J$3,Urlisten!$C$16:$EL$16,'2D-Alter-Größe'!$C33)&gt;0,COUNTIFS(Urlisten!$C$15:$EL$15,'2D-Alter-Größe'!J$3,Urlisten!$C$16:$EL$16,'2D-Alter-Größe'!$C33),"")</f>
        <v/>
      </c>
      <c r="K33" s="342" t="str">
        <f>IF(COUNTIFS(Urlisten!$C$15:$EL$15,'2D-Alter-Größe'!K$3,Urlisten!$C$16:$EL$16,'2D-Alter-Größe'!$C33)&gt;0,COUNTIFS(Urlisten!$C$15:$EL$15,'2D-Alter-Größe'!K$3,Urlisten!$C$16:$EL$16,'2D-Alter-Größe'!$C33),"")</f>
        <v/>
      </c>
      <c r="L33" s="342">
        <f>IF(COUNTIFS(Urlisten!$C$15:$EL$15,'2D-Alter-Größe'!L$3,Urlisten!$C$16:$EL$16,'2D-Alter-Größe'!$C33)&gt;0,COUNTIFS(Urlisten!$C$15:$EL$15,'2D-Alter-Größe'!L$3,Urlisten!$C$16:$EL$16,'2D-Alter-Größe'!$C33),"")</f>
        <v>1</v>
      </c>
      <c r="M33" s="342" t="str">
        <f>IF(COUNTIFS(Urlisten!$C$15:$EL$15,'2D-Alter-Größe'!M$3,Urlisten!$C$16:$EL$16,'2D-Alter-Größe'!$C33)&gt;0,COUNTIFS(Urlisten!$C$15:$EL$15,'2D-Alter-Größe'!M$3,Urlisten!$C$16:$EL$16,'2D-Alter-Größe'!$C33),"")</f>
        <v/>
      </c>
      <c r="N33" s="342" t="str">
        <f>IF(COUNTIFS(Urlisten!$C$15:$EL$15,'2D-Alter-Größe'!N$3,Urlisten!$C$16:$EL$16,'2D-Alter-Größe'!$C33)&gt;0,COUNTIFS(Urlisten!$C$15:$EL$15,'2D-Alter-Größe'!N$3,Urlisten!$C$16:$EL$16,'2D-Alter-Größe'!$C33),"")</f>
        <v/>
      </c>
      <c r="O33" s="342" t="str">
        <f>IF(COUNTIFS(Urlisten!$C$15:$EL$15,'2D-Alter-Größe'!O$3,Urlisten!$C$16:$EL$16,'2D-Alter-Größe'!$C33)&gt;0,COUNTIFS(Urlisten!$C$15:$EL$15,'2D-Alter-Größe'!O$3,Urlisten!$C$16:$EL$16,'2D-Alter-Größe'!$C33),"")</f>
        <v/>
      </c>
      <c r="P33" s="342" t="str">
        <f>IF(COUNTIFS(Urlisten!$C$15:$EL$15,'2D-Alter-Größe'!P$3,Urlisten!$C$16:$EL$16,'2D-Alter-Größe'!$C33)&gt;0,COUNTIFS(Urlisten!$C$15:$EL$15,'2D-Alter-Größe'!P$3,Urlisten!$C$16:$EL$16,'2D-Alter-Größe'!$C33),"")</f>
        <v/>
      </c>
      <c r="Q33" s="342" t="str">
        <f>IF(COUNTIFS(Urlisten!$C$15:$EL$15,'2D-Alter-Größe'!Q$3,Urlisten!$C$16:$EL$16,'2D-Alter-Größe'!$C33)&gt;0,COUNTIFS(Urlisten!$C$15:$EL$15,'2D-Alter-Größe'!Q$3,Urlisten!$C$16:$EL$16,'2D-Alter-Größe'!$C33),"")</f>
        <v/>
      </c>
      <c r="R33" s="342" t="str">
        <f>IF(COUNTIFS(Urlisten!$C$15:$EL$15,'2D-Alter-Größe'!R$3,Urlisten!$C$16:$EL$16,'2D-Alter-Größe'!$C33)&gt;0,COUNTIFS(Urlisten!$C$15:$EL$15,'2D-Alter-Größe'!R$3,Urlisten!$C$16:$EL$16,'2D-Alter-Größe'!$C33),"")</f>
        <v/>
      </c>
      <c r="S33" s="342" t="str">
        <f>IF(COUNTIFS(Urlisten!$C$15:$EL$15,'2D-Alter-Größe'!S$3,Urlisten!$C$16:$EL$16,'2D-Alter-Größe'!$C33)&gt;0,COUNTIFS(Urlisten!$C$15:$EL$15,'2D-Alter-Größe'!S$3,Urlisten!$C$16:$EL$16,'2D-Alter-Größe'!$C33),"")</f>
        <v/>
      </c>
      <c r="T33" s="342" t="str">
        <f>IF(COUNTIFS(Urlisten!$C$15:$EL$15,'2D-Alter-Größe'!T$3,Urlisten!$C$16:$EL$16,'2D-Alter-Größe'!$C33)&gt;0,COUNTIFS(Urlisten!$C$15:$EL$15,'2D-Alter-Größe'!T$3,Urlisten!$C$16:$EL$16,'2D-Alter-Größe'!$C33),"")</f>
        <v/>
      </c>
      <c r="U33" s="342" t="str">
        <f>IF(COUNTIFS(Urlisten!$C$15:$EL$15,'2D-Alter-Größe'!U$3,Urlisten!$C$16:$EL$16,'2D-Alter-Größe'!$C33)&gt;0,COUNTIFS(Urlisten!$C$15:$EL$15,'2D-Alter-Größe'!U$3,Urlisten!$C$16:$EL$16,'2D-Alter-Größe'!$C33),"")</f>
        <v/>
      </c>
      <c r="V33" s="342" t="str">
        <f>IF(COUNTIFS(Urlisten!$C$15:$EL$15,'2D-Alter-Größe'!V$3,Urlisten!$C$16:$EL$16,'2D-Alter-Größe'!$C33)&gt;0,COUNTIFS(Urlisten!$C$15:$EL$15,'2D-Alter-Größe'!V$3,Urlisten!$C$16:$EL$16,'2D-Alter-Größe'!$C33),"")</f>
        <v/>
      </c>
      <c r="W33" s="342" t="str">
        <f>IF(COUNTIFS(Urlisten!$C$15:$EL$15,'2D-Alter-Größe'!W$3,Urlisten!$C$16:$EL$16,'2D-Alter-Größe'!$C33)&gt;0,COUNTIFS(Urlisten!$C$15:$EL$15,'2D-Alter-Größe'!W$3,Urlisten!$C$16:$EL$16,'2D-Alter-Größe'!$C33),"")</f>
        <v/>
      </c>
      <c r="X33" s="342" t="str">
        <f>IF(COUNTIFS(Urlisten!$C$15:$EL$15,'2D-Alter-Größe'!X$3,Urlisten!$C$16:$EL$16,'2D-Alter-Größe'!$C33)&gt;0,COUNTIFS(Urlisten!$C$15:$EL$15,'2D-Alter-Größe'!X$3,Urlisten!$C$16:$EL$16,'2D-Alter-Größe'!$C33),"")</f>
        <v/>
      </c>
      <c r="Y33" s="342" t="str">
        <f>IF(COUNTIFS(Urlisten!$C$15:$EL$15,'2D-Alter-Größe'!Y$3,Urlisten!$C$16:$EL$16,'2D-Alter-Größe'!$C33)&gt;0,COUNTIFS(Urlisten!$C$15:$EL$15,'2D-Alter-Größe'!Y$3,Urlisten!$C$16:$EL$16,'2D-Alter-Größe'!$C33),"")</f>
        <v/>
      </c>
      <c r="Z33" s="342" t="str">
        <f>IF(COUNTIFS(Urlisten!$C$15:$EL$15,'2D-Alter-Größe'!Z$3,Urlisten!$C$16:$EL$16,'2D-Alter-Größe'!$C33)&gt;0,COUNTIFS(Urlisten!$C$15:$EL$15,'2D-Alter-Größe'!Z$3,Urlisten!$C$16:$EL$16,'2D-Alter-Größe'!$C33),"")</f>
        <v/>
      </c>
      <c r="AA33" s="342" t="str">
        <f>IF(COUNTIFS(Urlisten!$C$15:$EL$15,'2D-Alter-Größe'!AA$3,Urlisten!$C$16:$EL$16,'2D-Alter-Größe'!$C33)&gt;0,COUNTIFS(Urlisten!$C$15:$EL$15,'2D-Alter-Größe'!AA$3,Urlisten!$C$16:$EL$16,'2D-Alter-Größe'!$C33),"")</f>
        <v/>
      </c>
      <c r="AB33" s="349" t="str">
        <f>IF(COUNTIFS(Urlisten!$C$15:$EL$15,'2D-Alter-Größe'!AB$3,Urlisten!$C$16:$EL$16,'2D-Alter-Größe'!$C33)&gt;0,COUNTIFS(Urlisten!$C$15:$EL$15,'2D-Alter-Größe'!AB$3,Urlisten!$C$16:$EL$16,'2D-Alter-Größe'!$C33),"")</f>
        <v/>
      </c>
      <c r="AC33" s="361">
        <f t="shared" si="1"/>
        <v>3</v>
      </c>
      <c r="AD33" s="758"/>
    </row>
    <row r="34" spans="1:30" ht="15" customHeight="1" x14ac:dyDescent="0.25">
      <c r="B34" s="767"/>
      <c r="C34" s="502">
        <f>C33+1</f>
        <v>185</v>
      </c>
      <c r="D34" s="343" t="str">
        <f>IF(COUNTIFS(Urlisten!$C$15:$EL$15,'2D-Alter-Größe'!D$3,Urlisten!$C$16:$EL$16,'2D-Alter-Größe'!$C34)&gt;0,COUNTIFS(Urlisten!$C$15:$EL$15,'2D-Alter-Größe'!D$3,Urlisten!$C$16:$EL$16,'2D-Alter-Größe'!$C34),"")</f>
        <v/>
      </c>
      <c r="E34" s="342" t="str">
        <f>IF(COUNTIFS(Urlisten!$C$15:$EL$15,'2D-Alter-Größe'!E$3,Urlisten!$C$16:$EL$16,'2D-Alter-Größe'!$C34)&gt;0,COUNTIFS(Urlisten!$C$15:$EL$15,'2D-Alter-Größe'!E$3,Urlisten!$C$16:$EL$16,'2D-Alter-Größe'!$C34),"")</f>
        <v/>
      </c>
      <c r="F34" s="342">
        <f>IF(COUNTIFS(Urlisten!$C$15:$EL$15,'2D-Alter-Größe'!F$3,Urlisten!$C$16:$EL$16,'2D-Alter-Größe'!$C34)&gt;0,COUNTIFS(Urlisten!$C$15:$EL$15,'2D-Alter-Größe'!F$3,Urlisten!$C$16:$EL$16,'2D-Alter-Größe'!$C34),"")</f>
        <v>1</v>
      </c>
      <c r="G34" s="342">
        <f>IF(COUNTIFS(Urlisten!$C$15:$EL$15,'2D-Alter-Größe'!G$3,Urlisten!$C$16:$EL$16,'2D-Alter-Größe'!$C34)&gt;0,COUNTIFS(Urlisten!$C$15:$EL$15,'2D-Alter-Größe'!G$3,Urlisten!$C$16:$EL$16,'2D-Alter-Größe'!$C34),"")</f>
        <v>2</v>
      </c>
      <c r="H34" s="342">
        <f>IF(COUNTIFS(Urlisten!$C$15:$EL$15,'2D-Alter-Größe'!H$3,Urlisten!$C$16:$EL$16,'2D-Alter-Größe'!$C34)&gt;0,COUNTIFS(Urlisten!$C$15:$EL$15,'2D-Alter-Größe'!H$3,Urlisten!$C$16:$EL$16,'2D-Alter-Größe'!$C34),"")</f>
        <v>1</v>
      </c>
      <c r="I34" s="342">
        <f>IF(COUNTIFS(Urlisten!$C$15:$EL$15,'2D-Alter-Größe'!I$3,Urlisten!$C$16:$EL$16,'2D-Alter-Größe'!$C34)&gt;0,COUNTIFS(Urlisten!$C$15:$EL$15,'2D-Alter-Größe'!I$3,Urlisten!$C$16:$EL$16,'2D-Alter-Größe'!$C34),"")</f>
        <v>1</v>
      </c>
      <c r="J34" s="342" t="str">
        <f>IF(COUNTIFS(Urlisten!$C$15:$EL$15,'2D-Alter-Größe'!J$3,Urlisten!$C$16:$EL$16,'2D-Alter-Größe'!$C34)&gt;0,COUNTIFS(Urlisten!$C$15:$EL$15,'2D-Alter-Größe'!J$3,Urlisten!$C$16:$EL$16,'2D-Alter-Größe'!$C34),"")</f>
        <v/>
      </c>
      <c r="K34" s="342" t="str">
        <f>IF(COUNTIFS(Urlisten!$C$15:$EL$15,'2D-Alter-Größe'!K$3,Urlisten!$C$16:$EL$16,'2D-Alter-Größe'!$C34)&gt;0,COUNTIFS(Urlisten!$C$15:$EL$15,'2D-Alter-Größe'!K$3,Urlisten!$C$16:$EL$16,'2D-Alter-Größe'!$C34),"")</f>
        <v/>
      </c>
      <c r="L34" s="342">
        <f>IF(COUNTIFS(Urlisten!$C$15:$EL$15,'2D-Alter-Größe'!L$3,Urlisten!$C$16:$EL$16,'2D-Alter-Größe'!$C34)&gt;0,COUNTIFS(Urlisten!$C$15:$EL$15,'2D-Alter-Größe'!L$3,Urlisten!$C$16:$EL$16,'2D-Alter-Größe'!$C34),"")</f>
        <v>2</v>
      </c>
      <c r="M34" s="342" t="str">
        <f>IF(COUNTIFS(Urlisten!$C$15:$EL$15,'2D-Alter-Größe'!M$3,Urlisten!$C$16:$EL$16,'2D-Alter-Größe'!$C34)&gt;0,COUNTIFS(Urlisten!$C$15:$EL$15,'2D-Alter-Größe'!M$3,Urlisten!$C$16:$EL$16,'2D-Alter-Größe'!$C34),"")</f>
        <v/>
      </c>
      <c r="N34" s="342" t="str">
        <f>IF(COUNTIFS(Urlisten!$C$15:$EL$15,'2D-Alter-Größe'!N$3,Urlisten!$C$16:$EL$16,'2D-Alter-Größe'!$C34)&gt;0,COUNTIFS(Urlisten!$C$15:$EL$15,'2D-Alter-Größe'!N$3,Urlisten!$C$16:$EL$16,'2D-Alter-Größe'!$C34),"")</f>
        <v/>
      </c>
      <c r="O34" s="342" t="str">
        <f>IF(COUNTIFS(Urlisten!$C$15:$EL$15,'2D-Alter-Größe'!O$3,Urlisten!$C$16:$EL$16,'2D-Alter-Größe'!$C34)&gt;0,COUNTIFS(Urlisten!$C$15:$EL$15,'2D-Alter-Größe'!O$3,Urlisten!$C$16:$EL$16,'2D-Alter-Größe'!$C34),"")</f>
        <v/>
      </c>
      <c r="P34" s="342" t="str">
        <f>IF(COUNTIFS(Urlisten!$C$15:$EL$15,'2D-Alter-Größe'!P$3,Urlisten!$C$16:$EL$16,'2D-Alter-Größe'!$C34)&gt;0,COUNTIFS(Urlisten!$C$15:$EL$15,'2D-Alter-Größe'!P$3,Urlisten!$C$16:$EL$16,'2D-Alter-Größe'!$C34),"")</f>
        <v/>
      </c>
      <c r="Q34" s="342" t="str">
        <f>IF(COUNTIFS(Urlisten!$C$15:$EL$15,'2D-Alter-Größe'!Q$3,Urlisten!$C$16:$EL$16,'2D-Alter-Größe'!$C34)&gt;0,COUNTIFS(Urlisten!$C$15:$EL$15,'2D-Alter-Größe'!Q$3,Urlisten!$C$16:$EL$16,'2D-Alter-Größe'!$C34),"")</f>
        <v/>
      </c>
      <c r="R34" s="342" t="str">
        <f>IF(COUNTIFS(Urlisten!$C$15:$EL$15,'2D-Alter-Größe'!R$3,Urlisten!$C$16:$EL$16,'2D-Alter-Größe'!$C34)&gt;0,COUNTIFS(Urlisten!$C$15:$EL$15,'2D-Alter-Größe'!R$3,Urlisten!$C$16:$EL$16,'2D-Alter-Größe'!$C34),"")</f>
        <v/>
      </c>
      <c r="S34" s="342" t="str">
        <f>IF(COUNTIFS(Urlisten!$C$15:$EL$15,'2D-Alter-Größe'!S$3,Urlisten!$C$16:$EL$16,'2D-Alter-Größe'!$C34)&gt;0,COUNTIFS(Urlisten!$C$15:$EL$15,'2D-Alter-Größe'!S$3,Urlisten!$C$16:$EL$16,'2D-Alter-Größe'!$C34),"")</f>
        <v/>
      </c>
      <c r="T34" s="342" t="str">
        <f>IF(COUNTIFS(Urlisten!$C$15:$EL$15,'2D-Alter-Größe'!T$3,Urlisten!$C$16:$EL$16,'2D-Alter-Größe'!$C34)&gt;0,COUNTIFS(Urlisten!$C$15:$EL$15,'2D-Alter-Größe'!T$3,Urlisten!$C$16:$EL$16,'2D-Alter-Größe'!$C34),"")</f>
        <v/>
      </c>
      <c r="U34" s="342" t="str">
        <f>IF(COUNTIFS(Urlisten!$C$15:$EL$15,'2D-Alter-Größe'!U$3,Urlisten!$C$16:$EL$16,'2D-Alter-Größe'!$C34)&gt;0,COUNTIFS(Urlisten!$C$15:$EL$15,'2D-Alter-Größe'!U$3,Urlisten!$C$16:$EL$16,'2D-Alter-Größe'!$C34),"")</f>
        <v/>
      </c>
      <c r="V34" s="342" t="str">
        <f>IF(COUNTIFS(Urlisten!$C$15:$EL$15,'2D-Alter-Größe'!V$3,Urlisten!$C$16:$EL$16,'2D-Alter-Größe'!$C34)&gt;0,COUNTIFS(Urlisten!$C$15:$EL$15,'2D-Alter-Größe'!V$3,Urlisten!$C$16:$EL$16,'2D-Alter-Größe'!$C34),"")</f>
        <v/>
      </c>
      <c r="W34" s="342" t="str">
        <f>IF(COUNTIFS(Urlisten!$C$15:$EL$15,'2D-Alter-Größe'!W$3,Urlisten!$C$16:$EL$16,'2D-Alter-Größe'!$C34)&gt;0,COUNTIFS(Urlisten!$C$15:$EL$15,'2D-Alter-Größe'!W$3,Urlisten!$C$16:$EL$16,'2D-Alter-Größe'!$C34),"")</f>
        <v/>
      </c>
      <c r="X34" s="342" t="str">
        <f>IF(COUNTIFS(Urlisten!$C$15:$EL$15,'2D-Alter-Größe'!X$3,Urlisten!$C$16:$EL$16,'2D-Alter-Größe'!$C34)&gt;0,COUNTIFS(Urlisten!$C$15:$EL$15,'2D-Alter-Größe'!X$3,Urlisten!$C$16:$EL$16,'2D-Alter-Größe'!$C34),"")</f>
        <v/>
      </c>
      <c r="Y34" s="342" t="str">
        <f>IF(COUNTIFS(Urlisten!$C$15:$EL$15,'2D-Alter-Größe'!Y$3,Urlisten!$C$16:$EL$16,'2D-Alter-Größe'!$C34)&gt;0,COUNTIFS(Urlisten!$C$15:$EL$15,'2D-Alter-Größe'!Y$3,Urlisten!$C$16:$EL$16,'2D-Alter-Größe'!$C34),"")</f>
        <v/>
      </c>
      <c r="Z34" s="342" t="str">
        <f>IF(COUNTIFS(Urlisten!$C$15:$EL$15,'2D-Alter-Größe'!Z$3,Urlisten!$C$16:$EL$16,'2D-Alter-Größe'!$C34)&gt;0,COUNTIFS(Urlisten!$C$15:$EL$15,'2D-Alter-Größe'!Z$3,Urlisten!$C$16:$EL$16,'2D-Alter-Größe'!$C34),"")</f>
        <v/>
      </c>
      <c r="AA34" s="342" t="str">
        <f>IF(COUNTIFS(Urlisten!$C$15:$EL$15,'2D-Alter-Größe'!AA$3,Urlisten!$C$16:$EL$16,'2D-Alter-Größe'!$C34)&gt;0,COUNTIFS(Urlisten!$C$15:$EL$15,'2D-Alter-Größe'!AA$3,Urlisten!$C$16:$EL$16,'2D-Alter-Größe'!$C34),"")</f>
        <v/>
      </c>
      <c r="AB34" s="349" t="str">
        <f>IF(COUNTIFS(Urlisten!$C$15:$EL$15,'2D-Alter-Größe'!AB$3,Urlisten!$C$16:$EL$16,'2D-Alter-Größe'!$C34)&gt;0,COUNTIFS(Urlisten!$C$15:$EL$15,'2D-Alter-Größe'!AB$3,Urlisten!$C$16:$EL$16,'2D-Alter-Größe'!$C34),"")</f>
        <v/>
      </c>
      <c r="AC34" s="361">
        <f t="shared" si="1"/>
        <v>7</v>
      </c>
      <c r="AD34" s="758"/>
    </row>
    <row r="35" spans="1:30" x14ac:dyDescent="0.25">
      <c r="B35" s="767"/>
      <c r="C35" s="502">
        <f t="shared" si="2"/>
        <v>186</v>
      </c>
      <c r="D35" s="343" t="str">
        <f>IF(COUNTIFS(Urlisten!$C$15:$EL$15,'2D-Alter-Größe'!D$3,Urlisten!$C$16:$EL$16,'2D-Alter-Größe'!$C35)&gt;0,COUNTIFS(Urlisten!$C$15:$EL$15,'2D-Alter-Größe'!D$3,Urlisten!$C$16:$EL$16,'2D-Alter-Größe'!$C35),"")</f>
        <v/>
      </c>
      <c r="E35" s="342" t="str">
        <f>IF(COUNTIFS(Urlisten!$C$15:$EL$15,'2D-Alter-Größe'!E$3,Urlisten!$C$16:$EL$16,'2D-Alter-Größe'!$C35)&gt;0,COUNTIFS(Urlisten!$C$15:$EL$15,'2D-Alter-Größe'!E$3,Urlisten!$C$16:$EL$16,'2D-Alter-Größe'!$C35),"")</f>
        <v/>
      </c>
      <c r="F35" s="342" t="str">
        <f>IF(COUNTIFS(Urlisten!$C$15:$EL$15,'2D-Alter-Größe'!F$3,Urlisten!$C$16:$EL$16,'2D-Alter-Größe'!$C35)&gt;0,COUNTIFS(Urlisten!$C$15:$EL$15,'2D-Alter-Größe'!F$3,Urlisten!$C$16:$EL$16,'2D-Alter-Größe'!$C35),"")</f>
        <v/>
      </c>
      <c r="G35" s="342" t="str">
        <f>IF(COUNTIFS(Urlisten!$C$15:$EL$15,'2D-Alter-Größe'!G$3,Urlisten!$C$16:$EL$16,'2D-Alter-Größe'!$C35)&gt;0,COUNTIFS(Urlisten!$C$15:$EL$15,'2D-Alter-Größe'!G$3,Urlisten!$C$16:$EL$16,'2D-Alter-Größe'!$C35),"")</f>
        <v/>
      </c>
      <c r="H35" s="342" t="str">
        <f>IF(COUNTIFS(Urlisten!$C$15:$EL$15,'2D-Alter-Größe'!H$3,Urlisten!$C$16:$EL$16,'2D-Alter-Größe'!$C35)&gt;0,COUNTIFS(Urlisten!$C$15:$EL$15,'2D-Alter-Größe'!H$3,Urlisten!$C$16:$EL$16,'2D-Alter-Größe'!$C35),"")</f>
        <v/>
      </c>
      <c r="I35" s="342" t="str">
        <f>IF(COUNTIFS(Urlisten!$C$15:$EL$15,'2D-Alter-Größe'!I$3,Urlisten!$C$16:$EL$16,'2D-Alter-Größe'!$C35)&gt;0,COUNTIFS(Urlisten!$C$15:$EL$15,'2D-Alter-Größe'!I$3,Urlisten!$C$16:$EL$16,'2D-Alter-Größe'!$C35),"")</f>
        <v/>
      </c>
      <c r="J35" s="342" t="str">
        <f>IF(COUNTIFS(Urlisten!$C$15:$EL$15,'2D-Alter-Größe'!J$3,Urlisten!$C$16:$EL$16,'2D-Alter-Größe'!$C35)&gt;0,COUNTIFS(Urlisten!$C$15:$EL$15,'2D-Alter-Größe'!J$3,Urlisten!$C$16:$EL$16,'2D-Alter-Größe'!$C35),"")</f>
        <v/>
      </c>
      <c r="K35" s="342" t="str">
        <f>IF(COUNTIFS(Urlisten!$C$15:$EL$15,'2D-Alter-Größe'!K$3,Urlisten!$C$16:$EL$16,'2D-Alter-Größe'!$C35)&gt;0,COUNTIFS(Urlisten!$C$15:$EL$15,'2D-Alter-Größe'!K$3,Urlisten!$C$16:$EL$16,'2D-Alter-Größe'!$C35),"")</f>
        <v/>
      </c>
      <c r="L35" s="342" t="str">
        <f>IF(COUNTIFS(Urlisten!$C$15:$EL$15,'2D-Alter-Größe'!L$3,Urlisten!$C$16:$EL$16,'2D-Alter-Größe'!$C35)&gt;0,COUNTIFS(Urlisten!$C$15:$EL$15,'2D-Alter-Größe'!L$3,Urlisten!$C$16:$EL$16,'2D-Alter-Größe'!$C35),"")</f>
        <v/>
      </c>
      <c r="M35" s="342" t="str">
        <f>IF(COUNTIFS(Urlisten!$C$15:$EL$15,'2D-Alter-Größe'!M$3,Urlisten!$C$16:$EL$16,'2D-Alter-Größe'!$C35)&gt;0,COUNTIFS(Urlisten!$C$15:$EL$15,'2D-Alter-Größe'!M$3,Urlisten!$C$16:$EL$16,'2D-Alter-Größe'!$C35),"")</f>
        <v/>
      </c>
      <c r="N35" s="342" t="str">
        <f>IF(COUNTIFS(Urlisten!$C$15:$EL$15,'2D-Alter-Größe'!N$3,Urlisten!$C$16:$EL$16,'2D-Alter-Größe'!$C35)&gt;0,COUNTIFS(Urlisten!$C$15:$EL$15,'2D-Alter-Größe'!N$3,Urlisten!$C$16:$EL$16,'2D-Alter-Größe'!$C35),"")</f>
        <v/>
      </c>
      <c r="O35" s="342" t="str">
        <f>IF(COUNTIFS(Urlisten!$C$15:$EL$15,'2D-Alter-Größe'!O$3,Urlisten!$C$16:$EL$16,'2D-Alter-Größe'!$C35)&gt;0,COUNTIFS(Urlisten!$C$15:$EL$15,'2D-Alter-Größe'!O$3,Urlisten!$C$16:$EL$16,'2D-Alter-Größe'!$C35),"")</f>
        <v/>
      </c>
      <c r="P35" s="342" t="str">
        <f>IF(COUNTIFS(Urlisten!$C$15:$EL$15,'2D-Alter-Größe'!P$3,Urlisten!$C$16:$EL$16,'2D-Alter-Größe'!$C35)&gt;0,COUNTIFS(Urlisten!$C$15:$EL$15,'2D-Alter-Größe'!P$3,Urlisten!$C$16:$EL$16,'2D-Alter-Größe'!$C35),"")</f>
        <v/>
      </c>
      <c r="Q35" s="342" t="str">
        <f>IF(COUNTIFS(Urlisten!$C$15:$EL$15,'2D-Alter-Größe'!Q$3,Urlisten!$C$16:$EL$16,'2D-Alter-Größe'!$C35)&gt;0,COUNTIFS(Urlisten!$C$15:$EL$15,'2D-Alter-Größe'!Q$3,Urlisten!$C$16:$EL$16,'2D-Alter-Größe'!$C35),"")</f>
        <v/>
      </c>
      <c r="R35" s="342" t="str">
        <f>IF(COUNTIFS(Urlisten!$C$15:$EL$15,'2D-Alter-Größe'!R$3,Urlisten!$C$16:$EL$16,'2D-Alter-Größe'!$C35)&gt;0,COUNTIFS(Urlisten!$C$15:$EL$15,'2D-Alter-Größe'!R$3,Urlisten!$C$16:$EL$16,'2D-Alter-Größe'!$C35),"")</f>
        <v/>
      </c>
      <c r="S35" s="342" t="str">
        <f>IF(COUNTIFS(Urlisten!$C$15:$EL$15,'2D-Alter-Größe'!S$3,Urlisten!$C$16:$EL$16,'2D-Alter-Größe'!$C35)&gt;0,COUNTIFS(Urlisten!$C$15:$EL$15,'2D-Alter-Größe'!S$3,Urlisten!$C$16:$EL$16,'2D-Alter-Größe'!$C35),"")</f>
        <v/>
      </c>
      <c r="T35" s="342" t="str">
        <f>IF(COUNTIFS(Urlisten!$C$15:$EL$15,'2D-Alter-Größe'!T$3,Urlisten!$C$16:$EL$16,'2D-Alter-Größe'!$C35)&gt;0,COUNTIFS(Urlisten!$C$15:$EL$15,'2D-Alter-Größe'!T$3,Urlisten!$C$16:$EL$16,'2D-Alter-Größe'!$C35),"")</f>
        <v/>
      </c>
      <c r="U35" s="342" t="str">
        <f>IF(COUNTIFS(Urlisten!$C$15:$EL$15,'2D-Alter-Größe'!U$3,Urlisten!$C$16:$EL$16,'2D-Alter-Größe'!$C35)&gt;0,COUNTIFS(Urlisten!$C$15:$EL$15,'2D-Alter-Größe'!U$3,Urlisten!$C$16:$EL$16,'2D-Alter-Größe'!$C35),"")</f>
        <v/>
      </c>
      <c r="V35" s="342" t="str">
        <f>IF(COUNTIFS(Urlisten!$C$15:$EL$15,'2D-Alter-Größe'!V$3,Urlisten!$C$16:$EL$16,'2D-Alter-Größe'!$C35)&gt;0,COUNTIFS(Urlisten!$C$15:$EL$15,'2D-Alter-Größe'!V$3,Urlisten!$C$16:$EL$16,'2D-Alter-Größe'!$C35),"")</f>
        <v/>
      </c>
      <c r="W35" s="342" t="str">
        <f>IF(COUNTIFS(Urlisten!$C$15:$EL$15,'2D-Alter-Größe'!W$3,Urlisten!$C$16:$EL$16,'2D-Alter-Größe'!$C35)&gt;0,COUNTIFS(Urlisten!$C$15:$EL$15,'2D-Alter-Größe'!W$3,Urlisten!$C$16:$EL$16,'2D-Alter-Größe'!$C35),"")</f>
        <v/>
      </c>
      <c r="X35" s="342" t="str">
        <f>IF(COUNTIFS(Urlisten!$C$15:$EL$15,'2D-Alter-Größe'!X$3,Urlisten!$C$16:$EL$16,'2D-Alter-Größe'!$C35)&gt;0,COUNTIFS(Urlisten!$C$15:$EL$15,'2D-Alter-Größe'!X$3,Urlisten!$C$16:$EL$16,'2D-Alter-Größe'!$C35),"")</f>
        <v/>
      </c>
      <c r="Y35" s="342" t="str">
        <f>IF(COUNTIFS(Urlisten!$C$15:$EL$15,'2D-Alter-Größe'!Y$3,Urlisten!$C$16:$EL$16,'2D-Alter-Größe'!$C35)&gt;0,COUNTIFS(Urlisten!$C$15:$EL$15,'2D-Alter-Größe'!Y$3,Urlisten!$C$16:$EL$16,'2D-Alter-Größe'!$C35),"")</f>
        <v/>
      </c>
      <c r="Z35" s="342" t="str">
        <f>IF(COUNTIFS(Urlisten!$C$15:$EL$15,'2D-Alter-Größe'!Z$3,Urlisten!$C$16:$EL$16,'2D-Alter-Größe'!$C35)&gt;0,COUNTIFS(Urlisten!$C$15:$EL$15,'2D-Alter-Größe'!Z$3,Urlisten!$C$16:$EL$16,'2D-Alter-Größe'!$C35),"")</f>
        <v/>
      </c>
      <c r="AA35" s="342" t="str">
        <f>IF(COUNTIFS(Urlisten!$C$15:$EL$15,'2D-Alter-Größe'!AA$3,Urlisten!$C$16:$EL$16,'2D-Alter-Größe'!$C35)&gt;0,COUNTIFS(Urlisten!$C$15:$EL$15,'2D-Alter-Größe'!AA$3,Urlisten!$C$16:$EL$16,'2D-Alter-Größe'!$C35),"")</f>
        <v/>
      </c>
      <c r="AB35" s="349" t="str">
        <f>IF(COUNTIFS(Urlisten!$C$15:$EL$15,'2D-Alter-Größe'!AB$3,Urlisten!$C$16:$EL$16,'2D-Alter-Größe'!$C35)&gt;0,COUNTIFS(Urlisten!$C$15:$EL$15,'2D-Alter-Größe'!AB$3,Urlisten!$C$16:$EL$16,'2D-Alter-Größe'!$C35),"")</f>
        <v/>
      </c>
      <c r="AC35" s="361" t="str">
        <f t="shared" si="1"/>
        <v/>
      </c>
      <c r="AD35" s="758"/>
    </row>
    <row r="36" spans="1:30" x14ac:dyDescent="0.25">
      <c r="B36" s="767"/>
      <c r="C36" s="502">
        <f t="shared" si="2"/>
        <v>187</v>
      </c>
      <c r="D36" s="343" t="str">
        <f>IF(COUNTIFS(Urlisten!$C$15:$EL$15,'2D-Alter-Größe'!D$3,Urlisten!$C$16:$EL$16,'2D-Alter-Größe'!$C36)&gt;0,COUNTIFS(Urlisten!$C$15:$EL$15,'2D-Alter-Größe'!D$3,Urlisten!$C$16:$EL$16,'2D-Alter-Größe'!$C36),"")</f>
        <v/>
      </c>
      <c r="E36" s="342" t="str">
        <f>IF(COUNTIFS(Urlisten!$C$15:$EL$15,'2D-Alter-Größe'!E$3,Urlisten!$C$16:$EL$16,'2D-Alter-Größe'!$C36)&gt;0,COUNTIFS(Urlisten!$C$15:$EL$15,'2D-Alter-Größe'!E$3,Urlisten!$C$16:$EL$16,'2D-Alter-Größe'!$C36),"")</f>
        <v/>
      </c>
      <c r="F36" s="342" t="str">
        <f>IF(COUNTIFS(Urlisten!$C$15:$EL$15,'2D-Alter-Größe'!F$3,Urlisten!$C$16:$EL$16,'2D-Alter-Größe'!$C36)&gt;0,COUNTIFS(Urlisten!$C$15:$EL$15,'2D-Alter-Größe'!F$3,Urlisten!$C$16:$EL$16,'2D-Alter-Größe'!$C36),"")</f>
        <v/>
      </c>
      <c r="G36" s="342" t="str">
        <f>IF(COUNTIFS(Urlisten!$C$15:$EL$15,'2D-Alter-Größe'!G$3,Urlisten!$C$16:$EL$16,'2D-Alter-Größe'!$C36)&gt;0,COUNTIFS(Urlisten!$C$15:$EL$15,'2D-Alter-Größe'!G$3,Urlisten!$C$16:$EL$16,'2D-Alter-Größe'!$C36),"")</f>
        <v/>
      </c>
      <c r="H36" s="342">
        <f>IF(COUNTIFS(Urlisten!$C$15:$EL$15,'2D-Alter-Größe'!H$3,Urlisten!$C$16:$EL$16,'2D-Alter-Größe'!$C36)&gt;0,COUNTIFS(Urlisten!$C$15:$EL$15,'2D-Alter-Größe'!H$3,Urlisten!$C$16:$EL$16,'2D-Alter-Größe'!$C36),"")</f>
        <v>1</v>
      </c>
      <c r="I36" s="342" t="str">
        <f>IF(COUNTIFS(Urlisten!$C$15:$EL$15,'2D-Alter-Größe'!I$3,Urlisten!$C$16:$EL$16,'2D-Alter-Größe'!$C36)&gt;0,COUNTIFS(Urlisten!$C$15:$EL$15,'2D-Alter-Größe'!I$3,Urlisten!$C$16:$EL$16,'2D-Alter-Größe'!$C36),"")</f>
        <v/>
      </c>
      <c r="J36" s="342" t="str">
        <f>IF(COUNTIFS(Urlisten!$C$15:$EL$15,'2D-Alter-Größe'!J$3,Urlisten!$C$16:$EL$16,'2D-Alter-Größe'!$C36)&gt;0,COUNTIFS(Urlisten!$C$15:$EL$15,'2D-Alter-Größe'!J$3,Urlisten!$C$16:$EL$16,'2D-Alter-Größe'!$C36),"")</f>
        <v/>
      </c>
      <c r="K36" s="342">
        <f>IF(COUNTIFS(Urlisten!$C$15:$EL$15,'2D-Alter-Größe'!K$3,Urlisten!$C$16:$EL$16,'2D-Alter-Größe'!$C36)&gt;0,COUNTIFS(Urlisten!$C$15:$EL$15,'2D-Alter-Größe'!K$3,Urlisten!$C$16:$EL$16,'2D-Alter-Größe'!$C36),"")</f>
        <v>1</v>
      </c>
      <c r="L36" s="342" t="str">
        <f>IF(COUNTIFS(Urlisten!$C$15:$EL$15,'2D-Alter-Größe'!L$3,Urlisten!$C$16:$EL$16,'2D-Alter-Größe'!$C36)&gt;0,COUNTIFS(Urlisten!$C$15:$EL$15,'2D-Alter-Größe'!L$3,Urlisten!$C$16:$EL$16,'2D-Alter-Größe'!$C36),"")</f>
        <v/>
      </c>
      <c r="M36" s="342" t="str">
        <f>IF(COUNTIFS(Urlisten!$C$15:$EL$15,'2D-Alter-Größe'!M$3,Urlisten!$C$16:$EL$16,'2D-Alter-Größe'!$C36)&gt;0,COUNTIFS(Urlisten!$C$15:$EL$15,'2D-Alter-Größe'!M$3,Urlisten!$C$16:$EL$16,'2D-Alter-Größe'!$C36),"")</f>
        <v/>
      </c>
      <c r="N36" s="342" t="str">
        <f>IF(COUNTIFS(Urlisten!$C$15:$EL$15,'2D-Alter-Größe'!N$3,Urlisten!$C$16:$EL$16,'2D-Alter-Größe'!$C36)&gt;0,COUNTIFS(Urlisten!$C$15:$EL$15,'2D-Alter-Größe'!N$3,Urlisten!$C$16:$EL$16,'2D-Alter-Größe'!$C36),"")</f>
        <v/>
      </c>
      <c r="O36" s="342" t="str">
        <f>IF(COUNTIFS(Urlisten!$C$15:$EL$15,'2D-Alter-Größe'!O$3,Urlisten!$C$16:$EL$16,'2D-Alter-Größe'!$C36)&gt;0,COUNTIFS(Urlisten!$C$15:$EL$15,'2D-Alter-Größe'!O$3,Urlisten!$C$16:$EL$16,'2D-Alter-Größe'!$C36),"")</f>
        <v/>
      </c>
      <c r="P36" s="342" t="str">
        <f>IF(COUNTIFS(Urlisten!$C$15:$EL$15,'2D-Alter-Größe'!P$3,Urlisten!$C$16:$EL$16,'2D-Alter-Größe'!$C36)&gt;0,COUNTIFS(Urlisten!$C$15:$EL$15,'2D-Alter-Größe'!P$3,Urlisten!$C$16:$EL$16,'2D-Alter-Größe'!$C36),"")</f>
        <v/>
      </c>
      <c r="Q36" s="342" t="str">
        <f>IF(COUNTIFS(Urlisten!$C$15:$EL$15,'2D-Alter-Größe'!Q$3,Urlisten!$C$16:$EL$16,'2D-Alter-Größe'!$C36)&gt;0,COUNTIFS(Urlisten!$C$15:$EL$15,'2D-Alter-Größe'!Q$3,Urlisten!$C$16:$EL$16,'2D-Alter-Größe'!$C36),"")</f>
        <v/>
      </c>
      <c r="R36" s="342" t="str">
        <f>IF(COUNTIFS(Urlisten!$C$15:$EL$15,'2D-Alter-Größe'!R$3,Urlisten!$C$16:$EL$16,'2D-Alter-Größe'!$C36)&gt;0,COUNTIFS(Urlisten!$C$15:$EL$15,'2D-Alter-Größe'!R$3,Urlisten!$C$16:$EL$16,'2D-Alter-Größe'!$C36),"")</f>
        <v/>
      </c>
      <c r="S36" s="342" t="str">
        <f>IF(COUNTIFS(Urlisten!$C$15:$EL$15,'2D-Alter-Größe'!S$3,Urlisten!$C$16:$EL$16,'2D-Alter-Größe'!$C36)&gt;0,COUNTIFS(Urlisten!$C$15:$EL$15,'2D-Alter-Größe'!S$3,Urlisten!$C$16:$EL$16,'2D-Alter-Größe'!$C36),"")</f>
        <v/>
      </c>
      <c r="T36" s="342" t="str">
        <f>IF(COUNTIFS(Urlisten!$C$15:$EL$15,'2D-Alter-Größe'!T$3,Urlisten!$C$16:$EL$16,'2D-Alter-Größe'!$C36)&gt;0,COUNTIFS(Urlisten!$C$15:$EL$15,'2D-Alter-Größe'!T$3,Urlisten!$C$16:$EL$16,'2D-Alter-Größe'!$C36),"")</f>
        <v/>
      </c>
      <c r="U36" s="342" t="str">
        <f>IF(COUNTIFS(Urlisten!$C$15:$EL$15,'2D-Alter-Größe'!U$3,Urlisten!$C$16:$EL$16,'2D-Alter-Größe'!$C36)&gt;0,COUNTIFS(Urlisten!$C$15:$EL$15,'2D-Alter-Größe'!U$3,Urlisten!$C$16:$EL$16,'2D-Alter-Größe'!$C36),"")</f>
        <v/>
      </c>
      <c r="V36" s="342" t="str">
        <f>IF(COUNTIFS(Urlisten!$C$15:$EL$15,'2D-Alter-Größe'!V$3,Urlisten!$C$16:$EL$16,'2D-Alter-Größe'!$C36)&gt;0,COUNTIFS(Urlisten!$C$15:$EL$15,'2D-Alter-Größe'!V$3,Urlisten!$C$16:$EL$16,'2D-Alter-Größe'!$C36),"")</f>
        <v/>
      </c>
      <c r="W36" s="342" t="str">
        <f>IF(COUNTIFS(Urlisten!$C$15:$EL$15,'2D-Alter-Größe'!W$3,Urlisten!$C$16:$EL$16,'2D-Alter-Größe'!$C36)&gt;0,COUNTIFS(Urlisten!$C$15:$EL$15,'2D-Alter-Größe'!W$3,Urlisten!$C$16:$EL$16,'2D-Alter-Größe'!$C36),"")</f>
        <v/>
      </c>
      <c r="X36" s="342" t="str">
        <f>IF(COUNTIFS(Urlisten!$C$15:$EL$15,'2D-Alter-Größe'!X$3,Urlisten!$C$16:$EL$16,'2D-Alter-Größe'!$C36)&gt;0,COUNTIFS(Urlisten!$C$15:$EL$15,'2D-Alter-Größe'!X$3,Urlisten!$C$16:$EL$16,'2D-Alter-Größe'!$C36),"")</f>
        <v/>
      </c>
      <c r="Y36" s="342" t="str">
        <f>IF(COUNTIFS(Urlisten!$C$15:$EL$15,'2D-Alter-Größe'!Y$3,Urlisten!$C$16:$EL$16,'2D-Alter-Größe'!$C36)&gt;0,COUNTIFS(Urlisten!$C$15:$EL$15,'2D-Alter-Größe'!Y$3,Urlisten!$C$16:$EL$16,'2D-Alter-Größe'!$C36),"")</f>
        <v/>
      </c>
      <c r="Z36" s="342" t="str">
        <f>IF(COUNTIFS(Urlisten!$C$15:$EL$15,'2D-Alter-Größe'!Z$3,Urlisten!$C$16:$EL$16,'2D-Alter-Größe'!$C36)&gt;0,COUNTIFS(Urlisten!$C$15:$EL$15,'2D-Alter-Größe'!Z$3,Urlisten!$C$16:$EL$16,'2D-Alter-Größe'!$C36),"")</f>
        <v/>
      </c>
      <c r="AA36" s="342" t="str">
        <f>IF(COUNTIFS(Urlisten!$C$15:$EL$15,'2D-Alter-Größe'!AA$3,Urlisten!$C$16:$EL$16,'2D-Alter-Größe'!$C36)&gt;0,COUNTIFS(Urlisten!$C$15:$EL$15,'2D-Alter-Größe'!AA$3,Urlisten!$C$16:$EL$16,'2D-Alter-Größe'!$C36),"")</f>
        <v/>
      </c>
      <c r="AB36" s="349" t="str">
        <f>IF(COUNTIFS(Urlisten!$C$15:$EL$15,'2D-Alter-Größe'!AB$3,Urlisten!$C$16:$EL$16,'2D-Alter-Größe'!$C36)&gt;0,COUNTIFS(Urlisten!$C$15:$EL$15,'2D-Alter-Größe'!AB$3,Urlisten!$C$16:$EL$16,'2D-Alter-Größe'!$C36),"")</f>
        <v/>
      </c>
      <c r="AC36" s="361">
        <f t="shared" si="1"/>
        <v>2</v>
      </c>
      <c r="AD36" s="758"/>
    </row>
    <row r="37" spans="1:30" x14ac:dyDescent="0.25">
      <c r="B37" s="767"/>
      <c r="C37" s="502">
        <f t="shared" si="2"/>
        <v>188</v>
      </c>
      <c r="D37" s="343" t="str">
        <f>IF(COUNTIFS(Urlisten!$C$15:$EL$15,'2D-Alter-Größe'!D$3,Urlisten!$C$16:$EL$16,'2D-Alter-Größe'!$C37)&gt;0,COUNTIFS(Urlisten!$C$15:$EL$15,'2D-Alter-Größe'!D$3,Urlisten!$C$16:$EL$16,'2D-Alter-Größe'!$C37),"")</f>
        <v/>
      </c>
      <c r="E37" s="342" t="str">
        <f>IF(COUNTIFS(Urlisten!$C$15:$EL$15,'2D-Alter-Größe'!E$3,Urlisten!$C$16:$EL$16,'2D-Alter-Größe'!$C37)&gt;0,COUNTIFS(Urlisten!$C$15:$EL$15,'2D-Alter-Größe'!E$3,Urlisten!$C$16:$EL$16,'2D-Alter-Größe'!$C37),"")</f>
        <v/>
      </c>
      <c r="F37" s="342" t="str">
        <f>IF(COUNTIFS(Urlisten!$C$15:$EL$15,'2D-Alter-Größe'!F$3,Urlisten!$C$16:$EL$16,'2D-Alter-Größe'!$C37)&gt;0,COUNTIFS(Urlisten!$C$15:$EL$15,'2D-Alter-Größe'!F$3,Urlisten!$C$16:$EL$16,'2D-Alter-Größe'!$C37),"")</f>
        <v/>
      </c>
      <c r="G37" s="342" t="str">
        <f>IF(COUNTIFS(Urlisten!$C$15:$EL$15,'2D-Alter-Größe'!G$3,Urlisten!$C$16:$EL$16,'2D-Alter-Größe'!$C37)&gt;0,COUNTIFS(Urlisten!$C$15:$EL$15,'2D-Alter-Größe'!G$3,Urlisten!$C$16:$EL$16,'2D-Alter-Größe'!$C37),"")</f>
        <v/>
      </c>
      <c r="H37" s="342">
        <f>IF(COUNTIFS(Urlisten!$C$15:$EL$15,'2D-Alter-Größe'!H$3,Urlisten!$C$16:$EL$16,'2D-Alter-Größe'!$C37)&gt;0,COUNTIFS(Urlisten!$C$15:$EL$15,'2D-Alter-Größe'!H$3,Urlisten!$C$16:$EL$16,'2D-Alter-Größe'!$C37),"")</f>
        <v>1</v>
      </c>
      <c r="I37" s="342" t="str">
        <f>IF(COUNTIFS(Urlisten!$C$15:$EL$15,'2D-Alter-Größe'!I$3,Urlisten!$C$16:$EL$16,'2D-Alter-Größe'!$C37)&gt;0,COUNTIFS(Urlisten!$C$15:$EL$15,'2D-Alter-Größe'!I$3,Urlisten!$C$16:$EL$16,'2D-Alter-Größe'!$C37),"")</f>
        <v/>
      </c>
      <c r="J37" s="342" t="str">
        <f>IF(COUNTIFS(Urlisten!$C$15:$EL$15,'2D-Alter-Größe'!J$3,Urlisten!$C$16:$EL$16,'2D-Alter-Größe'!$C37)&gt;0,COUNTIFS(Urlisten!$C$15:$EL$15,'2D-Alter-Größe'!J$3,Urlisten!$C$16:$EL$16,'2D-Alter-Größe'!$C37),"")</f>
        <v/>
      </c>
      <c r="K37" s="342" t="str">
        <f>IF(COUNTIFS(Urlisten!$C$15:$EL$15,'2D-Alter-Größe'!K$3,Urlisten!$C$16:$EL$16,'2D-Alter-Größe'!$C37)&gt;0,COUNTIFS(Urlisten!$C$15:$EL$15,'2D-Alter-Größe'!K$3,Urlisten!$C$16:$EL$16,'2D-Alter-Größe'!$C37),"")</f>
        <v/>
      </c>
      <c r="L37" s="342" t="str">
        <f>IF(COUNTIFS(Urlisten!$C$15:$EL$15,'2D-Alter-Größe'!L$3,Urlisten!$C$16:$EL$16,'2D-Alter-Größe'!$C37)&gt;0,COUNTIFS(Urlisten!$C$15:$EL$15,'2D-Alter-Größe'!L$3,Urlisten!$C$16:$EL$16,'2D-Alter-Größe'!$C37),"")</f>
        <v/>
      </c>
      <c r="M37" s="342" t="str">
        <f>IF(COUNTIFS(Urlisten!$C$15:$EL$15,'2D-Alter-Größe'!M$3,Urlisten!$C$16:$EL$16,'2D-Alter-Größe'!$C37)&gt;0,COUNTIFS(Urlisten!$C$15:$EL$15,'2D-Alter-Größe'!M$3,Urlisten!$C$16:$EL$16,'2D-Alter-Größe'!$C37),"")</f>
        <v/>
      </c>
      <c r="N37" s="342" t="str">
        <f>IF(COUNTIFS(Urlisten!$C$15:$EL$15,'2D-Alter-Größe'!N$3,Urlisten!$C$16:$EL$16,'2D-Alter-Größe'!$C37)&gt;0,COUNTIFS(Urlisten!$C$15:$EL$15,'2D-Alter-Größe'!N$3,Urlisten!$C$16:$EL$16,'2D-Alter-Größe'!$C37),"")</f>
        <v/>
      </c>
      <c r="O37" s="342" t="str">
        <f>IF(COUNTIFS(Urlisten!$C$15:$EL$15,'2D-Alter-Größe'!O$3,Urlisten!$C$16:$EL$16,'2D-Alter-Größe'!$C37)&gt;0,COUNTIFS(Urlisten!$C$15:$EL$15,'2D-Alter-Größe'!O$3,Urlisten!$C$16:$EL$16,'2D-Alter-Größe'!$C37),"")</f>
        <v/>
      </c>
      <c r="P37" s="342" t="str">
        <f>IF(COUNTIFS(Urlisten!$C$15:$EL$15,'2D-Alter-Größe'!P$3,Urlisten!$C$16:$EL$16,'2D-Alter-Größe'!$C37)&gt;0,COUNTIFS(Urlisten!$C$15:$EL$15,'2D-Alter-Größe'!P$3,Urlisten!$C$16:$EL$16,'2D-Alter-Größe'!$C37),"")</f>
        <v/>
      </c>
      <c r="Q37" s="342" t="str">
        <f>IF(COUNTIFS(Urlisten!$C$15:$EL$15,'2D-Alter-Größe'!Q$3,Urlisten!$C$16:$EL$16,'2D-Alter-Größe'!$C37)&gt;0,COUNTIFS(Urlisten!$C$15:$EL$15,'2D-Alter-Größe'!Q$3,Urlisten!$C$16:$EL$16,'2D-Alter-Größe'!$C37),"")</f>
        <v/>
      </c>
      <c r="R37" s="342" t="str">
        <f>IF(COUNTIFS(Urlisten!$C$15:$EL$15,'2D-Alter-Größe'!R$3,Urlisten!$C$16:$EL$16,'2D-Alter-Größe'!$C37)&gt;0,COUNTIFS(Urlisten!$C$15:$EL$15,'2D-Alter-Größe'!R$3,Urlisten!$C$16:$EL$16,'2D-Alter-Größe'!$C37),"")</f>
        <v/>
      </c>
      <c r="S37" s="342" t="str">
        <f>IF(COUNTIFS(Urlisten!$C$15:$EL$15,'2D-Alter-Größe'!S$3,Urlisten!$C$16:$EL$16,'2D-Alter-Größe'!$C37)&gt;0,COUNTIFS(Urlisten!$C$15:$EL$15,'2D-Alter-Größe'!S$3,Urlisten!$C$16:$EL$16,'2D-Alter-Größe'!$C37),"")</f>
        <v/>
      </c>
      <c r="T37" s="342" t="str">
        <f>IF(COUNTIFS(Urlisten!$C$15:$EL$15,'2D-Alter-Größe'!T$3,Urlisten!$C$16:$EL$16,'2D-Alter-Größe'!$C37)&gt;0,COUNTIFS(Urlisten!$C$15:$EL$15,'2D-Alter-Größe'!T$3,Urlisten!$C$16:$EL$16,'2D-Alter-Größe'!$C37),"")</f>
        <v/>
      </c>
      <c r="U37" s="342" t="str">
        <f>IF(COUNTIFS(Urlisten!$C$15:$EL$15,'2D-Alter-Größe'!U$3,Urlisten!$C$16:$EL$16,'2D-Alter-Größe'!$C37)&gt;0,COUNTIFS(Urlisten!$C$15:$EL$15,'2D-Alter-Größe'!U$3,Urlisten!$C$16:$EL$16,'2D-Alter-Größe'!$C37),"")</f>
        <v/>
      </c>
      <c r="V37" s="342" t="str">
        <f>IF(COUNTIFS(Urlisten!$C$15:$EL$15,'2D-Alter-Größe'!V$3,Urlisten!$C$16:$EL$16,'2D-Alter-Größe'!$C37)&gt;0,COUNTIFS(Urlisten!$C$15:$EL$15,'2D-Alter-Größe'!V$3,Urlisten!$C$16:$EL$16,'2D-Alter-Größe'!$C37),"")</f>
        <v/>
      </c>
      <c r="W37" s="342" t="str">
        <f>IF(COUNTIFS(Urlisten!$C$15:$EL$15,'2D-Alter-Größe'!W$3,Urlisten!$C$16:$EL$16,'2D-Alter-Größe'!$C37)&gt;0,COUNTIFS(Urlisten!$C$15:$EL$15,'2D-Alter-Größe'!W$3,Urlisten!$C$16:$EL$16,'2D-Alter-Größe'!$C37),"")</f>
        <v/>
      </c>
      <c r="X37" s="342" t="str">
        <f>IF(COUNTIFS(Urlisten!$C$15:$EL$15,'2D-Alter-Größe'!X$3,Urlisten!$C$16:$EL$16,'2D-Alter-Größe'!$C37)&gt;0,COUNTIFS(Urlisten!$C$15:$EL$15,'2D-Alter-Größe'!X$3,Urlisten!$C$16:$EL$16,'2D-Alter-Größe'!$C37),"")</f>
        <v/>
      </c>
      <c r="Y37" s="342" t="str">
        <f>IF(COUNTIFS(Urlisten!$C$15:$EL$15,'2D-Alter-Größe'!Y$3,Urlisten!$C$16:$EL$16,'2D-Alter-Größe'!$C37)&gt;0,COUNTIFS(Urlisten!$C$15:$EL$15,'2D-Alter-Größe'!Y$3,Urlisten!$C$16:$EL$16,'2D-Alter-Größe'!$C37),"")</f>
        <v/>
      </c>
      <c r="Z37" s="342" t="str">
        <f>IF(COUNTIFS(Urlisten!$C$15:$EL$15,'2D-Alter-Größe'!Z$3,Urlisten!$C$16:$EL$16,'2D-Alter-Größe'!$C37)&gt;0,COUNTIFS(Urlisten!$C$15:$EL$15,'2D-Alter-Größe'!Z$3,Urlisten!$C$16:$EL$16,'2D-Alter-Größe'!$C37),"")</f>
        <v/>
      </c>
      <c r="AA37" s="342" t="str">
        <f>IF(COUNTIFS(Urlisten!$C$15:$EL$15,'2D-Alter-Größe'!AA$3,Urlisten!$C$16:$EL$16,'2D-Alter-Größe'!$C37)&gt;0,COUNTIFS(Urlisten!$C$15:$EL$15,'2D-Alter-Größe'!AA$3,Urlisten!$C$16:$EL$16,'2D-Alter-Größe'!$C37),"")</f>
        <v/>
      </c>
      <c r="AB37" s="349" t="str">
        <f>IF(COUNTIFS(Urlisten!$C$15:$EL$15,'2D-Alter-Größe'!AB$3,Urlisten!$C$16:$EL$16,'2D-Alter-Größe'!$C37)&gt;0,COUNTIFS(Urlisten!$C$15:$EL$15,'2D-Alter-Größe'!AB$3,Urlisten!$C$16:$EL$16,'2D-Alter-Größe'!$C37),"")</f>
        <v/>
      </c>
      <c r="AC37" s="361">
        <f t="shared" si="1"/>
        <v>1</v>
      </c>
      <c r="AD37" s="758"/>
    </row>
    <row r="38" spans="1:30" x14ac:dyDescent="0.25">
      <c r="B38" s="767"/>
      <c r="C38" s="502">
        <f t="shared" si="2"/>
        <v>189</v>
      </c>
      <c r="D38" s="343" t="str">
        <f>IF(COUNTIFS(Urlisten!$C$15:$EL$15,'2D-Alter-Größe'!D$3,Urlisten!$C$16:$EL$16,'2D-Alter-Größe'!$C38)&gt;0,COUNTIFS(Urlisten!$C$15:$EL$15,'2D-Alter-Größe'!D$3,Urlisten!$C$16:$EL$16,'2D-Alter-Größe'!$C38),"")</f>
        <v/>
      </c>
      <c r="E38" s="342" t="str">
        <f>IF(COUNTIFS(Urlisten!$C$15:$EL$15,'2D-Alter-Größe'!E$3,Urlisten!$C$16:$EL$16,'2D-Alter-Größe'!$C38)&gt;0,COUNTIFS(Urlisten!$C$15:$EL$15,'2D-Alter-Größe'!E$3,Urlisten!$C$16:$EL$16,'2D-Alter-Größe'!$C38),"")</f>
        <v/>
      </c>
      <c r="F38" s="342" t="str">
        <f>IF(COUNTIFS(Urlisten!$C$15:$EL$15,'2D-Alter-Größe'!F$3,Urlisten!$C$16:$EL$16,'2D-Alter-Größe'!$C38)&gt;0,COUNTIFS(Urlisten!$C$15:$EL$15,'2D-Alter-Größe'!F$3,Urlisten!$C$16:$EL$16,'2D-Alter-Größe'!$C38),"")</f>
        <v/>
      </c>
      <c r="G38" s="342" t="str">
        <f>IF(COUNTIFS(Urlisten!$C$15:$EL$15,'2D-Alter-Größe'!G$3,Urlisten!$C$16:$EL$16,'2D-Alter-Größe'!$C38)&gt;0,COUNTIFS(Urlisten!$C$15:$EL$15,'2D-Alter-Größe'!G$3,Urlisten!$C$16:$EL$16,'2D-Alter-Größe'!$C38),"")</f>
        <v/>
      </c>
      <c r="H38" s="342" t="str">
        <f>IF(COUNTIFS(Urlisten!$C$15:$EL$15,'2D-Alter-Größe'!H$3,Urlisten!$C$16:$EL$16,'2D-Alter-Größe'!$C38)&gt;0,COUNTIFS(Urlisten!$C$15:$EL$15,'2D-Alter-Größe'!H$3,Urlisten!$C$16:$EL$16,'2D-Alter-Größe'!$C38),"")</f>
        <v/>
      </c>
      <c r="I38" s="342">
        <f>IF(COUNTIFS(Urlisten!$C$15:$EL$15,'2D-Alter-Größe'!I$3,Urlisten!$C$16:$EL$16,'2D-Alter-Größe'!$C38)&gt;0,COUNTIFS(Urlisten!$C$15:$EL$15,'2D-Alter-Größe'!I$3,Urlisten!$C$16:$EL$16,'2D-Alter-Größe'!$C38),"")</f>
        <v>1</v>
      </c>
      <c r="J38" s="342" t="str">
        <f>IF(COUNTIFS(Urlisten!$C$15:$EL$15,'2D-Alter-Größe'!J$3,Urlisten!$C$16:$EL$16,'2D-Alter-Größe'!$C38)&gt;0,COUNTIFS(Urlisten!$C$15:$EL$15,'2D-Alter-Größe'!J$3,Urlisten!$C$16:$EL$16,'2D-Alter-Größe'!$C38),"")</f>
        <v/>
      </c>
      <c r="K38" s="342" t="str">
        <f>IF(COUNTIFS(Urlisten!$C$15:$EL$15,'2D-Alter-Größe'!K$3,Urlisten!$C$16:$EL$16,'2D-Alter-Größe'!$C38)&gt;0,COUNTIFS(Urlisten!$C$15:$EL$15,'2D-Alter-Größe'!K$3,Urlisten!$C$16:$EL$16,'2D-Alter-Größe'!$C38),"")</f>
        <v/>
      </c>
      <c r="L38" s="342" t="str">
        <f>IF(COUNTIFS(Urlisten!$C$15:$EL$15,'2D-Alter-Größe'!L$3,Urlisten!$C$16:$EL$16,'2D-Alter-Größe'!$C38)&gt;0,COUNTIFS(Urlisten!$C$15:$EL$15,'2D-Alter-Größe'!L$3,Urlisten!$C$16:$EL$16,'2D-Alter-Größe'!$C38),"")</f>
        <v/>
      </c>
      <c r="M38" s="342" t="str">
        <f>IF(COUNTIFS(Urlisten!$C$15:$EL$15,'2D-Alter-Größe'!M$3,Urlisten!$C$16:$EL$16,'2D-Alter-Größe'!$C38)&gt;0,COUNTIFS(Urlisten!$C$15:$EL$15,'2D-Alter-Größe'!M$3,Urlisten!$C$16:$EL$16,'2D-Alter-Größe'!$C38),"")</f>
        <v/>
      </c>
      <c r="N38" s="342" t="str">
        <f>IF(COUNTIFS(Urlisten!$C$15:$EL$15,'2D-Alter-Größe'!N$3,Urlisten!$C$16:$EL$16,'2D-Alter-Größe'!$C38)&gt;0,COUNTIFS(Urlisten!$C$15:$EL$15,'2D-Alter-Größe'!N$3,Urlisten!$C$16:$EL$16,'2D-Alter-Größe'!$C38),"")</f>
        <v/>
      </c>
      <c r="O38" s="342" t="str">
        <f>IF(COUNTIFS(Urlisten!$C$15:$EL$15,'2D-Alter-Größe'!O$3,Urlisten!$C$16:$EL$16,'2D-Alter-Größe'!$C38)&gt;0,COUNTIFS(Urlisten!$C$15:$EL$15,'2D-Alter-Größe'!O$3,Urlisten!$C$16:$EL$16,'2D-Alter-Größe'!$C38),"")</f>
        <v/>
      </c>
      <c r="P38" s="342" t="str">
        <f>IF(COUNTIFS(Urlisten!$C$15:$EL$15,'2D-Alter-Größe'!P$3,Urlisten!$C$16:$EL$16,'2D-Alter-Größe'!$C38)&gt;0,COUNTIFS(Urlisten!$C$15:$EL$15,'2D-Alter-Größe'!P$3,Urlisten!$C$16:$EL$16,'2D-Alter-Größe'!$C38),"")</f>
        <v/>
      </c>
      <c r="Q38" s="342" t="str">
        <f>IF(COUNTIFS(Urlisten!$C$15:$EL$15,'2D-Alter-Größe'!Q$3,Urlisten!$C$16:$EL$16,'2D-Alter-Größe'!$C38)&gt;0,COUNTIFS(Urlisten!$C$15:$EL$15,'2D-Alter-Größe'!Q$3,Urlisten!$C$16:$EL$16,'2D-Alter-Größe'!$C38),"")</f>
        <v/>
      </c>
      <c r="R38" s="342" t="str">
        <f>IF(COUNTIFS(Urlisten!$C$15:$EL$15,'2D-Alter-Größe'!R$3,Urlisten!$C$16:$EL$16,'2D-Alter-Größe'!$C38)&gt;0,COUNTIFS(Urlisten!$C$15:$EL$15,'2D-Alter-Größe'!R$3,Urlisten!$C$16:$EL$16,'2D-Alter-Größe'!$C38),"")</f>
        <v/>
      </c>
      <c r="S38" s="342" t="str">
        <f>IF(COUNTIFS(Urlisten!$C$15:$EL$15,'2D-Alter-Größe'!S$3,Urlisten!$C$16:$EL$16,'2D-Alter-Größe'!$C38)&gt;0,COUNTIFS(Urlisten!$C$15:$EL$15,'2D-Alter-Größe'!S$3,Urlisten!$C$16:$EL$16,'2D-Alter-Größe'!$C38),"")</f>
        <v/>
      </c>
      <c r="T38" s="342" t="str">
        <f>IF(COUNTIFS(Urlisten!$C$15:$EL$15,'2D-Alter-Größe'!T$3,Urlisten!$C$16:$EL$16,'2D-Alter-Größe'!$C38)&gt;0,COUNTIFS(Urlisten!$C$15:$EL$15,'2D-Alter-Größe'!T$3,Urlisten!$C$16:$EL$16,'2D-Alter-Größe'!$C38),"")</f>
        <v/>
      </c>
      <c r="U38" s="342" t="str">
        <f>IF(COUNTIFS(Urlisten!$C$15:$EL$15,'2D-Alter-Größe'!U$3,Urlisten!$C$16:$EL$16,'2D-Alter-Größe'!$C38)&gt;0,COUNTIFS(Urlisten!$C$15:$EL$15,'2D-Alter-Größe'!U$3,Urlisten!$C$16:$EL$16,'2D-Alter-Größe'!$C38),"")</f>
        <v/>
      </c>
      <c r="V38" s="342" t="str">
        <f>IF(COUNTIFS(Urlisten!$C$15:$EL$15,'2D-Alter-Größe'!V$3,Urlisten!$C$16:$EL$16,'2D-Alter-Größe'!$C38)&gt;0,COUNTIFS(Urlisten!$C$15:$EL$15,'2D-Alter-Größe'!V$3,Urlisten!$C$16:$EL$16,'2D-Alter-Größe'!$C38),"")</f>
        <v/>
      </c>
      <c r="W38" s="342" t="str">
        <f>IF(COUNTIFS(Urlisten!$C$15:$EL$15,'2D-Alter-Größe'!W$3,Urlisten!$C$16:$EL$16,'2D-Alter-Größe'!$C38)&gt;0,COUNTIFS(Urlisten!$C$15:$EL$15,'2D-Alter-Größe'!W$3,Urlisten!$C$16:$EL$16,'2D-Alter-Größe'!$C38),"")</f>
        <v/>
      </c>
      <c r="X38" s="342" t="str">
        <f>IF(COUNTIFS(Urlisten!$C$15:$EL$15,'2D-Alter-Größe'!X$3,Urlisten!$C$16:$EL$16,'2D-Alter-Größe'!$C38)&gt;0,COUNTIFS(Urlisten!$C$15:$EL$15,'2D-Alter-Größe'!X$3,Urlisten!$C$16:$EL$16,'2D-Alter-Größe'!$C38),"")</f>
        <v/>
      </c>
      <c r="Y38" s="342" t="str">
        <f>IF(COUNTIFS(Urlisten!$C$15:$EL$15,'2D-Alter-Größe'!Y$3,Urlisten!$C$16:$EL$16,'2D-Alter-Größe'!$C38)&gt;0,COUNTIFS(Urlisten!$C$15:$EL$15,'2D-Alter-Größe'!Y$3,Urlisten!$C$16:$EL$16,'2D-Alter-Größe'!$C38),"")</f>
        <v/>
      </c>
      <c r="Z38" s="342" t="str">
        <f>IF(COUNTIFS(Urlisten!$C$15:$EL$15,'2D-Alter-Größe'!Z$3,Urlisten!$C$16:$EL$16,'2D-Alter-Größe'!$C38)&gt;0,COUNTIFS(Urlisten!$C$15:$EL$15,'2D-Alter-Größe'!Z$3,Urlisten!$C$16:$EL$16,'2D-Alter-Größe'!$C38),"")</f>
        <v/>
      </c>
      <c r="AA38" s="342" t="str">
        <f>IF(COUNTIFS(Urlisten!$C$15:$EL$15,'2D-Alter-Größe'!AA$3,Urlisten!$C$16:$EL$16,'2D-Alter-Größe'!$C38)&gt;0,COUNTIFS(Urlisten!$C$15:$EL$15,'2D-Alter-Größe'!AA$3,Urlisten!$C$16:$EL$16,'2D-Alter-Größe'!$C38),"")</f>
        <v/>
      </c>
      <c r="AB38" s="349" t="str">
        <f>IF(COUNTIFS(Urlisten!$C$15:$EL$15,'2D-Alter-Größe'!AB$3,Urlisten!$C$16:$EL$16,'2D-Alter-Größe'!$C38)&gt;0,COUNTIFS(Urlisten!$C$15:$EL$15,'2D-Alter-Größe'!AB$3,Urlisten!$C$16:$EL$16,'2D-Alter-Größe'!$C38),"")</f>
        <v/>
      </c>
      <c r="AC38" s="361">
        <f t="shared" si="1"/>
        <v>1</v>
      </c>
      <c r="AD38" s="758"/>
    </row>
    <row r="39" spans="1:30" x14ac:dyDescent="0.25">
      <c r="B39" s="767"/>
      <c r="C39" s="502">
        <f t="shared" si="2"/>
        <v>190</v>
      </c>
      <c r="D39" s="343" t="str">
        <f>IF(COUNTIFS(Urlisten!$C$15:$EL$15,'2D-Alter-Größe'!D$3,Urlisten!$C$16:$EL$16,'2D-Alter-Größe'!$C39)&gt;0,COUNTIFS(Urlisten!$C$15:$EL$15,'2D-Alter-Größe'!D$3,Urlisten!$C$16:$EL$16,'2D-Alter-Größe'!$C39),"")</f>
        <v/>
      </c>
      <c r="E39" s="342" t="str">
        <f>IF(COUNTIFS(Urlisten!$C$15:$EL$15,'2D-Alter-Größe'!E$3,Urlisten!$C$16:$EL$16,'2D-Alter-Größe'!$C39)&gt;0,COUNTIFS(Urlisten!$C$15:$EL$15,'2D-Alter-Größe'!E$3,Urlisten!$C$16:$EL$16,'2D-Alter-Größe'!$C39),"")</f>
        <v/>
      </c>
      <c r="F39" s="342" t="str">
        <f>IF(COUNTIFS(Urlisten!$C$15:$EL$15,'2D-Alter-Größe'!F$3,Urlisten!$C$16:$EL$16,'2D-Alter-Größe'!$C39)&gt;0,COUNTIFS(Urlisten!$C$15:$EL$15,'2D-Alter-Größe'!F$3,Urlisten!$C$16:$EL$16,'2D-Alter-Größe'!$C39),"")</f>
        <v/>
      </c>
      <c r="G39" s="342" t="str">
        <f>IF(COUNTIFS(Urlisten!$C$15:$EL$15,'2D-Alter-Größe'!G$3,Urlisten!$C$16:$EL$16,'2D-Alter-Größe'!$C39)&gt;0,COUNTIFS(Urlisten!$C$15:$EL$15,'2D-Alter-Größe'!G$3,Urlisten!$C$16:$EL$16,'2D-Alter-Größe'!$C39),"")</f>
        <v/>
      </c>
      <c r="H39" s="342" t="str">
        <f>IF(COUNTIFS(Urlisten!$C$15:$EL$15,'2D-Alter-Größe'!H$3,Urlisten!$C$16:$EL$16,'2D-Alter-Größe'!$C39)&gt;0,COUNTIFS(Urlisten!$C$15:$EL$15,'2D-Alter-Größe'!H$3,Urlisten!$C$16:$EL$16,'2D-Alter-Größe'!$C39),"")</f>
        <v/>
      </c>
      <c r="I39" s="342" t="str">
        <f>IF(COUNTIFS(Urlisten!$C$15:$EL$15,'2D-Alter-Größe'!I$3,Urlisten!$C$16:$EL$16,'2D-Alter-Größe'!$C39)&gt;0,COUNTIFS(Urlisten!$C$15:$EL$15,'2D-Alter-Größe'!I$3,Urlisten!$C$16:$EL$16,'2D-Alter-Größe'!$C39),"")</f>
        <v/>
      </c>
      <c r="J39" s="342" t="str">
        <f>IF(COUNTIFS(Urlisten!$C$15:$EL$15,'2D-Alter-Größe'!J$3,Urlisten!$C$16:$EL$16,'2D-Alter-Größe'!$C39)&gt;0,COUNTIFS(Urlisten!$C$15:$EL$15,'2D-Alter-Größe'!J$3,Urlisten!$C$16:$EL$16,'2D-Alter-Größe'!$C39),"")</f>
        <v/>
      </c>
      <c r="K39" s="342" t="str">
        <f>IF(COUNTIFS(Urlisten!$C$15:$EL$15,'2D-Alter-Größe'!K$3,Urlisten!$C$16:$EL$16,'2D-Alter-Größe'!$C39)&gt;0,COUNTIFS(Urlisten!$C$15:$EL$15,'2D-Alter-Größe'!K$3,Urlisten!$C$16:$EL$16,'2D-Alter-Größe'!$C39),"")</f>
        <v/>
      </c>
      <c r="L39" s="342" t="str">
        <f>IF(COUNTIFS(Urlisten!$C$15:$EL$15,'2D-Alter-Größe'!L$3,Urlisten!$C$16:$EL$16,'2D-Alter-Größe'!$C39)&gt;0,COUNTIFS(Urlisten!$C$15:$EL$15,'2D-Alter-Größe'!L$3,Urlisten!$C$16:$EL$16,'2D-Alter-Größe'!$C39),"")</f>
        <v/>
      </c>
      <c r="M39" s="342" t="str">
        <f>IF(COUNTIFS(Urlisten!$C$15:$EL$15,'2D-Alter-Größe'!M$3,Urlisten!$C$16:$EL$16,'2D-Alter-Größe'!$C39)&gt;0,COUNTIFS(Urlisten!$C$15:$EL$15,'2D-Alter-Größe'!M$3,Urlisten!$C$16:$EL$16,'2D-Alter-Größe'!$C39),"")</f>
        <v/>
      </c>
      <c r="N39" s="342">
        <f>IF(COUNTIFS(Urlisten!$C$15:$EL$15,'2D-Alter-Größe'!N$3,Urlisten!$C$16:$EL$16,'2D-Alter-Größe'!$C39)&gt;0,COUNTIFS(Urlisten!$C$15:$EL$15,'2D-Alter-Größe'!N$3,Urlisten!$C$16:$EL$16,'2D-Alter-Größe'!$C39),"")</f>
        <v>1</v>
      </c>
      <c r="O39" s="342" t="str">
        <f>IF(COUNTIFS(Urlisten!$C$15:$EL$15,'2D-Alter-Größe'!O$3,Urlisten!$C$16:$EL$16,'2D-Alter-Größe'!$C39)&gt;0,COUNTIFS(Urlisten!$C$15:$EL$15,'2D-Alter-Größe'!O$3,Urlisten!$C$16:$EL$16,'2D-Alter-Größe'!$C39),"")</f>
        <v/>
      </c>
      <c r="P39" s="342" t="str">
        <f>IF(COUNTIFS(Urlisten!$C$15:$EL$15,'2D-Alter-Größe'!P$3,Urlisten!$C$16:$EL$16,'2D-Alter-Größe'!$C39)&gt;0,COUNTIFS(Urlisten!$C$15:$EL$15,'2D-Alter-Größe'!P$3,Urlisten!$C$16:$EL$16,'2D-Alter-Größe'!$C39),"")</f>
        <v/>
      </c>
      <c r="Q39" s="342" t="str">
        <f>IF(COUNTIFS(Urlisten!$C$15:$EL$15,'2D-Alter-Größe'!Q$3,Urlisten!$C$16:$EL$16,'2D-Alter-Größe'!$C39)&gt;0,COUNTIFS(Urlisten!$C$15:$EL$15,'2D-Alter-Größe'!Q$3,Urlisten!$C$16:$EL$16,'2D-Alter-Größe'!$C39),"")</f>
        <v/>
      </c>
      <c r="R39" s="342" t="str">
        <f>IF(COUNTIFS(Urlisten!$C$15:$EL$15,'2D-Alter-Größe'!R$3,Urlisten!$C$16:$EL$16,'2D-Alter-Größe'!$C39)&gt;0,COUNTIFS(Urlisten!$C$15:$EL$15,'2D-Alter-Größe'!R$3,Urlisten!$C$16:$EL$16,'2D-Alter-Größe'!$C39),"")</f>
        <v/>
      </c>
      <c r="S39" s="342" t="str">
        <f>IF(COUNTIFS(Urlisten!$C$15:$EL$15,'2D-Alter-Größe'!S$3,Urlisten!$C$16:$EL$16,'2D-Alter-Größe'!$C39)&gt;0,COUNTIFS(Urlisten!$C$15:$EL$15,'2D-Alter-Größe'!S$3,Urlisten!$C$16:$EL$16,'2D-Alter-Größe'!$C39),"")</f>
        <v/>
      </c>
      <c r="T39" s="342" t="str">
        <f>IF(COUNTIFS(Urlisten!$C$15:$EL$15,'2D-Alter-Größe'!T$3,Urlisten!$C$16:$EL$16,'2D-Alter-Größe'!$C39)&gt;0,COUNTIFS(Urlisten!$C$15:$EL$15,'2D-Alter-Größe'!T$3,Urlisten!$C$16:$EL$16,'2D-Alter-Größe'!$C39),"")</f>
        <v/>
      </c>
      <c r="U39" s="342" t="str">
        <f>IF(COUNTIFS(Urlisten!$C$15:$EL$15,'2D-Alter-Größe'!U$3,Urlisten!$C$16:$EL$16,'2D-Alter-Größe'!$C39)&gt;0,COUNTIFS(Urlisten!$C$15:$EL$15,'2D-Alter-Größe'!U$3,Urlisten!$C$16:$EL$16,'2D-Alter-Größe'!$C39),"")</f>
        <v/>
      </c>
      <c r="V39" s="342" t="str">
        <f>IF(COUNTIFS(Urlisten!$C$15:$EL$15,'2D-Alter-Größe'!V$3,Urlisten!$C$16:$EL$16,'2D-Alter-Größe'!$C39)&gt;0,COUNTIFS(Urlisten!$C$15:$EL$15,'2D-Alter-Größe'!V$3,Urlisten!$C$16:$EL$16,'2D-Alter-Größe'!$C39),"")</f>
        <v/>
      </c>
      <c r="W39" s="342" t="str">
        <f>IF(COUNTIFS(Urlisten!$C$15:$EL$15,'2D-Alter-Größe'!W$3,Urlisten!$C$16:$EL$16,'2D-Alter-Größe'!$C39)&gt;0,COUNTIFS(Urlisten!$C$15:$EL$15,'2D-Alter-Größe'!W$3,Urlisten!$C$16:$EL$16,'2D-Alter-Größe'!$C39),"")</f>
        <v/>
      </c>
      <c r="X39" s="342" t="str">
        <f>IF(COUNTIFS(Urlisten!$C$15:$EL$15,'2D-Alter-Größe'!X$3,Urlisten!$C$16:$EL$16,'2D-Alter-Größe'!$C39)&gt;0,COUNTIFS(Urlisten!$C$15:$EL$15,'2D-Alter-Größe'!X$3,Urlisten!$C$16:$EL$16,'2D-Alter-Größe'!$C39),"")</f>
        <v/>
      </c>
      <c r="Y39" s="342" t="str">
        <f>IF(COUNTIFS(Urlisten!$C$15:$EL$15,'2D-Alter-Größe'!Y$3,Urlisten!$C$16:$EL$16,'2D-Alter-Größe'!$C39)&gt;0,COUNTIFS(Urlisten!$C$15:$EL$15,'2D-Alter-Größe'!Y$3,Urlisten!$C$16:$EL$16,'2D-Alter-Größe'!$C39),"")</f>
        <v/>
      </c>
      <c r="Z39" s="342" t="str">
        <f>IF(COUNTIFS(Urlisten!$C$15:$EL$15,'2D-Alter-Größe'!Z$3,Urlisten!$C$16:$EL$16,'2D-Alter-Größe'!$C39)&gt;0,COUNTIFS(Urlisten!$C$15:$EL$15,'2D-Alter-Größe'!Z$3,Urlisten!$C$16:$EL$16,'2D-Alter-Größe'!$C39),"")</f>
        <v/>
      </c>
      <c r="AA39" s="342" t="str">
        <f>IF(COUNTIFS(Urlisten!$C$15:$EL$15,'2D-Alter-Größe'!AA$3,Urlisten!$C$16:$EL$16,'2D-Alter-Größe'!$C39)&gt;0,COUNTIFS(Urlisten!$C$15:$EL$15,'2D-Alter-Größe'!AA$3,Urlisten!$C$16:$EL$16,'2D-Alter-Größe'!$C39),"")</f>
        <v/>
      </c>
      <c r="AB39" s="349" t="str">
        <f>IF(COUNTIFS(Urlisten!$C$15:$EL$15,'2D-Alter-Größe'!AB$3,Urlisten!$C$16:$EL$16,'2D-Alter-Größe'!$C39)&gt;0,COUNTIFS(Urlisten!$C$15:$EL$15,'2D-Alter-Größe'!AB$3,Urlisten!$C$16:$EL$16,'2D-Alter-Größe'!$C39),"")</f>
        <v/>
      </c>
      <c r="AC39" s="361">
        <f t="shared" si="1"/>
        <v>1</v>
      </c>
      <c r="AD39" s="758"/>
    </row>
    <row r="40" spans="1:30" ht="15" customHeight="1" x14ac:dyDescent="0.25">
      <c r="B40" s="767"/>
      <c r="C40" s="502">
        <f t="shared" si="2"/>
        <v>191</v>
      </c>
      <c r="D40" s="343" t="str">
        <f>IF(COUNTIFS(Urlisten!$C$15:$EL$15,'2D-Alter-Größe'!D$3,Urlisten!$C$16:$EL$16,'2D-Alter-Größe'!$C40)&gt;0,COUNTIFS(Urlisten!$C$15:$EL$15,'2D-Alter-Größe'!D$3,Urlisten!$C$16:$EL$16,'2D-Alter-Größe'!$C40),"")</f>
        <v/>
      </c>
      <c r="E40" s="342" t="str">
        <f>IF(COUNTIFS(Urlisten!$C$15:$EL$15,'2D-Alter-Größe'!E$3,Urlisten!$C$16:$EL$16,'2D-Alter-Größe'!$C40)&gt;0,COUNTIFS(Urlisten!$C$15:$EL$15,'2D-Alter-Größe'!E$3,Urlisten!$C$16:$EL$16,'2D-Alter-Größe'!$C40),"")</f>
        <v/>
      </c>
      <c r="F40" s="342" t="str">
        <f>IF(COUNTIFS(Urlisten!$C$15:$EL$15,'2D-Alter-Größe'!F$3,Urlisten!$C$16:$EL$16,'2D-Alter-Größe'!$C40)&gt;0,COUNTIFS(Urlisten!$C$15:$EL$15,'2D-Alter-Größe'!F$3,Urlisten!$C$16:$EL$16,'2D-Alter-Größe'!$C40),"")</f>
        <v/>
      </c>
      <c r="G40" s="342" t="str">
        <f>IF(COUNTIFS(Urlisten!$C$15:$EL$15,'2D-Alter-Größe'!G$3,Urlisten!$C$16:$EL$16,'2D-Alter-Größe'!$C40)&gt;0,COUNTIFS(Urlisten!$C$15:$EL$15,'2D-Alter-Größe'!G$3,Urlisten!$C$16:$EL$16,'2D-Alter-Größe'!$C40),"")</f>
        <v/>
      </c>
      <c r="H40" s="342" t="str">
        <f>IF(COUNTIFS(Urlisten!$C$15:$EL$15,'2D-Alter-Größe'!H$3,Urlisten!$C$16:$EL$16,'2D-Alter-Größe'!$C40)&gt;0,COUNTIFS(Urlisten!$C$15:$EL$15,'2D-Alter-Größe'!H$3,Urlisten!$C$16:$EL$16,'2D-Alter-Größe'!$C40),"")</f>
        <v/>
      </c>
      <c r="I40" s="342" t="str">
        <f>IF(COUNTIFS(Urlisten!$C$15:$EL$15,'2D-Alter-Größe'!I$3,Urlisten!$C$16:$EL$16,'2D-Alter-Größe'!$C40)&gt;0,COUNTIFS(Urlisten!$C$15:$EL$15,'2D-Alter-Größe'!I$3,Urlisten!$C$16:$EL$16,'2D-Alter-Größe'!$C40),"")</f>
        <v/>
      </c>
      <c r="J40" s="342" t="str">
        <f>IF(COUNTIFS(Urlisten!$C$15:$EL$15,'2D-Alter-Größe'!J$3,Urlisten!$C$16:$EL$16,'2D-Alter-Größe'!$C40)&gt;0,COUNTIFS(Urlisten!$C$15:$EL$15,'2D-Alter-Größe'!J$3,Urlisten!$C$16:$EL$16,'2D-Alter-Größe'!$C40),"")</f>
        <v/>
      </c>
      <c r="K40" s="342" t="str">
        <f>IF(COUNTIFS(Urlisten!$C$15:$EL$15,'2D-Alter-Größe'!K$3,Urlisten!$C$16:$EL$16,'2D-Alter-Größe'!$C40)&gt;0,COUNTIFS(Urlisten!$C$15:$EL$15,'2D-Alter-Größe'!K$3,Urlisten!$C$16:$EL$16,'2D-Alter-Größe'!$C40),"")</f>
        <v/>
      </c>
      <c r="L40" s="342" t="str">
        <f>IF(COUNTIFS(Urlisten!$C$15:$EL$15,'2D-Alter-Größe'!L$3,Urlisten!$C$16:$EL$16,'2D-Alter-Größe'!$C40)&gt;0,COUNTIFS(Urlisten!$C$15:$EL$15,'2D-Alter-Größe'!L$3,Urlisten!$C$16:$EL$16,'2D-Alter-Größe'!$C40),"")</f>
        <v/>
      </c>
      <c r="M40" s="342" t="str">
        <f>IF(COUNTIFS(Urlisten!$C$15:$EL$15,'2D-Alter-Größe'!M$3,Urlisten!$C$16:$EL$16,'2D-Alter-Größe'!$C40)&gt;0,COUNTIFS(Urlisten!$C$15:$EL$15,'2D-Alter-Größe'!M$3,Urlisten!$C$16:$EL$16,'2D-Alter-Größe'!$C40),"")</f>
        <v/>
      </c>
      <c r="N40" s="342" t="str">
        <f>IF(COUNTIFS(Urlisten!$C$15:$EL$15,'2D-Alter-Größe'!N$3,Urlisten!$C$16:$EL$16,'2D-Alter-Größe'!$C40)&gt;0,COUNTIFS(Urlisten!$C$15:$EL$15,'2D-Alter-Größe'!N$3,Urlisten!$C$16:$EL$16,'2D-Alter-Größe'!$C40),"")</f>
        <v/>
      </c>
      <c r="O40" s="342" t="str">
        <f>IF(COUNTIFS(Urlisten!$C$15:$EL$15,'2D-Alter-Größe'!O$3,Urlisten!$C$16:$EL$16,'2D-Alter-Größe'!$C40)&gt;0,COUNTIFS(Urlisten!$C$15:$EL$15,'2D-Alter-Größe'!O$3,Urlisten!$C$16:$EL$16,'2D-Alter-Größe'!$C40),"")</f>
        <v/>
      </c>
      <c r="P40" s="342" t="str">
        <f>IF(COUNTIFS(Urlisten!$C$15:$EL$15,'2D-Alter-Größe'!P$3,Urlisten!$C$16:$EL$16,'2D-Alter-Größe'!$C40)&gt;0,COUNTIFS(Urlisten!$C$15:$EL$15,'2D-Alter-Größe'!P$3,Urlisten!$C$16:$EL$16,'2D-Alter-Größe'!$C40),"")</f>
        <v/>
      </c>
      <c r="Q40" s="342" t="str">
        <f>IF(COUNTIFS(Urlisten!$C$15:$EL$15,'2D-Alter-Größe'!Q$3,Urlisten!$C$16:$EL$16,'2D-Alter-Größe'!$C40)&gt;0,COUNTIFS(Urlisten!$C$15:$EL$15,'2D-Alter-Größe'!Q$3,Urlisten!$C$16:$EL$16,'2D-Alter-Größe'!$C40),"")</f>
        <v/>
      </c>
      <c r="R40" s="342" t="str">
        <f>IF(COUNTIFS(Urlisten!$C$15:$EL$15,'2D-Alter-Größe'!R$3,Urlisten!$C$16:$EL$16,'2D-Alter-Größe'!$C40)&gt;0,COUNTIFS(Urlisten!$C$15:$EL$15,'2D-Alter-Größe'!R$3,Urlisten!$C$16:$EL$16,'2D-Alter-Größe'!$C40),"")</f>
        <v/>
      </c>
      <c r="S40" s="342" t="str">
        <f>IF(COUNTIFS(Urlisten!$C$15:$EL$15,'2D-Alter-Größe'!S$3,Urlisten!$C$16:$EL$16,'2D-Alter-Größe'!$C40)&gt;0,COUNTIFS(Urlisten!$C$15:$EL$15,'2D-Alter-Größe'!S$3,Urlisten!$C$16:$EL$16,'2D-Alter-Größe'!$C40),"")</f>
        <v/>
      </c>
      <c r="T40" s="342" t="str">
        <f>IF(COUNTIFS(Urlisten!$C$15:$EL$15,'2D-Alter-Größe'!T$3,Urlisten!$C$16:$EL$16,'2D-Alter-Größe'!$C40)&gt;0,COUNTIFS(Urlisten!$C$15:$EL$15,'2D-Alter-Größe'!T$3,Urlisten!$C$16:$EL$16,'2D-Alter-Größe'!$C40),"")</f>
        <v/>
      </c>
      <c r="U40" s="342" t="str">
        <f>IF(COUNTIFS(Urlisten!$C$15:$EL$15,'2D-Alter-Größe'!U$3,Urlisten!$C$16:$EL$16,'2D-Alter-Größe'!$C40)&gt;0,COUNTIFS(Urlisten!$C$15:$EL$15,'2D-Alter-Größe'!U$3,Urlisten!$C$16:$EL$16,'2D-Alter-Größe'!$C40),"")</f>
        <v/>
      </c>
      <c r="V40" s="342" t="str">
        <f>IF(COUNTIFS(Urlisten!$C$15:$EL$15,'2D-Alter-Größe'!V$3,Urlisten!$C$16:$EL$16,'2D-Alter-Größe'!$C40)&gt;0,COUNTIFS(Urlisten!$C$15:$EL$15,'2D-Alter-Größe'!V$3,Urlisten!$C$16:$EL$16,'2D-Alter-Größe'!$C40),"")</f>
        <v/>
      </c>
      <c r="W40" s="342" t="str">
        <f>IF(COUNTIFS(Urlisten!$C$15:$EL$15,'2D-Alter-Größe'!W$3,Urlisten!$C$16:$EL$16,'2D-Alter-Größe'!$C40)&gt;0,COUNTIFS(Urlisten!$C$15:$EL$15,'2D-Alter-Größe'!W$3,Urlisten!$C$16:$EL$16,'2D-Alter-Größe'!$C40),"")</f>
        <v/>
      </c>
      <c r="X40" s="342" t="str">
        <f>IF(COUNTIFS(Urlisten!$C$15:$EL$15,'2D-Alter-Größe'!X$3,Urlisten!$C$16:$EL$16,'2D-Alter-Größe'!$C40)&gt;0,COUNTIFS(Urlisten!$C$15:$EL$15,'2D-Alter-Größe'!X$3,Urlisten!$C$16:$EL$16,'2D-Alter-Größe'!$C40),"")</f>
        <v/>
      </c>
      <c r="Y40" s="342" t="str">
        <f>IF(COUNTIFS(Urlisten!$C$15:$EL$15,'2D-Alter-Größe'!Y$3,Urlisten!$C$16:$EL$16,'2D-Alter-Größe'!$C40)&gt;0,COUNTIFS(Urlisten!$C$15:$EL$15,'2D-Alter-Größe'!Y$3,Urlisten!$C$16:$EL$16,'2D-Alter-Größe'!$C40),"")</f>
        <v/>
      </c>
      <c r="Z40" s="342" t="str">
        <f>IF(COUNTIFS(Urlisten!$C$15:$EL$15,'2D-Alter-Größe'!Z$3,Urlisten!$C$16:$EL$16,'2D-Alter-Größe'!$C40)&gt;0,COUNTIFS(Urlisten!$C$15:$EL$15,'2D-Alter-Größe'!Z$3,Urlisten!$C$16:$EL$16,'2D-Alter-Größe'!$C40),"")</f>
        <v/>
      </c>
      <c r="AA40" s="342" t="str">
        <f>IF(COUNTIFS(Urlisten!$C$15:$EL$15,'2D-Alter-Größe'!AA$3,Urlisten!$C$16:$EL$16,'2D-Alter-Größe'!$C40)&gt;0,COUNTIFS(Urlisten!$C$15:$EL$15,'2D-Alter-Größe'!AA$3,Urlisten!$C$16:$EL$16,'2D-Alter-Größe'!$C40),"")</f>
        <v/>
      </c>
      <c r="AB40" s="349" t="str">
        <f>IF(COUNTIFS(Urlisten!$C$15:$EL$15,'2D-Alter-Größe'!AB$3,Urlisten!$C$16:$EL$16,'2D-Alter-Größe'!$C40)&gt;0,COUNTIFS(Urlisten!$C$15:$EL$15,'2D-Alter-Größe'!AB$3,Urlisten!$C$16:$EL$16,'2D-Alter-Größe'!$C40),"")</f>
        <v/>
      </c>
      <c r="AC40" s="361" t="str">
        <f t="shared" si="1"/>
        <v/>
      </c>
      <c r="AD40" s="758"/>
    </row>
    <row r="41" spans="1:30" x14ac:dyDescent="0.25">
      <c r="B41" s="767"/>
      <c r="C41" s="502">
        <f t="shared" si="2"/>
        <v>192</v>
      </c>
      <c r="D41" s="343" t="str">
        <f>IF(COUNTIFS(Urlisten!$C$15:$EL$15,'2D-Alter-Größe'!D$3,Urlisten!$C$16:$EL$16,'2D-Alter-Größe'!$C41)&gt;0,COUNTIFS(Urlisten!$C$15:$EL$15,'2D-Alter-Größe'!D$3,Urlisten!$C$16:$EL$16,'2D-Alter-Größe'!$C41),"")</f>
        <v/>
      </c>
      <c r="E41" s="342" t="str">
        <f>IF(COUNTIFS(Urlisten!$C$15:$EL$15,'2D-Alter-Größe'!E$3,Urlisten!$C$16:$EL$16,'2D-Alter-Größe'!$C41)&gt;0,COUNTIFS(Urlisten!$C$15:$EL$15,'2D-Alter-Größe'!E$3,Urlisten!$C$16:$EL$16,'2D-Alter-Größe'!$C41),"")</f>
        <v/>
      </c>
      <c r="F41" s="342" t="str">
        <f>IF(COUNTIFS(Urlisten!$C$15:$EL$15,'2D-Alter-Größe'!F$3,Urlisten!$C$16:$EL$16,'2D-Alter-Größe'!$C41)&gt;0,COUNTIFS(Urlisten!$C$15:$EL$15,'2D-Alter-Größe'!F$3,Urlisten!$C$16:$EL$16,'2D-Alter-Größe'!$C41),"")</f>
        <v/>
      </c>
      <c r="G41" s="342" t="str">
        <f>IF(COUNTIFS(Urlisten!$C$15:$EL$15,'2D-Alter-Größe'!G$3,Urlisten!$C$16:$EL$16,'2D-Alter-Größe'!$C41)&gt;0,COUNTIFS(Urlisten!$C$15:$EL$15,'2D-Alter-Größe'!G$3,Urlisten!$C$16:$EL$16,'2D-Alter-Größe'!$C41),"")</f>
        <v/>
      </c>
      <c r="H41" s="342" t="str">
        <f>IF(COUNTIFS(Urlisten!$C$15:$EL$15,'2D-Alter-Größe'!H$3,Urlisten!$C$16:$EL$16,'2D-Alter-Größe'!$C41)&gt;0,COUNTIFS(Urlisten!$C$15:$EL$15,'2D-Alter-Größe'!H$3,Urlisten!$C$16:$EL$16,'2D-Alter-Größe'!$C41),"")</f>
        <v/>
      </c>
      <c r="I41" s="342" t="str">
        <f>IF(COUNTIFS(Urlisten!$C$15:$EL$15,'2D-Alter-Größe'!I$3,Urlisten!$C$16:$EL$16,'2D-Alter-Größe'!$C41)&gt;0,COUNTIFS(Urlisten!$C$15:$EL$15,'2D-Alter-Größe'!I$3,Urlisten!$C$16:$EL$16,'2D-Alter-Größe'!$C41),"")</f>
        <v/>
      </c>
      <c r="J41" s="342" t="str">
        <f>IF(COUNTIFS(Urlisten!$C$15:$EL$15,'2D-Alter-Größe'!J$3,Urlisten!$C$16:$EL$16,'2D-Alter-Größe'!$C41)&gt;0,COUNTIFS(Urlisten!$C$15:$EL$15,'2D-Alter-Größe'!J$3,Urlisten!$C$16:$EL$16,'2D-Alter-Größe'!$C41),"")</f>
        <v/>
      </c>
      <c r="K41" s="342" t="str">
        <f>IF(COUNTIFS(Urlisten!$C$15:$EL$15,'2D-Alter-Größe'!K$3,Urlisten!$C$16:$EL$16,'2D-Alter-Größe'!$C41)&gt;0,COUNTIFS(Urlisten!$C$15:$EL$15,'2D-Alter-Größe'!K$3,Urlisten!$C$16:$EL$16,'2D-Alter-Größe'!$C41),"")</f>
        <v/>
      </c>
      <c r="L41" s="342" t="str">
        <f>IF(COUNTIFS(Urlisten!$C$15:$EL$15,'2D-Alter-Größe'!L$3,Urlisten!$C$16:$EL$16,'2D-Alter-Größe'!$C41)&gt;0,COUNTIFS(Urlisten!$C$15:$EL$15,'2D-Alter-Größe'!L$3,Urlisten!$C$16:$EL$16,'2D-Alter-Größe'!$C41),"")</f>
        <v/>
      </c>
      <c r="M41" s="342" t="str">
        <f>IF(COUNTIFS(Urlisten!$C$15:$EL$15,'2D-Alter-Größe'!M$3,Urlisten!$C$16:$EL$16,'2D-Alter-Größe'!$C41)&gt;0,COUNTIFS(Urlisten!$C$15:$EL$15,'2D-Alter-Größe'!M$3,Urlisten!$C$16:$EL$16,'2D-Alter-Größe'!$C41),"")</f>
        <v/>
      </c>
      <c r="N41" s="342" t="str">
        <f>IF(COUNTIFS(Urlisten!$C$15:$EL$15,'2D-Alter-Größe'!N$3,Urlisten!$C$16:$EL$16,'2D-Alter-Größe'!$C41)&gt;0,COUNTIFS(Urlisten!$C$15:$EL$15,'2D-Alter-Größe'!N$3,Urlisten!$C$16:$EL$16,'2D-Alter-Größe'!$C41),"")</f>
        <v/>
      </c>
      <c r="O41" s="342" t="str">
        <f>IF(COUNTIFS(Urlisten!$C$15:$EL$15,'2D-Alter-Größe'!O$3,Urlisten!$C$16:$EL$16,'2D-Alter-Größe'!$C41)&gt;0,COUNTIFS(Urlisten!$C$15:$EL$15,'2D-Alter-Größe'!O$3,Urlisten!$C$16:$EL$16,'2D-Alter-Größe'!$C41),"")</f>
        <v/>
      </c>
      <c r="P41" s="342" t="str">
        <f>IF(COUNTIFS(Urlisten!$C$15:$EL$15,'2D-Alter-Größe'!P$3,Urlisten!$C$16:$EL$16,'2D-Alter-Größe'!$C41)&gt;0,COUNTIFS(Urlisten!$C$15:$EL$15,'2D-Alter-Größe'!P$3,Urlisten!$C$16:$EL$16,'2D-Alter-Größe'!$C41),"")</f>
        <v/>
      </c>
      <c r="Q41" s="342" t="str">
        <f>IF(COUNTIFS(Urlisten!$C$15:$EL$15,'2D-Alter-Größe'!Q$3,Urlisten!$C$16:$EL$16,'2D-Alter-Größe'!$C41)&gt;0,COUNTIFS(Urlisten!$C$15:$EL$15,'2D-Alter-Größe'!Q$3,Urlisten!$C$16:$EL$16,'2D-Alter-Größe'!$C41),"")</f>
        <v/>
      </c>
      <c r="R41" s="342" t="str">
        <f>IF(COUNTIFS(Urlisten!$C$15:$EL$15,'2D-Alter-Größe'!R$3,Urlisten!$C$16:$EL$16,'2D-Alter-Größe'!$C41)&gt;0,COUNTIFS(Urlisten!$C$15:$EL$15,'2D-Alter-Größe'!R$3,Urlisten!$C$16:$EL$16,'2D-Alter-Größe'!$C41),"")</f>
        <v/>
      </c>
      <c r="S41" s="342" t="str">
        <f>IF(COUNTIFS(Urlisten!$C$15:$EL$15,'2D-Alter-Größe'!S$3,Urlisten!$C$16:$EL$16,'2D-Alter-Größe'!$C41)&gt;0,COUNTIFS(Urlisten!$C$15:$EL$15,'2D-Alter-Größe'!S$3,Urlisten!$C$16:$EL$16,'2D-Alter-Größe'!$C41),"")</f>
        <v/>
      </c>
      <c r="T41" s="342" t="str">
        <f>IF(COUNTIFS(Urlisten!$C$15:$EL$15,'2D-Alter-Größe'!T$3,Urlisten!$C$16:$EL$16,'2D-Alter-Größe'!$C41)&gt;0,COUNTIFS(Urlisten!$C$15:$EL$15,'2D-Alter-Größe'!T$3,Urlisten!$C$16:$EL$16,'2D-Alter-Größe'!$C41),"")</f>
        <v/>
      </c>
      <c r="U41" s="342" t="str">
        <f>IF(COUNTIFS(Urlisten!$C$15:$EL$15,'2D-Alter-Größe'!U$3,Urlisten!$C$16:$EL$16,'2D-Alter-Größe'!$C41)&gt;0,COUNTIFS(Urlisten!$C$15:$EL$15,'2D-Alter-Größe'!U$3,Urlisten!$C$16:$EL$16,'2D-Alter-Größe'!$C41),"")</f>
        <v/>
      </c>
      <c r="V41" s="342" t="str">
        <f>IF(COUNTIFS(Urlisten!$C$15:$EL$15,'2D-Alter-Größe'!V$3,Urlisten!$C$16:$EL$16,'2D-Alter-Größe'!$C41)&gt;0,COUNTIFS(Urlisten!$C$15:$EL$15,'2D-Alter-Größe'!V$3,Urlisten!$C$16:$EL$16,'2D-Alter-Größe'!$C41),"")</f>
        <v/>
      </c>
      <c r="W41" s="342" t="str">
        <f>IF(COUNTIFS(Urlisten!$C$15:$EL$15,'2D-Alter-Größe'!W$3,Urlisten!$C$16:$EL$16,'2D-Alter-Größe'!$C41)&gt;0,COUNTIFS(Urlisten!$C$15:$EL$15,'2D-Alter-Größe'!W$3,Urlisten!$C$16:$EL$16,'2D-Alter-Größe'!$C41),"")</f>
        <v/>
      </c>
      <c r="X41" s="342" t="str">
        <f>IF(COUNTIFS(Urlisten!$C$15:$EL$15,'2D-Alter-Größe'!X$3,Urlisten!$C$16:$EL$16,'2D-Alter-Größe'!$C41)&gt;0,COUNTIFS(Urlisten!$C$15:$EL$15,'2D-Alter-Größe'!X$3,Urlisten!$C$16:$EL$16,'2D-Alter-Größe'!$C41),"")</f>
        <v/>
      </c>
      <c r="Y41" s="342" t="str">
        <f>IF(COUNTIFS(Urlisten!$C$15:$EL$15,'2D-Alter-Größe'!Y$3,Urlisten!$C$16:$EL$16,'2D-Alter-Größe'!$C41)&gt;0,COUNTIFS(Urlisten!$C$15:$EL$15,'2D-Alter-Größe'!Y$3,Urlisten!$C$16:$EL$16,'2D-Alter-Größe'!$C41),"")</f>
        <v/>
      </c>
      <c r="Z41" s="342" t="str">
        <f>IF(COUNTIFS(Urlisten!$C$15:$EL$15,'2D-Alter-Größe'!Z$3,Urlisten!$C$16:$EL$16,'2D-Alter-Größe'!$C41)&gt;0,COUNTIFS(Urlisten!$C$15:$EL$15,'2D-Alter-Größe'!Z$3,Urlisten!$C$16:$EL$16,'2D-Alter-Größe'!$C41),"")</f>
        <v/>
      </c>
      <c r="AA41" s="342" t="str">
        <f>IF(COUNTIFS(Urlisten!$C$15:$EL$15,'2D-Alter-Größe'!AA$3,Urlisten!$C$16:$EL$16,'2D-Alter-Größe'!$C41)&gt;0,COUNTIFS(Urlisten!$C$15:$EL$15,'2D-Alter-Größe'!AA$3,Urlisten!$C$16:$EL$16,'2D-Alter-Größe'!$C41),"")</f>
        <v/>
      </c>
      <c r="AB41" s="349" t="str">
        <f>IF(COUNTIFS(Urlisten!$C$15:$EL$15,'2D-Alter-Größe'!AB$3,Urlisten!$C$16:$EL$16,'2D-Alter-Größe'!$C41)&gt;0,COUNTIFS(Urlisten!$C$15:$EL$15,'2D-Alter-Größe'!AB$3,Urlisten!$C$16:$EL$16,'2D-Alter-Größe'!$C41),"")</f>
        <v/>
      </c>
      <c r="AC41" s="361" t="str">
        <f t="shared" si="1"/>
        <v/>
      </c>
      <c r="AD41" s="758"/>
    </row>
    <row r="42" spans="1:30" ht="15" customHeight="1" x14ac:dyDescent="0.25">
      <c r="A42" s="13"/>
      <c r="B42" s="767"/>
      <c r="C42" s="502">
        <f t="shared" si="2"/>
        <v>193</v>
      </c>
      <c r="D42" s="343" t="str">
        <f>IF(COUNTIFS(Urlisten!$C$15:$EL$15,'2D-Alter-Größe'!D$3,Urlisten!$C$16:$EL$16,'2D-Alter-Größe'!$C42)&gt;0,COUNTIFS(Urlisten!$C$15:$EL$15,'2D-Alter-Größe'!D$3,Urlisten!$C$16:$EL$16,'2D-Alter-Größe'!$C42),"")</f>
        <v/>
      </c>
      <c r="E42" s="342" t="str">
        <f>IF(COUNTIFS(Urlisten!$C$15:$EL$15,'2D-Alter-Größe'!E$3,Urlisten!$C$16:$EL$16,'2D-Alter-Größe'!$C42)&gt;0,COUNTIFS(Urlisten!$C$15:$EL$15,'2D-Alter-Größe'!E$3,Urlisten!$C$16:$EL$16,'2D-Alter-Größe'!$C42),"")</f>
        <v/>
      </c>
      <c r="F42" s="342" t="str">
        <f>IF(COUNTIFS(Urlisten!$C$15:$EL$15,'2D-Alter-Größe'!F$3,Urlisten!$C$16:$EL$16,'2D-Alter-Größe'!$C42)&gt;0,COUNTIFS(Urlisten!$C$15:$EL$15,'2D-Alter-Größe'!F$3,Urlisten!$C$16:$EL$16,'2D-Alter-Größe'!$C42),"")</f>
        <v/>
      </c>
      <c r="G42" s="342" t="str">
        <f>IF(COUNTIFS(Urlisten!$C$15:$EL$15,'2D-Alter-Größe'!G$3,Urlisten!$C$16:$EL$16,'2D-Alter-Größe'!$C42)&gt;0,COUNTIFS(Urlisten!$C$15:$EL$15,'2D-Alter-Größe'!G$3,Urlisten!$C$16:$EL$16,'2D-Alter-Größe'!$C42),"")</f>
        <v/>
      </c>
      <c r="H42" s="342" t="str">
        <f>IF(COUNTIFS(Urlisten!$C$15:$EL$15,'2D-Alter-Größe'!H$3,Urlisten!$C$16:$EL$16,'2D-Alter-Größe'!$C42)&gt;0,COUNTIFS(Urlisten!$C$15:$EL$15,'2D-Alter-Größe'!H$3,Urlisten!$C$16:$EL$16,'2D-Alter-Größe'!$C42),"")</f>
        <v/>
      </c>
      <c r="I42" s="342">
        <f>IF(COUNTIFS(Urlisten!$C$15:$EL$15,'2D-Alter-Größe'!I$3,Urlisten!$C$16:$EL$16,'2D-Alter-Größe'!$C42)&gt;0,COUNTIFS(Urlisten!$C$15:$EL$15,'2D-Alter-Größe'!I$3,Urlisten!$C$16:$EL$16,'2D-Alter-Größe'!$C42),"")</f>
        <v>1</v>
      </c>
      <c r="J42" s="342" t="str">
        <f>IF(COUNTIFS(Urlisten!$C$15:$EL$15,'2D-Alter-Größe'!J$3,Urlisten!$C$16:$EL$16,'2D-Alter-Größe'!$C42)&gt;0,COUNTIFS(Urlisten!$C$15:$EL$15,'2D-Alter-Größe'!J$3,Urlisten!$C$16:$EL$16,'2D-Alter-Größe'!$C42),"")</f>
        <v/>
      </c>
      <c r="K42" s="342" t="str">
        <f>IF(COUNTIFS(Urlisten!$C$15:$EL$15,'2D-Alter-Größe'!K$3,Urlisten!$C$16:$EL$16,'2D-Alter-Größe'!$C42)&gt;0,COUNTIFS(Urlisten!$C$15:$EL$15,'2D-Alter-Größe'!K$3,Urlisten!$C$16:$EL$16,'2D-Alter-Größe'!$C42),"")</f>
        <v/>
      </c>
      <c r="L42" s="342" t="str">
        <f>IF(COUNTIFS(Urlisten!$C$15:$EL$15,'2D-Alter-Größe'!L$3,Urlisten!$C$16:$EL$16,'2D-Alter-Größe'!$C42)&gt;0,COUNTIFS(Urlisten!$C$15:$EL$15,'2D-Alter-Größe'!L$3,Urlisten!$C$16:$EL$16,'2D-Alter-Größe'!$C42),"")</f>
        <v/>
      </c>
      <c r="M42" s="342">
        <f>IF(COUNTIFS(Urlisten!$C$15:$EL$15,'2D-Alter-Größe'!M$3,Urlisten!$C$16:$EL$16,'2D-Alter-Größe'!$C42)&gt;0,COUNTIFS(Urlisten!$C$15:$EL$15,'2D-Alter-Größe'!M$3,Urlisten!$C$16:$EL$16,'2D-Alter-Größe'!$C42),"")</f>
        <v>1</v>
      </c>
      <c r="N42" s="342" t="str">
        <f>IF(COUNTIFS(Urlisten!$C$15:$EL$15,'2D-Alter-Größe'!N$3,Urlisten!$C$16:$EL$16,'2D-Alter-Größe'!$C42)&gt;0,COUNTIFS(Urlisten!$C$15:$EL$15,'2D-Alter-Größe'!N$3,Urlisten!$C$16:$EL$16,'2D-Alter-Größe'!$C42),"")</f>
        <v/>
      </c>
      <c r="O42" s="342" t="str">
        <f>IF(COUNTIFS(Urlisten!$C$15:$EL$15,'2D-Alter-Größe'!O$3,Urlisten!$C$16:$EL$16,'2D-Alter-Größe'!$C42)&gt;0,COUNTIFS(Urlisten!$C$15:$EL$15,'2D-Alter-Größe'!O$3,Urlisten!$C$16:$EL$16,'2D-Alter-Größe'!$C42),"")</f>
        <v/>
      </c>
      <c r="P42" s="342" t="str">
        <f>IF(COUNTIFS(Urlisten!$C$15:$EL$15,'2D-Alter-Größe'!P$3,Urlisten!$C$16:$EL$16,'2D-Alter-Größe'!$C42)&gt;0,COUNTIFS(Urlisten!$C$15:$EL$15,'2D-Alter-Größe'!P$3,Urlisten!$C$16:$EL$16,'2D-Alter-Größe'!$C42),"")</f>
        <v/>
      </c>
      <c r="Q42" s="342" t="str">
        <f>IF(COUNTIFS(Urlisten!$C$15:$EL$15,'2D-Alter-Größe'!Q$3,Urlisten!$C$16:$EL$16,'2D-Alter-Größe'!$C42)&gt;0,COUNTIFS(Urlisten!$C$15:$EL$15,'2D-Alter-Größe'!Q$3,Urlisten!$C$16:$EL$16,'2D-Alter-Größe'!$C42),"")</f>
        <v/>
      </c>
      <c r="R42" s="342" t="str">
        <f>IF(COUNTIFS(Urlisten!$C$15:$EL$15,'2D-Alter-Größe'!R$3,Urlisten!$C$16:$EL$16,'2D-Alter-Größe'!$C42)&gt;0,COUNTIFS(Urlisten!$C$15:$EL$15,'2D-Alter-Größe'!R$3,Urlisten!$C$16:$EL$16,'2D-Alter-Größe'!$C42),"")</f>
        <v/>
      </c>
      <c r="S42" s="342" t="str">
        <f>IF(COUNTIFS(Urlisten!$C$15:$EL$15,'2D-Alter-Größe'!S$3,Urlisten!$C$16:$EL$16,'2D-Alter-Größe'!$C42)&gt;0,COUNTIFS(Urlisten!$C$15:$EL$15,'2D-Alter-Größe'!S$3,Urlisten!$C$16:$EL$16,'2D-Alter-Größe'!$C42),"")</f>
        <v/>
      </c>
      <c r="T42" s="342" t="str">
        <f>IF(COUNTIFS(Urlisten!$C$15:$EL$15,'2D-Alter-Größe'!T$3,Urlisten!$C$16:$EL$16,'2D-Alter-Größe'!$C42)&gt;0,COUNTIFS(Urlisten!$C$15:$EL$15,'2D-Alter-Größe'!T$3,Urlisten!$C$16:$EL$16,'2D-Alter-Größe'!$C42),"")</f>
        <v/>
      </c>
      <c r="U42" s="342" t="str">
        <f>IF(COUNTIFS(Urlisten!$C$15:$EL$15,'2D-Alter-Größe'!U$3,Urlisten!$C$16:$EL$16,'2D-Alter-Größe'!$C42)&gt;0,COUNTIFS(Urlisten!$C$15:$EL$15,'2D-Alter-Größe'!U$3,Urlisten!$C$16:$EL$16,'2D-Alter-Größe'!$C42),"")</f>
        <v/>
      </c>
      <c r="V42" s="342" t="str">
        <f>IF(COUNTIFS(Urlisten!$C$15:$EL$15,'2D-Alter-Größe'!V$3,Urlisten!$C$16:$EL$16,'2D-Alter-Größe'!$C42)&gt;0,COUNTIFS(Urlisten!$C$15:$EL$15,'2D-Alter-Größe'!V$3,Urlisten!$C$16:$EL$16,'2D-Alter-Größe'!$C42),"")</f>
        <v/>
      </c>
      <c r="W42" s="342" t="str">
        <f>IF(COUNTIFS(Urlisten!$C$15:$EL$15,'2D-Alter-Größe'!W$3,Urlisten!$C$16:$EL$16,'2D-Alter-Größe'!$C42)&gt;0,COUNTIFS(Urlisten!$C$15:$EL$15,'2D-Alter-Größe'!W$3,Urlisten!$C$16:$EL$16,'2D-Alter-Größe'!$C42),"")</f>
        <v/>
      </c>
      <c r="X42" s="342" t="str">
        <f>IF(COUNTIFS(Urlisten!$C$15:$EL$15,'2D-Alter-Größe'!X$3,Urlisten!$C$16:$EL$16,'2D-Alter-Größe'!$C42)&gt;0,COUNTIFS(Urlisten!$C$15:$EL$15,'2D-Alter-Größe'!X$3,Urlisten!$C$16:$EL$16,'2D-Alter-Größe'!$C42),"")</f>
        <v/>
      </c>
      <c r="Y42" s="342" t="str">
        <f>IF(COUNTIFS(Urlisten!$C$15:$EL$15,'2D-Alter-Größe'!Y$3,Urlisten!$C$16:$EL$16,'2D-Alter-Größe'!$C42)&gt;0,COUNTIFS(Urlisten!$C$15:$EL$15,'2D-Alter-Größe'!Y$3,Urlisten!$C$16:$EL$16,'2D-Alter-Größe'!$C42),"")</f>
        <v/>
      </c>
      <c r="Z42" s="342" t="str">
        <f>IF(COUNTIFS(Urlisten!$C$15:$EL$15,'2D-Alter-Größe'!Z$3,Urlisten!$C$16:$EL$16,'2D-Alter-Größe'!$C42)&gt;0,COUNTIFS(Urlisten!$C$15:$EL$15,'2D-Alter-Größe'!Z$3,Urlisten!$C$16:$EL$16,'2D-Alter-Größe'!$C42),"")</f>
        <v/>
      </c>
      <c r="AA42" s="342" t="str">
        <f>IF(COUNTIFS(Urlisten!$C$15:$EL$15,'2D-Alter-Größe'!AA$3,Urlisten!$C$16:$EL$16,'2D-Alter-Größe'!$C42)&gt;0,COUNTIFS(Urlisten!$C$15:$EL$15,'2D-Alter-Größe'!AA$3,Urlisten!$C$16:$EL$16,'2D-Alter-Größe'!$C42),"")</f>
        <v/>
      </c>
      <c r="AB42" s="349" t="str">
        <f>IF(COUNTIFS(Urlisten!$C$15:$EL$15,'2D-Alter-Größe'!AB$3,Urlisten!$C$16:$EL$16,'2D-Alter-Größe'!$C42)&gt;0,COUNTIFS(Urlisten!$C$15:$EL$15,'2D-Alter-Größe'!AB$3,Urlisten!$C$16:$EL$16,'2D-Alter-Größe'!$C42),"")</f>
        <v/>
      </c>
      <c r="AC42" s="361">
        <f t="shared" si="1"/>
        <v>2</v>
      </c>
      <c r="AD42" s="758"/>
    </row>
    <row r="43" spans="1:30" ht="15" customHeight="1" x14ac:dyDescent="0.25">
      <c r="A43" s="13"/>
      <c r="B43" s="767"/>
      <c r="C43" s="502">
        <f t="shared" si="2"/>
        <v>194</v>
      </c>
      <c r="D43" s="343" t="str">
        <f>IF(COUNTIFS(Urlisten!$C$15:$EL$15,'2D-Alter-Größe'!D$3,Urlisten!$C$16:$EL$16,'2D-Alter-Größe'!$C43)&gt;0,COUNTIFS(Urlisten!$C$15:$EL$15,'2D-Alter-Größe'!D$3,Urlisten!$C$16:$EL$16,'2D-Alter-Größe'!$C43),"")</f>
        <v/>
      </c>
      <c r="E43" s="342" t="str">
        <f>IF(COUNTIFS(Urlisten!$C$15:$EL$15,'2D-Alter-Größe'!E$3,Urlisten!$C$16:$EL$16,'2D-Alter-Größe'!$C43)&gt;0,COUNTIFS(Urlisten!$C$15:$EL$15,'2D-Alter-Größe'!E$3,Urlisten!$C$16:$EL$16,'2D-Alter-Größe'!$C43),"")</f>
        <v/>
      </c>
      <c r="F43" s="342" t="str">
        <f>IF(COUNTIFS(Urlisten!$C$15:$EL$15,'2D-Alter-Größe'!F$3,Urlisten!$C$16:$EL$16,'2D-Alter-Größe'!$C43)&gt;0,COUNTIFS(Urlisten!$C$15:$EL$15,'2D-Alter-Größe'!F$3,Urlisten!$C$16:$EL$16,'2D-Alter-Größe'!$C43),"")</f>
        <v/>
      </c>
      <c r="G43" s="342" t="str">
        <f>IF(COUNTIFS(Urlisten!$C$15:$EL$15,'2D-Alter-Größe'!G$3,Urlisten!$C$16:$EL$16,'2D-Alter-Größe'!$C43)&gt;0,COUNTIFS(Urlisten!$C$15:$EL$15,'2D-Alter-Größe'!G$3,Urlisten!$C$16:$EL$16,'2D-Alter-Größe'!$C43),"")</f>
        <v/>
      </c>
      <c r="H43" s="342" t="str">
        <f>IF(COUNTIFS(Urlisten!$C$15:$EL$15,'2D-Alter-Größe'!H$3,Urlisten!$C$16:$EL$16,'2D-Alter-Größe'!$C43)&gt;0,COUNTIFS(Urlisten!$C$15:$EL$15,'2D-Alter-Größe'!H$3,Urlisten!$C$16:$EL$16,'2D-Alter-Größe'!$C43),"")</f>
        <v/>
      </c>
      <c r="I43" s="342" t="str">
        <f>IF(COUNTIFS(Urlisten!$C$15:$EL$15,'2D-Alter-Größe'!I$3,Urlisten!$C$16:$EL$16,'2D-Alter-Größe'!$C43)&gt;0,COUNTIFS(Urlisten!$C$15:$EL$15,'2D-Alter-Größe'!I$3,Urlisten!$C$16:$EL$16,'2D-Alter-Größe'!$C43),"")</f>
        <v/>
      </c>
      <c r="J43" s="342" t="str">
        <f>IF(COUNTIFS(Urlisten!$C$15:$EL$15,'2D-Alter-Größe'!J$3,Urlisten!$C$16:$EL$16,'2D-Alter-Größe'!$C43)&gt;0,COUNTIFS(Urlisten!$C$15:$EL$15,'2D-Alter-Größe'!J$3,Urlisten!$C$16:$EL$16,'2D-Alter-Größe'!$C43),"")</f>
        <v/>
      </c>
      <c r="K43" s="342" t="str">
        <f>IF(COUNTIFS(Urlisten!$C$15:$EL$15,'2D-Alter-Größe'!K$3,Urlisten!$C$16:$EL$16,'2D-Alter-Größe'!$C43)&gt;0,COUNTIFS(Urlisten!$C$15:$EL$15,'2D-Alter-Größe'!K$3,Urlisten!$C$16:$EL$16,'2D-Alter-Größe'!$C43),"")</f>
        <v/>
      </c>
      <c r="L43" s="342" t="str">
        <f>IF(COUNTIFS(Urlisten!$C$15:$EL$15,'2D-Alter-Größe'!L$3,Urlisten!$C$16:$EL$16,'2D-Alter-Größe'!$C43)&gt;0,COUNTIFS(Urlisten!$C$15:$EL$15,'2D-Alter-Größe'!L$3,Urlisten!$C$16:$EL$16,'2D-Alter-Größe'!$C43),"")</f>
        <v/>
      </c>
      <c r="M43" s="342" t="str">
        <f>IF(COUNTIFS(Urlisten!$C$15:$EL$15,'2D-Alter-Größe'!M$3,Urlisten!$C$16:$EL$16,'2D-Alter-Größe'!$C43)&gt;0,COUNTIFS(Urlisten!$C$15:$EL$15,'2D-Alter-Größe'!M$3,Urlisten!$C$16:$EL$16,'2D-Alter-Größe'!$C43),"")</f>
        <v/>
      </c>
      <c r="N43" s="342" t="str">
        <f>IF(COUNTIFS(Urlisten!$C$15:$EL$15,'2D-Alter-Größe'!N$3,Urlisten!$C$16:$EL$16,'2D-Alter-Größe'!$C43)&gt;0,COUNTIFS(Urlisten!$C$15:$EL$15,'2D-Alter-Größe'!N$3,Urlisten!$C$16:$EL$16,'2D-Alter-Größe'!$C43),"")</f>
        <v/>
      </c>
      <c r="O43" s="342" t="str">
        <f>IF(COUNTIFS(Urlisten!$C$15:$EL$15,'2D-Alter-Größe'!O$3,Urlisten!$C$16:$EL$16,'2D-Alter-Größe'!$C43)&gt;0,COUNTIFS(Urlisten!$C$15:$EL$15,'2D-Alter-Größe'!O$3,Urlisten!$C$16:$EL$16,'2D-Alter-Größe'!$C43),"")</f>
        <v/>
      </c>
      <c r="P43" s="342" t="str">
        <f>IF(COUNTIFS(Urlisten!$C$15:$EL$15,'2D-Alter-Größe'!P$3,Urlisten!$C$16:$EL$16,'2D-Alter-Größe'!$C43)&gt;0,COUNTIFS(Urlisten!$C$15:$EL$15,'2D-Alter-Größe'!P$3,Urlisten!$C$16:$EL$16,'2D-Alter-Größe'!$C43),"")</f>
        <v/>
      </c>
      <c r="Q43" s="342" t="str">
        <f>IF(COUNTIFS(Urlisten!$C$15:$EL$15,'2D-Alter-Größe'!Q$3,Urlisten!$C$16:$EL$16,'2D-Alter-Größe'!$C43)&gt;0,COUNTIFS(Urlisten!$C$15:$EL$15,'2D-Alter-Größe'!Q$3,Urlisten!$C$16:$EL$16,'2D-Alter-Größe'!$C43),"")</f>
        <v/>
      </c>
      <c r="R43" s="342" t="str">
        <f>IF(COUNTIFS(Urlisten!$C$15:$EL$15,'2D-Alter-Größe'!R$3,Urlisten!$C$16:$EL$16,'2D-Alter-Größe'!$C43)&gt;0,COUNTIFS(Urlisten!$C$15:$EL$15,'2D-Alter-Größe'!R$3,Urlisten!$C$16:$EL$16,'2D-Alter-Größe'!$C43),"")</f>
        <v/>
      </c>
      <c r="S43" s="342" t="str">
        <f>IF(COUNTIFS(Urlisten!$C$15:$EL$15,'2D-Alter-Größe'!S$3,Urlisten!$C$16:$EL$16,'2D-Alter-Größe'!$C43)&gt;0,COUNTIFS(Urlisten!$C$15:$EL$15,'2D-Alter-Größe'!S$3,Urlisten!$C$16:$EL$16,'2D-Alter-Größe'!$C43),"")</f>
        <v/>
      </c>
      <c r="T43" s="342" t="str">
        <f>IF(COUNTIFS(Urlisten!$C$15:$EL$15,'2D-Alter-Größe'!T$3,Urlisten!$C$16:$EL$16,'2D-Alter-Größe'!$C43)&gt;0,COUNTIFS(Urlisten!$C$15:$EL$15,'2D-Alter-Größe'!T$3,Urlisten!$C$16:$EL$16,'2D-Alter-Größe'!$C43),"")</f>
        <v/>
      </c>
      <c r="U43" s="342" t="str">
        <f>IF(COUNTIFS(Urlisten!$C$15:$EL$15,'2D-Alter-Größe'!U$3,Urlisten!$C$16:$EL$16,'2D-Alter-Größe'!$C43)&gt;0,COUNTIFS(Urlisten!$C$15:$EL$15,'2D-Alter-Größe'!U$3,Urlisten!$C$16:$EL$16,'2D-Alter-Größe'!$C43),"")</f>
        <v/>
      </c>
      <c r="V43" s="342" t="str">
        <f>IF(COUNTIFS(Urlisten!$C$15:$EL$15,'2D-Alter-Größe'!V$3,Urlisten!$C$16:$EL$16,'2D-Alter-Größe'!$C43)&gt;0,COUNTIFS(Urlisten!$C$15:$EL$15,'2D-Alter-Größe'!V$3,Urlisten!$C$16:$EL$16,'2D-Alter-Größe'!$C43),"")</f>
        <v/>
      </c>
      <c r="W43" s="342" t="str">
        <f>IF(COUNTIFS(Urlisten!$C$15:$EL$15,'2D-Alter-Größe'!W$3,Urlisten!$C$16:$EL$16,'2D-Alter-Größe'!$C43)&gt;0,COUNTIFS(Urlisten!$C$15:$EL$15,'2D-Alter-Größe'!W$3,Urlisten!$C$16:$EL$16,'2D-Alter-Größe'!$C43),"")</f>
        <v/>
      </c>
      <c r="X43" s="342" t="str">
        <f>IF(COUNTIFS(Urlisten!$C$15:$EL$15,'2D-Alter-Größe'!X$3,Urlisten!$C$16:$EL$16,'2D-Alter-Größe'!$C43)&gt;0,COUNTIFS(Urlisten!$C$15:$EL$15,'2D-Alter-Größe'!X$3,Urlisten!$C$16:$EL$16,'2D-Alter-Größe'!$C43),"")</f>
        <v/>
      </c>
      <c r="Y43" s="342" t="str">
        <f>IF(COUNTIFS(Urlisten!$C$15:$EL$15,'2D-Alter-Größe'!Y$3,Urlisten!$C$16:$EL$16,'2D-Alter-Größe'!$C43)&gt;0,COUNTIFS(Urlisten!$C$15:$EL$15,'2D-Alter-Größe'!Y$3,Urlisten!$C$16:$EL$16,'2D-Alter-Größe'!$C43),"")</f>
        <v/>
      </c>
      <c r="Z43" s="342" t="str">
        <f>IF(COUNTIFS(Urlisten!$C$15:$EL$15,'2D-Alter-Größe'!Z$3,Urlisten!$C$16:$EL$16,'2D-Alter-Größe'!$C43)&gt;0,COUNTIFS(Urlisten!$C$15:$EL$15,'2D-Alter-Größe'!Z$3,Urlisten!$C$16:$EL$16,'2D-Alter-Größe'!$C43),"")</f>
        <v/>
      </c>
      <c r="AA43" s="342" t="str">
        <f>IF(COUNTIFS(Urlisten!$C$15:$EL$15,'2D-Alter-Größe'!AA$3,Urlisten!$C$16:$EL$16,'2D-Alter-Größe'!$C43)&gt;0,COUNTIFS(Urlisten!$C$15:$EL$15,'2D-Alter-Größe'!AA$3,Urlisten!$C$16:$EL$16,'2D-Alter-Größe'!$C43),"")</f>
        <v/>
      </c>
      <c r="AB43" s="349" t="str">
        <f>IF(COUNTIFS(Urlisten!$C$15:$EL$15,'2D-Alter-Größe'!AB$3,Urlisten!$C$16:$EL$16,'2D-Alter-Größe'!$C43)&gt;0,COUNTIFS(Urlisten!$C$15:$EL$15,'2D-Alter-Größe'!AB$3,Urlisten!$C$16:$EL$16,'2D-Alter-Größe'!$C43),"")</f>
        <v/>
      </c>
      <c r="AC43" s="361" t="str">
        <f t="shared" si="1"/>
        <v/>
      </c>
      <c r="AD43" s="758"/>
    </row>
    <row r="44" spans="1:30" x14ac:dyDescent="0.25">
      <c r="A44" s="6"/>
      <c r="B44" s="767"/>
      <c r="C44" s="502">
        <f t="shared" si="2"/>
        <v>195</v>
      </c>
      <c r="D44" s="343" t="str">
        <f>IF(COUNTIFS(Urlisten!$C$15:$EL$15,'2D-Alter-Größe'!D$3,Urlisten!$C$16:$EL$16,'2D-Alter-Größe'!$C44)&gt;0,COUNTIFS(Urlisten!$C$15:$EL$15,'2D-Alter-Größe'!D$3,Urlisten!$C$16:$EL$16,'2D-Alter-Größe'!$C44),"")</f>
        <v/>
      </c>
      <c r="E44" s="342" t="str">
        <f>IF(COUNTIFS(Urlisten!$C$15:$EL$15,'2D-Alter-Größe'!E$3,Urlisten!$C$16:$EL$16,'2D-Alter-Größe'!$C44)&gt;0,COUNTIFS(Urlisten!$C$15:$EL$15,'2D-Alter-Größe'!E$3,Urlisten!$C$16:$EL$16,'2D-Alter-Größe'!$C44),"")</f>
        <v/>
      </c>
      <c r="F44" s="342">
        <f>IF(COUNTIFS(Urlisten!$C$15:$EL$15,'2D-Alter-Größe'!F$3,Urlisten!$C$16:$EL$16,'2D-Alter-Größe'!$C44)&gt;0,COUNTIFS(Urlisten!$C$15:$EL$15,'2D-Alter-Größe'!F$3,Urlisten!$C$16:$EL$16,'2D-Alter-Größe'!$C44),"")</f>
        <v>1</v>
      </c>
      <c r="G44" s="342" t="str">
        <f>IF(COUNTIFS(Urlisten!$C$15:$EL$15,'2D-Alter-Größe'!G$3,Urlisten!$C$16:$EL$16,'2D-Alter-Größe'!$C44)&gt;0,COUNTIFS(Urlisten!$C$15:$EL$15,'2D-Alter-Größe'!G$3,Urlisten!$C$16:$EL$16,'2D-Alter-Größe'!$C44),"")</f>
        <v/>
      </c>
      <c r="H44" s="342" t="str">
        <f>IF(COUNTIFS(Urlisten!$C$15:$EL$15,'2D-Alter-Größe'!H$3,Urlisten!$C$16:$EL$16,'2D-Alter-Größe'!$C44)&gt;0,COUNTIFS(Urlisten!$C$15:$EL$15,'2D-Alter-Größe'!H$3,Urlisten!$C$16:$EL$16,'2D-Alter-Größe'!$C44),"")</f>
        <v/>
      </c>
      <c r="I44" s="342" t="str">
        <f>IF(COUNTIFS(Urlisten!$C$15:$EL$15,'2D-Alter-Größe'!I$3,Urlisten!$C$16:$EL$16,'2D-Alter-Größe'!$C44)&gt;0,COUNTIFS(Urlisten!$C$15:$EL$15,'2D-Alter-Größe'!I$3,Urlisten!$C$16:$EL$16,'2D-Alter-Größe'!$C44),"")</f>
        <v/>
      </c>
      <c r="J44" s="342" t="str">
        <f>IF(COUNTIFS(Urlisten!$C$15:$EL$15,'2D-Alter-Größe'!J$3,Urlisten!$C$16:$EL$16,'2D-Alter-Größe'!$C44)&gt;0,COUNTIFS(Urlisten!$C$15:$EL$15,'2D-Alter-Größe'!J$3,Urlisten!$C$16:$EL$16,'2D-Alter-Größe'!$C44),"")</f>
        <v/>
      </c>
      <c r="K44" s="342" t="str">
        <f>IF(COUNTIFS(Urlisten!$C$15:$EL$15,'2D-Alter-Größe'!K$3,Urlisten!$C$16:$EL$16,'2D-Alter-Größe'!$C44)&gt;0,COUNTIFS(Urlisten!$C$15:$EL$15,'2D-Alter-Größe'!K$3,Urlisten!$C$16:$EL$16,'2D-Alter-Größe'!$C44),"")</f>
        <v/>
      </c>
      <c r="L44" s="342" t="str">
        <f>IF(COUNTIFS(Urlisten!$C$15:$EL$15,'2D-Alter-Größe'!L$3,Urlisten!$C$16:$EL$16,'2D-Alter-Größe'!$C44)&gt;0,COUNTIFS(Urlisten!$C$15:$EL$15,'2D-Alter-Größe'!L$3,Urlisten!$C$16:$EL$16,'2D-Alter-Größe'!$C44),"")</f>
        <v/>
      </c>
      <c r="M44" s="342" t="str">
        <f>IF(COUNTIFS(Urlisten!$C$15:$EL$15,'2D-Alter-Größe'!M$3,Urlisten!$C$16:$EL$16,'2D-Alter-Größe'!$C44)&gt;0,COUNTIFS(Urlisten!$C$15:$EL$15,'2D-Alter-Größe'!M$3,Urlisten!$C$16:$EL$16,'2D-Alter-Größe'!$C44),"")</f>
        <v/>
      </c>
      <c r="N44" s="342" t="str">
        <f>IF(COUNTIFS(Urlisten!$C$15:$EL$15,'2D-Alter-Größe'!N$3,Urlisten!$C$16:$EL$16,'2D-Alter-Größe'!$C44)&gt;0,COUNTIFS(Urlisten!$C$15:$EL$15,'2D-Alter-Größe'!N$3,Urlisten!$C$16:$EL$16,'2D-Alter-Größe'!$C44),"")</f>
        <v/>
      </c>
      <c r="O44" s="342" t="str">
        <f>IF(COUNTIFS(Urlisten!$C$15:$EL$15,'2D-Alter-Größe'!O$3,Urlisten!$C$16:$EL$16,'2D-Alter-Größe'!$C44)&gt;0,COUNTIFS(Urlisten!$C$15:$EL$15,'2D-Alter-Größe'!O$3,Urlisten!$C$16:$EL$16,'2D-Alter-Größe'!$C44),"")</f>
        <v/>
      </c>
      <c r="P44" s="342" t="str">
        <f>IF(COUNTIFS(Urlisten!$C$15:$EL$15,'2D-Alter-Größe'!P$3,Urlisten!$C$16:$EL$16,'2D-Alter-Größe'!$C44)&gt;0,COUNTIFS(Urlisten!$C$15:$EL$15,'2D-Alter-Größe'!P$3,Urlisten!$C$16:$EL$16,'2D-Alter-Größe'!$C44),"")</f>
        <v/>
      </c>
      <c r="Q44" s="342" t="str">
        <f>IF(COUNTIFS(Urlisten!$C$15:$EL$15,'2D-Alter-Größe'!Q$3,Urlisten!$C$16:$EL$16,'2D-Alter-Größe'!$C44)&gt;0,COUNTIFS(Urlisten!$C$15:$EL$15,'2D-Alter-Größe'!Q$3,Urlisten!$C$16:$EL$16,'2D-Alter-Größe'!$C44),"")</f>
        <v/>
      </c>
      <c r="R44" s="342" t="str">
        <f>IF(COUNTIFS(Urlisten!$C$15:$EL$15,'2D-Alter-Größe'!R$3,Urlisten!$C$16:$EL$16,'2D-Alter-Größe'!$C44)&gt;0,COUNTIFS(Urlisten!$C$15:$EL$15,'2D-Alter-Größe'!R$3,Urlisten!$C$16:$EL$16,'2D-Alter-Größe'!$C44),"")</f>
        <v/>
      </c>
      <c r="S44" s="342" t="str">
        <f>IF(COUNTIFS(Urlisten!$C$15:$EL$15,'2D-Alter-Größe'!S$3,Urlisten!$C$16:$EL$16,'2D-Alter-Größe'!$C44)&gt;0,COUNTIFS(Urlisten!$C$15:$EL$15,'2D-Alter-Größe'!S$3,Urlisten!$C$16:$EL$16,'2D-Alter-Größe'!$C44),"")</f>
        <v/>
      </c>
      <c r="T44" s="342" t="str">
        <f>IF(COUNTIFS(Urlisten!$C$15:$EL$15,'2D-Alter-Größe'!T$3,Urlisten!$C$16:$EL$16,'2D-Alter-Größe'!$C44)&gt;0,COUNTIFS(Urlisten!$C$15:$EL$15,'2D-Alter-Größe'!T$3,Urlisten!$C$16:$EL$16,'2D-Alter-Größe'!$C44),"")</f>
        <v/>
      </c>
      <c r="U44" s="342" t="str">
        <f>IF(COUNTIFS(Urlisten!$C$15:$EL$15,'2D-Alter-Größe'!U$3,Urlisten!$C$16:$EL$16,'2D-Alter-Größe'!$C44)&gt;0,COUNTIFS(Urlisten!$C$15:$EL$15,'2D-Alter-Größe'!U$3,Urlisten!$C$16:$EL$16,'2D-Alter-Größe'!$C44),"")</f>
        <v/>
      </c>
      <c r="V44" s="342" t="str">
        <f>IF(COUNTIFS(Urlisten!$C$15:$EL$15,'2D-Alter-Größe'!V$3,Urlisten!$C$16:$EL$16,'2D-Alter-Größe'!$C44)&gt;0,COUNTIFS(Urlisten!$C$15:$EL$15,'2D-Alter-Größe'!V$3,Urlisten!$C$16:$EL$16,'2D-Alter-Größe'!$C44),"")</f>
        <v/>
      </c>
      <c r="W44" s="342" t="str">
        <f>IF(COUNTIFS(Urlisten!$C$15:$EL$15,'2D-Alter-Größe'!W$3,Urlisten!$C$16:$EL$16,'2D-Alter-Größe'!$C44)&gt;0,COUNTIFS(Urlisten!$C$15:$EL$15,'2D-Alter-Größe'!W$3,Urlisten!$C$16:$EL$16,'2D-Alter-Größe'!$C44),"")</f>
        <v/>
      </c>
      <c r="X44" s="342" t="str">
        <f>IF(COUNTIFS(Urlisten!$C$15:$EL$15,'2D-Alter-Größe'!X$3,Urlisten!$C$16:$EL$16,'2D-Alter-Größe'!$C44)&gt;0,COUNTIFS(Urlisten!$C$15:$EL$15,'2D-Alter-Größe'!X$3,Urlisten!$C$16:$EL$16,'2D-Alter-Größe'!$C44),"")</f>
        <v/>
      </c>
      <c r="Y44" s="342" t="str">
        <f>IF(COUNTIFS(Urlisten!$C$15:$EL$15,'2D-Alter-Größe'!Y$3,Urlisten!$C$16:$EL$16,'2D-Alter-Größe'!$C44)&gt;0,COUNTIFS(Urlisten!$C$15:$EL$15,'2D-Alter-Größe'!Y$3,Urlisten!$C$16:$EL$16,'2D-Alter-Größe'!$C44),"")</f>
        <v/>
      </c>
      <c r="Z44" s="342" t="str">
        <f>IF(COUNTIFS(Urlisten!$C$15:$EL$15,'2D-Alter-Größe'!Z$3,Urlisten!$C$16:$EL$16,'2D-Alter-Größe'!$C44)&gt;0,COUNTIFS(Urlisten!$C$15:$EL$15,'2D-Alter-Größe'!Z$3,Urlisten!$C$16:$EL$16,'2D-Alter-Größe'!$C44),"")</f>
        <v/>
      </c>
      <c r="AA44" s="342" t="str">
        <f>IF(COUNTIFS(Urlisten!$C$15:$EL$15,'2D-Alter-Größe'!AA$3,Urlisten!$C$16:$EL$16,'2D-Alter-Größe'!$C44)&gt;0,COUNTIFS(Urlisten!$C$15:$EL$15,'2D-Alter-Größe'!AA$3,Urlisten!$C$16:$EL$16,'2D-Alter-Größe'!$C44),"")</f>
        <v/>
      </c>
      <c r="AB44" s="349" t="str">
        <f>IF(COUNTIFS(Urlisten!$C$15:$EL$15,'2D-Alter-Größe'!AB$3,Urlisten!$C$16:$EL$16,'2D-Alter-Größe'!$C44)&gt;0,COUNTIFS(Urlisten!$C$15:$EL$15,'2D-Alter-Größe'!AB$3,Urlisten!$C$16:$EL$16,'2D-Alter-Größe'!$C44),"")</f>
        <v/>
      </c>
      <c r="AC44" s="361">
        <f t="shared" si="1"/>
        <v>1</v>
      </c>
      <c r="AD44" s="758"/>
    </row>
    <row r="45" spans="1:30" x14ac:dyDescent="0.25">
      <c r="A45" s="13"/>
      <c r="B45" s="767"/>
      <c r="C45" s="502">
        <f t="shared" si="2"/>
        <v>196</v>
      </c>
      <c r="D45" s="343" t="str">
        <f>IF(COUNTIFS(Urlisten!$C$15:$EL$15,'2D-Alter-Größe'!D$3,Urlisten!$C$16:$EL$16,'2D-Alter-Größe'!$C45)&gt;0,COUNTIFS(Urlisten!$C$15:$EL$15,'2D-Alter-Größe'!D$3,Urlisten!$C$16:$EL$16,'2D-Alter-Größe'!$C45),"")</f>
        <v/>
      </c>
      <c r="E45" s="342" t="str">
        <f>IF(COUNTIFS(Urlisten!$C$15:$EL$15,'2D-Alter-Größe'!E$3,Urlisten!$C$16:$EL$16,'2D-Alter-Größe'!$C45)&gt;0,COUNTIFS(Urlisten!$C$15:$EL$15,'2D-Alter-Größe'!E$3,Urlisten!$C$16:$EL$16,'2D-Alter-Größe'!$C45),"")</f>
        <v/>
      </c>
      <c r="F45" s="342" t="str">
        <f>IF(COUNTIFS(Urlisten!$C$15:$EL$15,'2D-Alter-Größe'!F$3,Urlisten!$C$16:$EL$16,'2D-Alter-Größe'!$C45)&gt;0,COUNTIFS(Urlisten!$C$15:$EL$15,'2D-Alter-Größe'!F$3,Urlisten!$C$16:$EL$16,'2D-Alter-Größe'!$C45),"")</f>
        <v/>
      </c>
      <c r="G45" s="342" t="str">
        <f>IF(COUNTIFS(Urlisten!$C$15:$EL$15,'2D-Alter-Größe'!G$3,Urlisten!$C$16:$EL$16,'2D-Alter-Größe'!$C45)&gt;0,COUNTIFS(Urlisten!$C$15:$EL$15,'2D-Alter-Größe'!G$3,Urlisten!$C$16:$EL$16,'2D-Alter-Größe'!$C45),"")</f>
        <v/>
      </c>
      <c r="H45" s="342" t="str">
        <f>IF(COUNTIFS(Urlisten!$C$15:$EL$15,'2D-Alter-Größe'!H$3,Urlisten!$C$16:$EL$16,'2D-Alter-Größe'!$C45)&gt;0,COUNTIFS(Urlisten!$C$15:$EL$15,'2D-Alter-Größe'!H$3,Urlisten!$C$16:$EL$16,'2D-Alter-Größe'!$C45),"")</f>
        <v/>
      </c>
      <c r="I45" s="342" t="str">
        <f>IF(COUNTIFS(Urlisten!$C$15:$EL$15,'2D-Alter-Größe'!I$3,Urlisten!$C$16:$EL$16,'2D-Alter-Größe'!$C45)&gt;0,COUNTIFS(Urlisten!$C$15:$EL$15,'2D-Alter-Größe'!I$3,Urlisten!$C$16:$EL$16,'2D-Alter-Größe'!$C45),"")</f>
        <v/>
      </c>
      <c r="J45" s="342" t="str">
        <f>IF(COUNTIFS(Urlisten!$C$15:$EL$15,'2D-Alter-Größe'!J$3,Urlisten!$C$16:$EL$16,'2D-Alter-Größe'!$C45)&gt;0,COUNTIFS(Urlisten!$C$15:$EL$15,'2D-Alter-Größe'!J$3,Urlisten!$C$16:$EL$16,'2D-Alter-Größe'!$C45),"")</f>
        <v/>
      </c>
      <c r="K45" s="342" t="str">
        <f>IF(COUNTIFS(Urlisten!$C$15:$EL$15,'2D-Alter-Größe'!K$3,Urlisten!$C$16:$EL$16,'2D-Alter-Größe'!$C45)&gt;0,COUNTIFS(Urlisten!$C$15:$EL$15,'2D-Alter-Größe'!K$3,Urlisten!$C$16:$EL$16,'2D-Alter-Größe'!$C45),"")</f>
        <v/>
      </c>
      <c r="L45" s="342" t="str">
        <f>IF(COUNTIFS(Urlisten!$C$15:$EL$15,'2D-Alter-Größe'!L$3,Urlisten!$C$16:$EL$16,'2D-Alter-Größe'!$C45)&gt;0,COUNTIFS(Urlisten!$C$15:$EL$15,'2D-Alter-Größe'!L$3,Urlisten!$C$16:$EL$16,'2D-Alter-Größe'!$C45),"")</f>
        <v/>
      </c>
      <c r="M45" s="342" t="str">
        <f>IF(COUNTIFS(Urlisten!$C$15:$EL$15,'2D-Alter-Größe'!M$3,Urlisten!$C$16:$EL$16,'2D-Alter-Größe'!$C45)&gt;0,COUNTIFS(Urlisten!$C$15:$EL$15,'2D-Alter-Größe'!M$3,Urlisten!$C$16:$EL$16,'2D-Alter-Größe'!$C45),"")</f>
        <v/>
      </c>
      <c r="N45" s="342" t="str">
        <f>IF(COUNTIFS(Urlisten!$C$15:$EL$15,'2D-Alter-Größe'!N$3,Urlisten!$C$16:$EL$16,'2D-Alter-Größe'!$C45)&gt;0,COUNTIFS(Urlisten!$C$15:$EL$15,'2D-Alter-Größe'!N$3,Urlisten!$C$16:$EL$16,'2D-Alter-Größe'!$C45),"")</f>
        <v/>
      </c>
      <c r="O45" s="342" t="str">
        <f>IF(COUNTIFS(Urlisten!$C$15:$EL$15,'2D-Alter-Größe'!O$3,Urlisten!$C$16:$EL$16,'2D-Alter-Größe'!$C45)&gt;0,COUNTIFS(Urlisten!$C$15:$EL$15,'2D-Alter-Größe'!O$3,Urlisten!$C$16:$EL$16,'2D-Alter-Größe'!$C45),"")</f>
        <v/>
      </c>
      <c r="P45" s="342" t="str">
        <f>IF(COUNTIFS(Urlisten!$C$15:$EL$15,'2D-Alter-Größe'!P$3,Urlisten!$C$16:$EL$16,'2D-Alter-Größe'!$C45)&gt;0,COUNTIFS(Urlisten!$C$15:$EL$15,'2D-Alter-Größe'!P$3,Urlisten!$C$16:$EL$16,'2D-Alter-Größe'!$C45),"")</f>
        <v/>
      </c>
      <c r="Q45" s="342" t="str">
        <f>IF(COUNTIFS(Urlisten!$C$15:$EL$15,'2D-Alter-Größe'!Q$3,Urlisten!$C$16:$EL$16,'2D-Alter-Größe'!$C45)&gt;0,COUNTIFS(Urlisten!$C$15:$EL$15,'2D-Alter-Größe'!Q$3,Urlisten!$C$16:$EL$16,'2D-Alter-Größe'!$C45),"")</f>
        <v/>
      </c>
      <c r="R45" s="342" t="str">
        <f>IF(COUNTIFS(Urlisten!$C$15:$EL$15,'2D-Alter-Größe'!R$3,Urlisten!$C$16:$EL$16,'2D-Alter-Größe'!$C45)&gt;0,COUNTIFS(Urlisten!$C$15:$EL$15,'2D-Alter-Größe'!R$3,Urlisten!$C$16:$EL$16,'2D-Alter-Größe'!$C45),"")</f>
        <v/>
      </c>
      <c r="S45" s="342" t="str">
        <f>IF(COUNTIFS(Urlisten!$C$15:$EL$15,'2D-Alter-Größe'!S$3,Urlisten!$C$16:$EL$16,'2D-Alter-Größe'!$C45)&gt;0,COUNTIFS(Urlisten!$C$15:$EL$15,'2D-Alter-Größe'!S$3,Urlisten!$C$16:$EL$16,'2D-Alter-Größe'!$C45),"")</f>
        <v/>
      </c>
      <c r="T45" s="342" t="str">
        <f>IF(COUNTIFS(Urlisten!$C$15:$EL$15,'2D-Alter-Größe'!T$3,Urlisten!$C$16:$EL$16,'2D-Alter-Größe'!$C45)&gt;0,COUNTIFS(Urlisten!$C$15:$EL$15,'2D-Alter-Größe'!T$3,Urlisten!$C$16:$EL$16,'2D-Alter-Größe'!$C45),"")</f>
        <v/>
      </c>
      <c r="U45" s="342" t="str">
        <f>IF(COUNTIFS(Urlisten!$C$15:$EL$15,'2D-Alter-Größe'!U$3,Urlisten!$C$16:$EL$16,'2D-Alter-Größe'!$C45)&gt;0,COUNTIFS(Urlisten!$C$15:$EL$15,'2D-Alter-Größe'!U$3,Urlisten!$C$16:$EL$16,'2D-Alter-Größe'!$C45),"")</f>
        <v/>
      </c>
      <c r="V45" s="342" t="str">
        <f>IF(COUNTIFS(Urlisten!$C$15:$EL$15,'2D-Alter-Größe'!V$3,Urlisten!$C$16:$EL$16,'2D-Alter-Größe'!$C45)&gt;0,COUNTIFS(Urlisten!$C$15:$EL$15,'2D-Alter-Größe'!V$3,Urlisten!$C$16:$EL$16,'2D-Alter-Größe'!$C45),"")</f>
        <v/>
      </c>
      <c r="W45" s="342" t="str">
        <f>IF(COUNTIFS(Urlisten!$C$15:$EL$15,'2D-Alter-Größe'!W$3,Urlisten!$C$16:$EL$16,'2D-Alter-Größe'!$C45)&gt;0,COUNTIFS(Urlisten!$C$15:$EL$15,'2D-Alter-Größe'!W$3,Urlisten!$C$16:$EL$16,'2D-Alter-Größe'!$C45),"")</f>
        <v/>
      </c>
      <c r="X45" s="342" t="str">
        <f>IF(COUNTIFS(Urlisten!$C$15:$EL$15,'2D-Alter-Größe'!X$3,Urlisten!$C$16:$EL$16,'2D-Alter-Größe'!$C45)&gt;0,COUNTIFS(Urlisten!$C$15:$EL$15,'2D-Alter-Größe'!X$3,Urlisten!$C$16:$EL$16,'2D-Alter-Größe'!$C45),"")</f>
        <v/>
      </c>
      <c r="Y45" s="342" t="str">
        <f>IF(COUNTIFS(Urlisten!$C$15:$EL$15,'2D-Alter-Größe'!Y$3,Urlisten!$C$16:$EL$16,'2D-Alter-Größe'!$C45)&gt;0,COUNTIFS(Urlisten!$C$15:$EL$15,'2D-Alter-Größe'!Y$3,Urlisten!$C$16:$EL$16,'2D-Alter-Größe'!$C45),"")</f>
        <v/>
      </c>
      <c r="Z45" s="342" t="str">
        <f>IF(COUNTIFS(Urlisten!$C$15:$EL$15,'2D-Alter-Größe'!Z$3,Urlisten!$C$16:$EL$16,'2D-Alter-Größe'!$C45)&gt;0,COUNTIFS(Urlisten!$C$15:$EL$15,'2D-Alter-Größe'!Z$3,Urlisten!$C$16:$EL$16,'2D-Alter-Größe'!$C45),"")</f>
        <v/>
      </c>
      <c r="AA45" s="342" t="str">
        <f>IF(COUNTIFS(Urlisten!$C$15:$EL$15,'2D-Alter-Größe'!AA$3,Urlisten!$C$16:$EL$16,'2D-Alter-Größe'!$C45)&gt;0,COUNTIFS(Urlisten!$C$15:$EL$15,'2D-Alter-Größe'!AA$3,Urlisten!$C$16:$EL$16,'2D-Alter-Größe'!$C45),"")</f>
        <v/>
      </c>
      <c r="AB45" s="349" t="str">
        <f>IF(COUNTIFS(Urlisten!$C$15:$EL$15,'2D-Alter-Größe'!AB$3,Urlisten!$C$16:$EL$16,'2D-Alter-Größe'!$C45)&gt;0,COUNTIFS(Urlisten!$C$15:$EL$15,'2D-Alter-Größe'!AB$3,Urlisten!$C$16:$EL$16,'2D-Alter-Größe'!$C45),"")</f>
        <v/>
      </c>
      <c r="AC45" s="361" t="str">
        <f t="shared" si="1"/>
        <v/>
      </c>
      <c r="AD45" s="758"/>
    </row>
    <row r="46" spans="1:30" ht="15" customHeight="1" x14ac:dyDescent="0.25">
      <c r="A46" s="13"/>
      <c r="B46" s="767"/>
      <c r="C46" s="502">
        <f t="shared" si="2"/>
        <v>197</v>
      </c>
      <c r="D46" s="343" t="str">
        <f>IF(COUNTIFS(Urlisten!$C$15:$EL$15,'2D-Alter-Größe'!D$3,Urlisten!$C$16:$EL$16,'2D-Alter-Größe'!$C46)&gt;0,COUNTIFS(Urlisten!$C$15:$EL$15,'2D-Alter-Größe'!D$3,Urlisten!$C$16:$EL$16,'2D-Alter-Größe'!$C46),"")</f>
        <v/>
      </c>
      <c r="E46" s="342" t="str">
        <f>IF(COUNTIFS(Urlisten!$C$15:$EL$15,'2D-Alter-Größe'!E$3,Urlisten!$C$16:$EL$16,'2D-Alter-Größe'!$C46)&gt;0,COUNTIFS(Urlisten!$C$15:$EL$15,'2D-Alter-Größe'!E$3,Urlisten!$C$16:$EL$16,'2D-Alter-Größe'!$C46),"")</f>
        <v/>
      </c>
      <c r="F46" s="342" t="str">
        <f>IF(COUNTIFS(Urlisten!$C$15:$EL$15,'2D-Alter-Größe'!F$3,Urlisten!$C$16:$EL$16,'2D-Alter-Größe'!$C46)&gt;0,COUNTIFS(Urlisten!$C$15:$EL$15,'2D-Alter-Größe'!F$3,Urlisten!$C$16:$EL$16,'2D-Alter-Größe'!$C46),"")</f>
        <v/>
      </c>
      <c r="G46" s="342" t="str">
        <f>IF(COUNTIFS(Urlisten!$C$15:$EL$15,'2D-Alter-Größe'!G$3,Urlisten!$C$16:$EL$16,'2D-Alter-Größe'!$C46)&gt;0,COUNTIFS(Urlisten!$C$15:$EL$15,'2D-Alter-Größe'!G$3,Urlisten!$C$16:$EL$16,'2D-Alter-Größe'!$C46),"")</f>
        <v/>
      </c>
      <c r="H46" s="342" t="str">
        <f>IF(COUNTIFS(Urlisten!$C$15:$EL$15,'2D-Alter-Größe'!H$3,Urlisten!$C$16:$EL$16,'2D-Alter-Größe'!$C46)&gt;0,COUNTIFS(Urlisten!$C$15:$EL$15,'2D-Alter-Größe'!H$3,Urlisten!$C$16:$EL$16,'2D-Alter-Größe'!$C46),"")</f>
        <v/>
      </c>
      <c r="I46" s="342" t="str">
        <f>IF(COUNTIFS(Urlisten!$C$15:$EL$15,'2D-Alter-Größe'!I$3,Urlisten!$C$16:$EL$16,'2D-Alter-Größe'!$C46)&gt;0,COUNTIFS(Urlisten!$C$15:$EL$15,'2D-Alter-Größe'!I$3,Urlisten!$C$16:$EL$16,'2D-Alter-Größe'!$C46),"")</f>
        <v/>
      </c>
      <c r="J46" s="342" t="str">
        <f>IF(COUNTIFS(Urlisten!$C$15:$EL$15,'2D-Alter-Größe'!J$3,Urlisten!$C$16:$EL$16,'2D-Alter-Größe'!$C46)&gt;0,COUNTIFS(Urlisten!$C$15:$EL$15,'2D-Alter-Größe'!J$3,Urlisten!$C$16:$EL$16,'2D-Alter-Größe'!$C46),"")</f>
        <v/>
      </c>
      <c r="K46" s="342" t="str">
        <f>IF(COUNTIFS(Urlisten!$C$15:$EL$15,'2D-Alter-Größe'!K$3,Urlisten!$C$16:$EL$16,'2D-Alter-Größe'!$C46)&gt;0,COUNTIFS(Urlisten!$C$15:$EL$15,'2D-Alter-Größe'!K$3,Urlisten!$C$16:$EL$16,'2D-Alter-Größe'!$C46),"")</f>
        <v/>
      </c>
      <c r="L46" s="342" t="str">
        <f>IF(COUNTIFS(Urlisten!$C$15:$EL$15,'2D-Alter-Größe'!L$3,Urlisten!$C$16:$EL$16,'2D-Alter-Größe'!$C46)&gt;0,COUNTIFS(Urlisten!$C$15:$EL$15,'2D-Alter-Größe'!L$3,Urlisten!$C$16:$EL$16,'2D-Alter-Größe'!$C46),"")</f>
        <v/>
      </c>
      <c r="M46" s="342" t="str">
        <f>IF(COUNTIFS(Urlisten!$C$15:$EL$15,'2D-Alter-Größe'!M$3,Urlisten!$C$16:$EL$16,'2D-Alter-Größe'!$C46)&gt;0,COUNTIFS(Urlisten!$C$15:$EL$15,'2D-Alter-Größe'!M$3,Urlisten!$C$16:$EL$16,'2D-Alter-Größe'!$C46),"")</f>
        <v/>
      </c>
      <c r="N46" s="342" t="str">
        <f>IF(COUNTIFS(Urlisten!$C$15:$EL$15,'2D-Alter-Größe'!N$3,Urlisten!$C$16:$EL$16,'2D-Alter-Größe'!$C46)&gt;0,COUNTIFS(Urlisten!$C$15:$EL$15,'2D-Alter-Größe'!N$3,Urlisten!$C$16:$EL$16,'2D-Alter-Größe'!$C46),"")</f>
        <v/>
      </c>
      <c r="O46" s="342" t="str">
        <f>IF(COUNTIFS(Urlisten!$C$15:$EL$15,'2D-Alter-Größe'!O$3,Urlisten!$C$16:$EL$16,'2D-Alter-Größe'!$C46)&gt;0,COUNTIFS(Urlisten!$C$15:$EL$15,'2D-Alter-Größe'!O$3,Urlisten!$C$16:$EL$16,'2D-Alter-Größe'!$C46),"")</f>
        <v/>
      </c>
      <c r="P46" s="342" t="str">
        <f>IF(COUNTIFS(Urlisten!$C$15:$EL$15,'2D-Alter-Größe'!P$3,Urlisten!$C$16:$EL$16,'2D-Alter-Größe'!$C46)&gt;0,COUNTIFS(Urlisten!$C$15:$EL$15,'2D-Alter-Größe'!P$3,Urlisten!$C$16:$EL$16,'2D-Alter-Größe'!$C46),"")</f>
        <v/>
      </c>
      <c r="Q46" s="342" t="str">
        <f>IF(COUNTIFS(Urlisten!$C$15:$EL$15,'2D-Alter-Größe'!Q$3,Urlisten!$C$16:$EL$16,'2D-Alter-Größe'!$C46)&gt;0,COUNTIFS(Urlisten!$C$15:$EL$15,'2D-Alter-Größe'!Q$3,Urlisten!$C$16:$EL$16,'2D-Alter-Größe'!$C46),"")</f>
        <v/>
      </c>
      <c r="R46" s="342" t="str">
        <f>IF(COUNTIFS(Urlisten!$C$15:$EL$15,'2D-Alter-Größe'!R$3,Urlisten!$C$16:$EL$16,'2D-Alter-Größe'!$C46)&gt;0,COUNTIFS(Urlisten!$C$15:$EL$15,'2D-Alter-Größe'!R$3,Urlisten!$C$16:$EL$16,'2D-Alter-Größe'!$C46),"")</f>
        <v/>
      </c>
      <c r="S46" s="342" t="str">
        <f>IF(COUNTIFS(Urlisten!$C$15:$EL$15,'2D-Alter-Größe'!S$3,Urlisten!$C$16:$EL$16,'2D-Alter-Größe'!$C46)&gt;0,COUNTIFS(Urlisten!$C$15:$EL$15,'2D-Alter-Größe'!S$3,Urlisten!$C$16:$EL$16,'2D-Alter-Größe'!$C46),"")</f>
        <v/>
      </c>
      <c r="T46" s="342" t="str">
        <f>IF(COUNTIFS(Urlisten!$C$15:$EL$15,'2D-Alter-Größe'!T$3,Urlisten!$C$16:$EL$16,'2D-Alter-Größe'!$C46)&gt;0,COUNTIFS(Urlisten!$C$15:$EL$15,'2D-Alter-Größe'!T$3,Urlisten!$C$16:$EL$16,'2D-Alter-Größe'!$C46),"")</f>
        <v/>
      </c>
      <c r="U46" s="342" t="str">
        <f>IF(COUNTIFS(Urlisten!$C$15:$EL$15,'2D-Alter-Größe'!U$3,Urlisten!$C$16:$EL$16,'2D-Alter-Größe'!$C46)&gt;0,COUNTIFS(Urlisten!$C$15:$EL$15,'2D-Alter-Größe'!U$3,Urlisten!$C$16:$EL$16,'2D-Alter-Größe'!$C46),"")</f>
        <v/>
      </c>
      <c r="V46" s="342" t="str">
        <f>IF(COUNTIFS(Urlisten!$C$15:$EL$15,'2D-Alter-Größe'!V$3,Urlisten!$C$16:$EL$16,'2D-Alter-Größe'!$C46)&gt;0,COUNTIFS(Urlisten!$C$15:$EL$15,'2D-Alter-Größe'!V$3,Urlisten!$C$16:$EL$16,'2D-Alter-Größe'!$C46),"")</f>
        <v/>
      </c>
      <c r="W46" s="342" t="str">
        <f>IF(COUNTIFS(Urlisten!$C$15:$EL$15,'2D-Alter-Größe'!W$3,Urlisten!$C$16:$EL$16,'2D-Alter-Größe'!$C46)&gt;0,COUNTIFS(Urlisten!$C$15:$EL$15,'2D-Alter-Größe'!W$3,Urlisten!$C$16:$EL$16,'2D-Alter-Größe'!$C46),"")</f>
        <v/>
      </c>
      <c r="X46" s="342" t="str">
        <f>IF(COUNTIFS(Urlisten!$C$15:$EL$15,'2D-Alter-Größe'!X$3,Urlisten!$C$16:$EL$16,'2D-Alter-Größe'!$C46)&gt;0,COUNTIFS(Urlisten!$C$15:$EL$15,'2D-Alter-Größe'!X$3,Urlisten!$C$16:$EL$16,'2D-Alter-Größe'!$C46),"")</f>
        <v/>
      </c>
      <c r="Y46" s="342" t="str">
        <f>IF(COUNTIFS(Urlisten!$C$15:$EL$15,'2D-Alter-Größe'!Y$3,Urlisten!$C$16:$EL$16,'2D-Alter-Größe'!$C46)&gt;0,COUNTIFS(Urlisten!$C$15:$EL$15,'2D-Alter-Größe'!Y$3,Urlisten!$C$16:$EL$16,'2D-Alter-Größe'!$C46),"")</f>
        <v/>
      </c>
      <c r="Z46" s="342" t="str">
        <f>IF(COUNTIFS(Urlisten!$C$15:$EL$15,'2D-Alter-Größe'!Z$3,Urlisten!$C$16:$EL$16,'2D-Alter-Größe'!$C46)&gt;0,COUNTIFS(Urlisten!$C$15:$EL$15,'2D-Alter-Größe'!Z$3,Urlisten!$C$16:$EL$16,'2D-Alter-Größe'!$C46),"")</f>
        <v/>
      </c>
      <c r="AA46" s="342" t="str">
        <f>IF(COUNTIFS(Urlisten!$C$15:$EL$15,'2D-Alter-Größe'!AA$3,Urlisten!$C$16:$EL$16,'2D-Alter-Größe'!$C46)&gt;0,COUNTIFS(Urlisten!$C$15:$EL$15,'2D-Alter-Größe'!AA$3,Urlisten!$C$16:$EL$16,'2D-Alter-Größe'!$C46),"")</f>
        <v/>
      </c>
      <c r="AB46" s="349" t="str">
        <f>IF(COUNTIFS(Urlisten!$C$15:$EL$15,'2D-Alter-Größe'!AB$3,Urlisten!$C$16:$EL$16,'2D-Alter-Größe'!$C46)&gt;0,COUNTIFS(Urlisten!$C$15:$EL$15,'2D-Alter-Größe'!AB$3,Urlisten!$C$16:$EL$16,'2D-Alter-Größe'!$C46),"")</f>
        <v/>
      </c>
      <c r="AC46" s="361" t="str">
        <f t="shared" si="1"/>
        <v/>
      </c>
      <c r="AD46" s="758"/>
    </row>
    <row r="47" spans="1:30" x14ac:dyDescent="0.25">
      <c r="B47" s="767"/>
      <c r="C47" s="502">
        <f t="shared" si="2"/>
        <v>198</v>
      </c>
      <c r="D47" s="343" t="str">
        <f>IF(COUNTIFS(Urlisten!$C$15:$EL$15,'2D-Alter-Größe'!D$3,Urlisten!$C$16:$EL$16,'2D-Alter-Größe'!$C47)&gt;0,COUNTIFS(Urlisten!$C$15:$EL$15,'2D-Alter-Größe'!D$3,Urlisten!$C$16:$EL$16,'2D-Alter-Größe'!$C47),"")</f>
        <v/>
      </c>
      <c r="E47" s="342" t="str">
        <f>IF(COUNTIFS(Urlisten!$C$15:$EL$15,'2D-Alter-Größe'!E$3,Urlisten!$C$16:$EL$16,'2D-Alter-Größe'!$C47)&gt;0,COUNTIFS(Urlisten!$C$15:$EL$15,'2D-Alter-Größe'!E$3,Urlisten!$C$16:$EL$16,'2D-Alter-Größe'!$C47),"")</f>
        <v/>
      </c>
      <c r="F47" s="342" t="str">
        <f>IF(COUNTIFS(Urlisten!$C$15:$EL$15,'2D-Alter-Größe'!F$3,Urlisten!$C$16:$EL$16,'2D-Alter-Größe'!$C47)&gt;0,COUNTIFS(Urlisten!$C$15:$EL$15,'2D-Alter-Größe'!F$3,Urlisten!$C$16:$EL$16,'2D-Alter-Größe'!$C47),"")</f>
        <v/>
      </c>
      <c r="G47" s="342" t="str">
        <f>IF(COUNTIFS(Urlisten!$C$15:$EL$15,'2D-Alter-Größe'!G$3,Urlisten!$C$16:$EL$16,'2D-Alter-Größe'!$C47)&gt;0,COUNTIFS(Urlisten!$C$15:$EL$15,'2D-Alter-Größe'!G$3,Urlisten!$C$16:$EL$16,'2D-Alter-Größe'!$C47),"")</f>
        <v/>
      </c>
      <c r="H47" s="342" t="str">
        <f>IF(COUNTIFS(Urlisten!$C$15:$EL$15,'2D-Alter-Größe'!H$3,Urlisten!$C$16:$EL$16,'2D-Alter-Größe'!$C47)&gt;0,COUNTIFS(Urlisten!$C$15:$EL$15,'2D-Alter-Größe'!H$3,Urlisten!$C$16:$EL$16,'2D-Alter-Größe'!$C47),"")</f>
        <v/>
      </c>
      <c r="I47" s="342" t="str">
        <f>IF(COUNTIFS(Urlisten!$C$15:$EL$15,'2D-Alter-Größe'!I$3,Urlisten!$C$16:$EL$16,'2D-Alter-Größe'!$C47)&gt;0,COUNTIFS(Urlisten!$C$15:$EL$15,'2D-Alter-Größe'!I$3,Urlisten!$C$16:$EL$16,'2D-Alter-Größe'!$C47),"")</f>
        <v/>
      </c>
      <c r="J47" s="342" t="str">
        <f>IF(COUNTIFS(Urlisten!$C$15:$EL$15,'2D-Alter-Größe'!J$3,Urlisten!$C$16:$EL$16,'2D-Alter-Größe'!$C47)&gt;0,COUNTIFS(Urlisten!$C$15:$EL$15,'2D-Alter-Größe'!J$3,Urlisten!$C$16:$EL$16,'2D-Alter-Größe'!$C47),"")</f>
        <v/>
      </c>
      <c r="K47" s="342" t="str">
        <f>IF(COUNTIFS(Urlisten!$C$15:$EL$15,'2D-Alter-Größe'!K$3,Urlisten!$C$16:$EL$16,'2D-Alter-Größe'!$C47)&gt;0,COUNTIFS(Urlisten!$C$15:$EL$15,'2D-Alter-Größe'!K$3,Urlisten!$C$16:$EL$16,'2D-Alter-Größe'!$C47),"")</f>
        <v/>
      </c>
      <c r="L47" s="342" t="str">
        <f>IF(COUNTIFS(Urlisten!$C$15:$EL$15,'2D-Alter-Größe'!L$3,Urlisten!$C$16:$EL$16,'2D-Alter-Größe'!$C47)&gt;0,COUNTIFS(Urlisten!$C$15:$EL$15,'2D-Alter-Größe'!L$3,Urlisten!$C$16:$EL$16,'2D-Alter-Größe'!$C47),"")</f>
        <v/>
      </c>
      <c r="M47" s="342" t="str">
        <f>IF(COUNTIFS(Urlisten!$C$15:$EL$15,'2D-Alter-Größe'!M$3,Urlisten!$C$16:$EL$16,'2D-Alter-Größe'!$C47)&gt;0,COUNTIFS(Urlisten!$C$15:$EL$15,'2D-Alter-Größe'!M$3,Urlisten!$C$16:$EL$16,'2D-Alter-Größe'!$C47),"")</f>
        <v/>
      </c>
      <c r="N47" s="342" t="str">
        <f>IF(COUNTIFS(Urlisten!$C$15:$EL$15,'2D-Alter-Größe'!N$3,Urlisten!$C$16:$EL$16,'2D-Alter-Größe'!$C47)&gt;0,COUNTIFS(Urlisten!$C$15:$EL$15,'2D-Alter-Größe'!N$3,Urlisten!$C$16:$EL$16,'2D-Alter-Größe'!$C47),"")</f>
        <v/>
      </c>
      <c r="O47" s="342" t="str">
        <f>IF(COUNTIFS(Urlisten!$C$15:$EL$15,'2D-Alter-Größe'!O$3,Urlisten!$C$16:$EL$16,'2D-Alter-Größe'!$C47)&gt;0,COUNTIFS(Urlisten!$C$15:$EL$15,'2D-Alter-Größe'!O$3,Urlisten!$C$16:$EL$16,'2D-Alter-Größe'!$C47),"")</f>
        <v/>
      </c>
      <c r="P47" s="342" t="str">
        <f>IF(COUNTIFS(Urlisten!$C$15:$EL$15,'2D-Alter-Größe'!P$3,Urlisten!$C$16:$EL$16,'2D-Alter-Größe'!$C47)&gt;0,COUNTIFS(Urlisten!$C$15:$EL$15,'2D-Alter-Größe'!P$3,Urlisten!$C$16:$EL$16,'2D-Alter-Größe'!$C47),"")</f>
        <v/>
      </c>
      <c r="Q47" s="342" t="str">
        <f>IF(COUNTIFS(Urlisten!$C$15:$EL$15,'2D-Alter-Größe'!Q$3,Urlisten!$C$16:$EL$16,'2D-Alter-Größe'!$C47)&gt;0,COUNTIFS(Urlisten!$C$15:$EL$15,'2D-Alter-Größe'!Q$3,Urlisten!$C$16:$EL$16,'2D-Alter-Größe'!$C47),"")</f>
        <v/>
      </c>
      <c r="R47" s="342" t="str">
        <f>IF(COUNTIFS(Urlisten!$C$15:$EL$15,'2D-Alter-Größe'!R$3,Urlisten!$C$16:$EL$16,'2D-Alter-Größe'!$C47)&gt;0,COUNTIFS(Urlisten!$C$15:$EL$15,'2D-Alter-Größe'!R$3,Urlisten!$C$16:$EL$16,'2D-Alter-Größe'!$C47),"")</f>
        <v/>
      </c>
      <c r="S47" s="342" t="str">
        <f>IF(COUNTIFS(Urlisten!$C$15:$EL$15,'2D-Alter-Größe'!S$3,Urlisten!$C$16:$EL$16,'2D-Alter-Größe'!$C47)&gt;0,COUNTIFS(Urlisten!$C$15:$EL$15,'2D-Alter-Größe'!S$3,Urlisten!$C$16:$EL$16,'2D-Alter-Größe'!$C47),"")</f>
        <v/>
      </c>
      <c r="T47" s="342" t="str">
        <f>IF(COUNTIFS(Urlisten!$C$15:$EL$15,'2D-Alter-Größe'!T$3,Urlisten!$C$16:$EL$16,'2D-Alter-Größe'!$C47)&gt;0,COUNTIFS(Urlisten!$C$15:$EL$15,'2D-Alter-Größe'!T$3,Urlisten!$C$16:$EL$16,'2D-Alter-Größe'!$C47),"")</f>
        <v/>
      </c>
      <c r="U47" s="342" t="str">
        <f>IF(COUNTIFS(Urlisten!$C$15:$EL$15,'2D-Alter-Größe'!U$3,Urlisten!$C$16:$EL$16,'2D-Alter-Größe'!$C47)&gt;0,COUNTIFS(Urlisten!$C$15:$EL$15,'2D-Alter-Größe'!U$3,Urlisten!$C$16:$EL$16,'2D-Alter-Größe'!$C47),"")</f>
        <v/>
      </c>
      <c r="V47" s="342" t="str">
        <f>IF(COUNTIFS(Urlisten!$C$15:$EL$15,'2D-Alter-Größe'!V$3,Urlisten!$C$16:$EL$16,'2D-Alter-Größe'!$C47)&gt;0,COUNTIFS(Urlisten!$C$15:$EL$15,'2D-Alter-Größe'!V$3,Urlisten!$C$16:$EL$16,'2D-Alter-Größe'!$C47),"")</f>
        <v/>
      </c>
      <c r="W47" s="342" t="str">
        <f>IF(COUNTIFS(Urlisten!$C$15:$EL$15,'2D-Alter-Größe'!W$3,Urlisten!$C$16:$EL$16,'2D-Alter-Größe'!$C47)&gt;0,COUNTIFS(Urlisten!$C$15:$EL$15,'2D-Alter-Größe'!W$3,Urlisten!$C$16:$EL$16,'2D-Alter-Größe'!$C47),"")</f>
        <v/>
      </c>
      <c r="X47" s="342" t="str">
        <f>IF(COUNTIFS(Urlisten!$C$15:$EL$15,'2D-Alter-Größe'!X$3,Urlisten!$C$16:$EL$16,'2D-Alter-Größe'!$C47)&gt;0,COUNTIFS(Urlisten!$C$15:$EL$15,'2D-Alter-Größe'!X$3,Urlisten!$C$16:$EL$16,'2D-Alter-Größe'!$C47),"")</f>
        <v/>
      </c>
      <c r="Y47" s="342" t="str">
        <f>IF(COUNTIFS(Urlisten!$C$15:$EL$15,'2D-Alter-Größe'!Y$3,Urlisten!$C$16:$EL$16,'2D-Alter-Größe'!$C47)&gt;0,COUNTIFS(Urlisten!$C$15:$EL$15,'2D-Alter-Größe'!Y$3,Urlisten!$C$16:$EL$16,'2D-Alter-Größe'!$C47),"")</f>
        <v/>
      </c>
      <c r="Z47" s="342" t="str">
        <f>IF(COUNTIFS(Urlisten!$C$15:$EL$15,'2D-Alter-Größe'!Z$3,Urlisten!$C$16:$EL$16,'2D-Alter-Größe'!$C47)&gt;0,COUNTIFS(Urlisten!$C$15:$EL$15,'2D-Alter-Größe'!Z$3,Urlisten!$C$16:$EL$16,'2D-Alter-Größe'!$C47),"")</f>
        <v/>
      </c>
      <c r="AA47" s="342" t="str">
        <f>IF(COUNTIFS(Urlisten!$C$15:$EL$15,'2D-Alter-Größe'!AA$3,Urlisten!$C$16:$EL$16,'2D-Alter-Größe'!$C47)&gt;0,COUNTIFS(Urlisten!$C$15:$EL$15,'2D-Alter-Größe'!AA$3,Urlisten!$C$16:$EL$16,'2D-Alter-Größe'!$C47),"")</f>
        <v/>
      </c>
      <c r="AB47" s="349" t="str">
        <f>IF(COUNTIFS(Urlisten!$C$15:$EL$15,'2D-Alter-Größe'!AB$3,Urlisten!$C$16:$EL$16,'2D-Alter-Größe'!$C47)&gt;0,COUNTIFS(Urlisten!$C$15:$EL$15,'2D-Alter-Größe'!AB$3,Urlisten!$C$16:$EL$16,'2D-Alter-Größe'!$C47),"")</f>
        <v/>
      </c>
      <c r="AC47" s="361" t="str">
        <f t="shared" si="1"/>
        <v/>
      </c>
      <c r="AD47" s="758"/>
    </row>
    <row r="48" spans="1:30" ht="15.75" thickBot="1" x14ac:dyDescent="0.3">
      <c r="B48" s="768"/>
      <c r="C48" s="503">
        <f t="shared" si="2"/>
        <v>199</v>
      </c>
      <c r="D48" s="346" t="str">
        <f>IF(COUNTIFS(Urlisten!$C$15:$EL$15,'2D-Alter-Größe'!D$3,Urlisten!$C$16:$EL$16,'2D-Alter-Größe'!$C48)&gt;0,COUNTIFS(Urlisten!$C$15:$EL$15,'2D-Alter-Größe'!D$3,Urlisten!$C$16:$EL$16,'2D-Alter-Größe'!$C48),"")</f>
        <v/>
      </c>
      <c r="E48" s="347" t="str">
        <f>IF(COUNTIFS(Urlisten!$C$15:$EL$15,'2D-Alter-Größe'!E$3,Urlisten!$C$16:$EL$16,'2D-Alter-Größe'!$C48)&gt;0,COUNTIFS(Urlisten!$C$15:$EL$15,'2D-Alter-Größe'!E$3,Urlisten!$C$16:$EL$16,'2D-Alter-Größe'!$C48),"")</f>
        <v/>
      </c>
      <c r="F48" s="347" t="str">
        <f>IF(COUNTIFS(Urlisten!$C$15:$EL$15,'2D-Alter-Größe'!F$3,Urlisten!$C$16:$EL$16,'2D-Alter-Größe'!$C48)&gt;0,COUNTIFS(Urlisten!$C$15:$EL$15,'2D-Alter-Größe'!F$3,Urlisten!$C$16:$EL$16,'2D-Alter-Größe'!$C48),"")</f>
        <v/>
      </c>
      <c r="G48" s="347" t="str">
        <f>IF(COUNTIFS(Urlisten!$C$15:$EL$15,'2D-Alter-Größe'!G$3,Urlisten!$C$16:$EL$16,'2D-Alter-Größe'!$C48)&gt;0,COUNTIFS(Urlisten!$C$15:$EL$15,'2D-Alter-Größe'!G$3,Urlisten!$C$16:$EL$16,'2D-Alter-Größe'!$C48),"")</f>
        <v/>
      </c>
      <c r="H48" s="347" t="str">
        <f>IF(COUNTIFS(Urlisten!$C$15:$EL$15,'2D-Alter-Größe'!H$3,Urlisten!$C$16:$EL$16,'2D-Alter-Größe'!$C48)&gt;0,COUNTIFS(Urlisten!$C$15:$EL$15,'2D-Alter-Größe'!H$3,Urlisten!$C$16:$EL$16,'2D-Alter-Größe'!$C48),"")</f>
        <v/>
      </c>
      <c r="I48" s="347" t="str">
        <f>IF(COUNTIFS(Urlisten!$C$15:$EL$15,'2D-Alter-Größe'!I$3,Urlisten!$C$16:$EL$16,'2D-Alter-Größe'!$C48)&gt;0,COUNTIFS(Urlisten!$C$15:$EL$15,'2D-Alter-Größe'!I$3,Urlisten!$C$16:$EL$16,'2D-Alter-Größe'!$C48),"")</f>
        <v/>
      </c>
      <c r="J48" s="347" t="str">
        <f>IF(COUNTIFS(Urlisten!$C$15:$EL$15,'2D-Alter-Größe'!J$3,Urlisten!$C$16:$EL$16,'2D-Alter-Größe'!$C48)&gt;0,COUNTIFS(Urlisten!$C$15:$EL$15,'2D-Alter-Größe'!J$3,Urlisten!$C$16:$EL$16,'2D-Alter-Größe'!$C48),"")</f>
        <v/>
      </c>
      <c r="K48" s="347" t="str">
        <f>IF(COUNTIFS(Urlisten!$C$15:$EL$15,'2D-Alter-Größe'!K$3,Urlisten!$C$16:$EL$16,'2D-Alter-Größe'!$C48)&gt;0,COUNTIFS(Urlisten!$C$15:$EL$15,'2D-Alter-Größe'!K$3,Urlisten!$C$16:$EL$16,'2D-Alter-Größe'!$C48),"")</f>
        <v/>
      </c>
      <c r="L48" s="347" t="str">
        <f>IF(COUNTIFS(Urlisten!$C$15:$EL$15,'2D-Alter-Größe'!L$3,Urlisten!$C$16:$EL$16,'2D-Alter-Größe'!$C48)&gt;0,COUNTIFS(Urlisten!$C$15:$EL$15,'2D-Alter-Größe'!L$3,Urlisten!$C$16:$EL$16,'2D-Alter-Größe'!$C48),"")</f>
        <v/>
      </c>
      <c r="M48" s="347" t="str">
        <f>IF(COUNTIFS(Urlisten!$C$15:$EL$15,'2D-Alter-Größe'!M$3,Urlisten!$C$16:$EL$16,'2D-Alter-Größe'!$C48)&gt;0,COUNTIFS(Urlisten!$C$15:$EL$15,'2D-Alter-Größe'!M$3,Urlisten!$C$16:$EL$16,'2D-Alter-Größe'!$C48),"")</f>
        <v/>
      </c>
      <c r="N48" s="347" t="str">
        <f>IF(COUNTIFS(Urlisten!$C$15:$EL$15,'2D-Alter-Größe'!N$3,Urlisten!$C$16:$EL$16,'2D-Alter-Größe'!$C48)&gt;0,COUNTIFS(Urlisten!$C$15:$EL$15,'2D-Alter-Größe'!N$3,Urlisten!$C$16:$EL$16,'2D-Alter-Größe'!$C48),"")</f>
        <v/>
      </c>
      <c r="O48" s="347" t="str">
        <f>IF(COUNTIFS(Urlisten!$C$15:$EL$15,'2D-Alter-Größe'!O$3,Urlisten!$C$16:$EL$16,'2D-Alter-Größe'!$C48)&gt;0,COUNTIFS(Urlisten!$C$15:$EL$15,'2D-Alter-Größe'!O$3,Urlisten!$C$16:$EL$16,'2D-Alter-Größe'!$C48),"")</f>
        <v/>
      </c>
      <c r="P48" s="347" t="str">
        <f>IF(COUNTIFS(Urlisten!$C$15:$EL$15,'2D-Alter-Größe'!P$3,Urlisten!$C$16:$EL$16,'2D-Alter-Größe'!$C48)&gt;0,COUNTIFS(Urlisten!$C$15:$EL$15,'2D-Alter-Größe'!P$3,Urlisten!$C$16:$EL$16,'2D-Alter-Größe'!$C48),"")</f>
        <v/>
      </c>
      <c r="Q48" s="347" t="str">
        <f>IF(COUNTIFS(Urlisten!$C$15:$EL$15,'2D-Alter-Größe'!Q$3,Urlisten!$C$16:$EL$16,'2D-Alter-Größe'!$C48)&gt;0,COUNTIFS(Urlisten!$C$15:$EL$15,'2D-Alter-Größe'!Q$3,Urlisten!$C$16:$EL$16,'2D-Alter-Größe'!$C48),"")</f>
        <v/>
      </c>
      <c r="R48" s="347" t="str">
        <f>IF(COUNTIFS(Urlisten!$C$15:$EL$15,'2D-Alter-Größe'!R$3,Urlisten!$C$16:$EL$16,'2D-Alter-Größe'!$C48)&gt;0,COUNTIFS(Urlisten!$C$15:$EL$15,'2D-Alter-Größe'!R$3,Urlisten!$C$16:$EL$16,'2D-Alter-Größe'!$C48),"")</f>
        <v/>
      </c>
      <c r="S48" s="347" t="str">
        <f>IF(COUNTIFS(Urlisten!$C$15:$EL$15,'2D-Alter-Größe'!S$3,Urlisten!$C$16:$EL$16,'2D-Alter-Größe'!$C48)&gt;0,COUNTIFS(Urlisten!$C$15:$EL$15,'2D-Alter-Größe'!S$3,Urlisten!$C$16:$EL$16,'2D-Alter-Größe'!$C48),"")</f>
        <v/>
      </c>
      <c r="T48" s="347" t="str">
        <f>IF(COUNTIFS(Urlisten!$C$15:$EL$15,'2D-Alter-Größe'!T$3,Urlisten!$C$16:$EL$16,'2D-Alter-Größe'!$C48)&gt;0,COUNTIFS(Urlisten!$C$15:$EL$15,'2D-Alter-Größe'!T$3,Urlisten!$C$16:$EL$16,'2D-Alter-Größe'!$C48),"")</f>
        <v/>
      </c>
      <c r="U48" s="347" t="str">
        <f>IF(COUNTIFS(Urlisten!$C$15:$EL$15,'2D-Alter-Größe'!U$3,Urlisten!$C$16:$EL$16,'2D-Alter-Größe'!$C48)&gt;0,COUNTIFS(Urlisten!$C$15:$EL$15,'2D-Alter-Größe'!U$3,Urlisten!$C$16:$EL$16,'2D-Alter-Größe'!$C48),"")</f>
        <v/>
      </c>
      <c r="V48" s="347" t="str">
        <f>IF(COUNTIFS(Urlisten!$C$15:$EL$15,'2D-Alter-Größe'!V$3,Urlisten!$C$16:$EL$16,'2D-Alter-Größe'!$C48)&gt;0,COUNTIFS(Urlisten!$C$15:$EL$15,'2D-Alter-Größe'!V$3,Urlisten!$C$16:$EL$16,'2D-Alter-Größe'!$C48),"")</f>
        <v/>
      </c>
      <c r="W48" s="347" t="str">
        <f>IF(COUNTIFS(Urlisten!$C$15:$EL$15,'2D-Alter-Größe'!W$3,Urlisten!$C$16:$EL$16,'2D-Alter-Größe'!$C48)&gt;0,COUNTIFS(Urlisten!$C$15:$EL$15,'2D-Alter-Größe'!W$3,Urlisten!$C$16:$EL$16,'2D-Alter-Größe'!$C48),"")</f>
        <v/>
      </c>
      <c r="X48" s="347" t="str">
        <f>IF(COUNTIFS(Urlisten!$C$15:$EL$15,'2D-Alter-Größe'!X$3,Urlisten!$C$16:$EL$16,'2D-Alter-Größe'!$C48)&gt;0,COUNTIFS(Urlisten!$C$15:$EL$15,'2D-Alter-Größe'!X$3,Urlisten!$C$16:$EL$16,'2D-Alter-Größe'!$C48),"")</f>
        <v/>
      </c>
      <c r="Y48" s="347" t="str">
        <f>IF(COUNTIFS(Urlisten!$C$15:$EL$15,'2D-Alter-Größe'!Y$3,Urlisten!$C$16:$EL$16,'2D-Alter-Größe'!$C48)&gt;0,COUNTIFS(Urlisten!$C$15:$EL$15,'2D-Alter-Größe'!Y$3,Urlisten!$C$16:$EL$16,'2D-Alter-Größe'!$C48),"")</f>
        <v/>
      </c>
      <c r="Z48" s="347" t="str">
        <f>IF(COUNTIFS(Urlisten!$C$15:$EL$15,'2D-Alter-Größe'!Z$3,Urlisten!$C$16:$EL$16,'2D-Alter-Größe'!$C48)&gt;0,COUNTIFS(Urlisten!$C$15:$EL$15,'2D-Alter-Größe'!Z$3,Urlisten!$C$16:$EL$16,'2D-Alter-Größe'!$C48),"")</f>
        <v/>
      </c>
      <c r="AA48" s="347" t="str">
        <f>IF(COUNTIFS(Urlisten!$C$15:$EL$15,'2D-Alter-Größe'!AA$3,Urlisten!$C$16:$EL$16,'2D-Alter-Größe'!$C48)&gt;0,COUNTIFS(Urlisten!$C$15:$EL$15,'2D-Alter-Größe'!AA$3,Urlisten!$C$16:$EL$16,'2D-Alter-Größe'!$C48),"")</f>
        <v/>
      </c>
      <c r="AB48" s="350" t="str">
        <f>IF(COUNTIFS(Urlisten!$C$15:$EL$15,'2D-Alter-Größe'!AB$3,Urlisten!$C$16:$EL$16,'2D-Alter-Größe'!$C48)&gt;0,COUNTIFS(Urlisten!$C$15:$EL$15,'2D-Alter-Größe'!AB$3,Urlisten!$C$16:$EL$16,'2D-Alter-Größe'!$C48),"")</f>
        <v/>
      </c>
      <c r="AC48" s="362" t="str">
        <f t="shared" si="1"/>
        <v/>
      </c>
      <c r="AD48" s="759"/>
    </row>
    <row r="49" spans="2:33" x14ac:dyDescent="0.25">
      <c r="D49" s="357" t="str">
        <f>IF(SUM(D4:D48)&gt;0,SUM(D4:D48),"")</f>
        <v/>
      </c>
      <c r="E49" s="358">
        <f t="shared" ref="E49:AB49" si="3">IF(SUM(E4:E48)&gt;0,SUM(E4:E48),"")</f>
        <v>3</v>
      </c>
      <c r="F49" s="358">
        <f t="shared" si="3"/>
        <v>10</v>
      </c>
      <c r="G49" s="358">
        <f t="shared" si="3"/>
        <v>11</v>
      </c>
      <c r="H49" s="358">
        <f t="shared" si="3"/>
        <v>14</v>
      </c>
      <c r="I49" s="358">
        <f t="shared" si="3"/>
        <v>9</v>
      </c>
      <c r="J49" s="358">
        <f t="shared" si="3"/>
        <v>6</v>
      </c>
      <c r="K49" s="358">
        <f t="shared" si="3"/>
        <v>8</v>
      </c>
      <c r="L49" s="358">
        <f t="shared" si="3"/>
        <v>6</v>
      </c>
      <c r="M49" s="358">
        <f t="shared" si="3"/>
        <v>1</v>
      </c>
      <c r="N49" s="358">
        <f t="shared" si="3"/>
        <v>2</v>
      </c>
      <c r="O49" s="358" t="str">
        <f t="shared" si="3"/>
        <v/>
      </c>
      <c r="P49" s="358" t="str">
        <f t="shared" si="3"/>
        <v/>
      </c>
      <c r="Q49" s="358" t="str">
        <f t="shared" si="3"/>
        <v/>
      </c>
      <c r="R49" s="358" t="str">
        <f t="shared" si="3"/>
        <v/>
      </c>
      <c r="S49" s="358" t="str">
        <f t="shared" si="3"/>
        <v/>
      </c>
      <c r="T49" s="358" t="str">
        <f t="shared" si="3"/>
        <v/>
      </c>
      <c r="U49" s="358" t="str">
        <f t="shared" si="3"/>
        <v/>
      </c>
      <c r="V49" s="358" t="str">
        <f t="shared" si="3"/>
        <v/>
      </c>
      <c r="W49" s="358" t="str">
        <f t="shared" si="3"/>
        <v/>
      </c>
      <c r="X49" s="358" t="str">
        <f t="shared" si="3"/>
        <v/>
      </c>
      <c r="Y49" s="358" t="str">
        <f t="shared" si="3"/>
        <v/>
      </c>
      <c r="Z49" s="358" t="str">
        <f t="shared" si="3"/>
        <v/>
      </c>
      <c r="AA49" s="358" t="str">
        <f t="shared" si="3"/>
        <v/>
      </c>
      <c r="AB49" s="359" t="str">
        <f t="shared" si="3"/>
        <v/>
      </c>
      <c r="AC49" s="11">
        <f>SUM(D4:AB48)</f>
        <v>70</v>
      </c>
    </row>
    <row r="50" spans="2:33" ht="18.75" thickBot="1" x14ac:dyDescent="0.3">
      <c r="D50" s="760" t="s">
        <v>166</v>
      </c>
      <c r="E50" s="761"/>
      <c r="F50" s="761"/>
      <c r="G50" s="761"/>
      <c r="H50" s="761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Y50" s="761"/>
      <c r="Z50" s="761"/>
      <c r="AA50" s="761"/>
      <c r="AB50" s="762"/>
    </row>
    <row r="53" spans="2:33" ht="15.75" thickBot="1" x14ac:dyDescent="0.3"/>
    <row r="54" spans="2:33" x14ac:dyDescent="0.25">
      <c r="B54" s="769" t="s">
        <v>40</v>
      </c>
      <c r="C54" s="770"/>
      <c r="D54" s="763" t="s">
        <v>39</v>
      </c>
      <c r="E54" s="764"/>
      <c r="F54" s="764"/>
      <c r="G54" s="764"/>
      <c r="H54" s="764"/>
      <c r="I54" s="764"/>
      <c r="J54" s="764"/>
      <c r="K54" s="764"/>
      <c r="L54" s="764"/>
      <c r="M54" s="764"/>
      <c r="N54" s="764"/>
      <c r="O54" s="764"/>
      <c r="P54" s="764"/>
      <c r="Q54" s="764"/>
      <c r="R54" s="764"/>
      <c r="S54" s="764"/>
      <c r="T54" s="764"/>
      <c r="U54" s="764"/>
      <c r="V54" s="764"/>
      <c r="W54" s="764"/>
      <c r="X54" s="764"/>
      <c r="Y54" s="764"/>
      <c r="Z54" s="764"/>
      <c r="AA54" s="764"/>
      <c r="AB54" s="765"/>
    </row>
    <row r="55" spans="2:33" ht="15.75" thickBot="1" x14ac:dyDescent="0.3">
      <c r="B55" s="771"/>
      <c r="C55" s="772"/>
      <c r="D55" s="354">
        <f>Häufigkeiten!$A$7</f>
        <v>18</v>
      </c>
      <c r="E55" s="355">
        <f>D55+1</f>
        <v>19</v>
      </c>
      <c r="F55" s="355">
        <f t="shared" ref="F55" si="4">E55+1</f>
        <v>20</v>
      </c>
      <c r="G55" s="355">
        <f t="shared" ref="G55" si="5">F55+1</f>
        <v>21</v>
      </c>
      <c r="H55" s="355">
        <f t="shared" ref="H55" si="6">G55+1</f>
        <v>22</v>
      </c>
      <c r="I55" s="355">
        <f t="shared" ref="I55" si="7">H55+1</f>
        <v>23</v>
      </c>
      <c r="J55" s="355">
        <f t="shared" ref="J55" si="8">I55+1</f>
        <v>24</v>
      </c>
      <c r="K55" s="355">
        <f t="shared" ref="K55" si="9">J55+1</f>
        <v>25</v>
      </c>
      <c r="L55" s="355">
        <f t="shared" ref="L55" si="10">K55+1</f>
        <v>26</v>
      </c>
      <c r="M55" s="355">
        <f t="shared" ref="M55" si="11">L55+1</f>
        <v>27</v>
      </c>
      <c r="N55" s="355">
        <f t="shared" ref="N55" si="12">M55+1</f>
        <v>28</v>
      </c>
      <c r="O55" s="355">
        <f t="shared" ref="O55" si="13">N55+1</f>
        <v>29</v>
      </c>
      <c r="P55" s="355">
        <f t="shared" ref="P55" si="14">O55+1</f>
        <v>30</v>
      </c>
      <c r="Q55" s="355">
        <f t="shared" ref="Q55" si="15">P55+1</f>
        <v>31</v>
      </c>
      <c r="R55" s="355">
        <f t="shared" ref="R55" si="16">Q55+1</f>
        <v>32</v>
      </c>
      <c r="S55" s="355">
        <f t="shared" ref="S55" si="17">R55+1</f>
        <v>33</v>
      </c>
      <c r="T55" s="355">
        <f t="shared" ref="T55" si="18">S55+1</f>
        <v>34</v>
      </c>
      <c r="U55" s="355">
        <f t="shared" ref="U55" si="19">T55+1</f>
        <v>35</v>
      </c>
      <c r="V55" s="355">
        <f t="shared" ref="V55" si="20">U55+1</f>
        <v>36</v>
      </c>
      <c r="W55" s="355">
        <f t="shared" ref="W55" si="21">V55+1</f>
        <v>37</v>
      </c>
      <c r="X55" s="355">
        <f t="shared" ref="X55" si="22">W55+1</f>
        <v>38</v>
      </c>
      <c r="Y55" s="355">
        <f t="shared" ref="Y55" si="23">X55+1</f>
        <v>39</v>
      </c>
      <c r="Z55" s="355">
        <f t="shared" ref="Z55" si="24">Y55+1</f>
        <v>40</v>
      </c>
      <c r="AA55" s="355">
        <f t="shared" ref="AA55" si="25">Z55+1</f>
        <v>41</v>
      </c>
      <c r="AB55" s="356">
        <f t="shared" ref="AB55" si="26">AA55+1</f>
        <v>42</v>
      </c>
      <c r="AD55" s="7"/>
    </row>
    <row r="56" spans="2:33" x14ac:dyDescent="0.25">
      <c r="B56" s="769" t="s">
        <v>38</v>
      </c>
      <c r="C56" s="351">
        <f>Häufigkeiten!$E$7</f>
        <v>155</v>
      </c>
      <c r="D56" s="383" t="str">
        <f>IF(D4&lt;&gt;"",D4/$AC$49,"")</f>
        <v/>
      </c>
      <c r="E56" s="383" t="str">
        <f t="shared" ref="E56:AB57" si="27">IF(E4&lt;&gt;"",E4/$AC$49,"")</f>
        <v/>
      </c>
      <c r="F56" s="383" t="str">
        <f t="shared" si="27"/>
        <v/>
      </c>
      <c r="G56" s="383" t="str">
        <f t="shared" si="27"/>
        <v/>
      </c>
      <c r="H56" s="383" t="str">
        <f t="shared" si="27"/>
        <v/>
      </c>
      <c r="I56" s="383">
        <f t="shared" si="27"/>
        <v>1.4285714285714285E-2</v>
      </c>
      <c r="J56" s="383" t="str">
        <f t="shared" si="27"/>
        <v/>
      </c>
      <c r="K56" s="383" t="str">
        <f t="shared" si="27"/>
        <v/>
      </c>
      <c r="L56" s="383" t="str">
        <f t="shared" si="27"/>
        <v/>
      </c>
      <c r="M56" s="383" t="str">
        <f t="shared" si="27"/>
        <v/>
      </c>
      <c r="N56" s="383" t="str">
        <f t="shared" si="27"/>
        <v/>
      </c>
      <c r="O56" s="383" t="str">
        <f t="shared" si="27"/>
        <v/>
      </c>
      <c r="P56" s="383" t="str">
        <f t="shared" si="27"/>
        <v/>
      </c>
      <c r="Q56" s="383" t="str">
        <f>IF(Q4&lt;&gt;"",Q4/$AC$49,"")</f>
        <v/>
      </c>
      <c r="R56" s="383" t="str">
        <f t="shared" si="27"/>
        <v/>
      </c>
      <c r="S56" s="383" t="str">
        <f t="shared" si="27"/>
        <v/>
      </c>
      <c r="T56" s="383" t="str">
        <f t="shared" si="27"/>
        <v/>
      </c>
      <c r="U56" s="383" t="str">
        <f t="shared" si="27"/>
        <v/>
      </c>
      <c r="V56" s="383" t="str">
        <f t="shared" si="27"/>
        <v/>
      </c>
      <c r="W56" s="383" t="str">
        <f t="shared" si="27"/>
        <v/>
      </c>
      <c r="X56" s="383" t="str">
        <f t="shared" si="27"/>
        <v/>
      </c>
      <c r="Y56" s="383" t="str">
        <f t="shared" si="27"/>
        <v/>
      </c>
      <c r="Z56" s="383" t="str">
        <f t="shared" si="27"/>
        <v/>
      </c>
      <c r="AA56" s="383" t="str">
        <f t="shared" si="27"/>
        <v/>
      </c>
      <c r="AB56" s="383" t="str">
        <f t="shared" si="27"/>
        <v/>
      </c>
      <c r="AC56" s="363">
        <f>IF(SUM(D56:AB56)&gt;0,SUM(D56:AB56),"")</f>
        <v>1.4285714285714285E-2</v>
      </c>
      <c r="AD56" s="757" t="s">
        <v>169</v>
      </c>
      <c r="AF56" s="19" t="s">
        <v>46</v>
      </c>
      <c r="AG56" s="13">
        <f>SUMPRODUCT(C56:C100,AC56:AC100)</f>
        <v>176.07142857142856</v>
      </c>
    </row>
    <row r="57" spans="2:33" ht="18.75" x14ac:dyDescent="0.35">
      <c r="B57" s="777"/>
      <c r="C57" s="352">
        <f>C56+1</f>
        <v>156</v>
      </c>
      <c r="D57" s="383" t="str">
        <f>IF(D5&lt;&gt;"",D5/$AC$49,"")</f>
        <v/>
      </c>
      <c r="E57" s="383" t="str">
        <f t="shared" si="27"/>
        <v/>
      </c>
      <c r="F57" s="383" t="str">
        <f t="shared" si="27"/>
        <v/>
      </c>
      <c r="G57" s="383" t="str">
        <f t="shared" si="27"/>
        <v/>
      </c>
      <c r="H57" s="383" t="str">
        <f t="shared" si="27"/>
        <v/>
      </c>
      <c r="I57" s="383" t="str">
        <f t="shared" si="27"/>
        <v/>
      </c>
      <c r="J57" s="383" t="str">
        <f t="shared" si="27"/>
        <v/>
      </c>
      <c r="K57" s="383" t="str">
        <f t="shared" si="27"/>
        <v/>
      </c>
      <c r="L57" s="383" t="str">
        <f t="shared" si="27"/>
        <v/>
      </c>
      <c r="M57" s="383" t="str">
        <f t="shared" si="27"/>
        <v/>
      </c>
      <c r="N57" s="383" t="str">
        <f t="shared" si="27"/>
        <v/>
      </c>
      <c r="O57" s="383" t="str">
        <f t="shared" si="27"/>
        <v/>
      </c>
      <c r="P57" s="383" t="str">
        <f t="shared" si="27"/>
        <v/>
      </c>
      <c r="Q57" s="383" t="str">
        <f>IF(Q5&lt;&gt;"",Q5/$AC$49,"")</f>
        <v/>
      </c>
      <c r="R57" s="383" t="str">
        <f t="shared" si="27"/>
        <v/>
      </c>
      <c r="S57" s="383" t="str">
        <f t="shared" si="27"/>
        <v/>
      </c>
      <c r="T57" s="383" t="str">
        <f t="shared" si="27"/>
        <v/>
      </c>
      <c r="U57" s="383" t="str">
        <f t="shared" si="27"/>
        <v/>
      </c>
      <c r="V57" s="383" t="str">
        <f t="shared" si="27"/>
        <v/>
      </c>
      <c r="W57" s="383" t="str">
        <f t="shared" si="27"/>
        <v/>
      </c>
      <c r="X57" s="383" t="str">
        <f t="shared" si="27"/>
        <v/>
      </c>
      <c r="Y57" s="383" t="str">
        <f t="shared" si="27"/>
        <v/>
      </c>
      <c r="Z57" s="383" t="str">
        <f t="shared" si="27"/>
        <v/>
      </c>
      <c r="AA57" s="383" t="str">
        <f t="shared" si="27"/>
        <v/>
      </c>
      <c r="AB57" s="383" t="str">
        <f t="shared" si="27"/>
        <v/>
      </c>
      <c r="AC57" s="364" t="str">
        <f t="shared" ref="AC57:AC100" si="28">IF(SUM(D57:AB57)&gt;0,SUM(D57:AB57),"")</f>
        <v/>
      </c>
      <c r="AD57" s="758"/>
      <c r="AF57" s="17" t="s">
        <v>48</v>
      </c>
      <c r="AG57" s="13">
        <f>SUMPRODUCT(C56:C100,C56:C100,AC56:AC100)-AG56^2</f>
        <v>89.837755102045776</v>
      </c>
    </row>
    <row r="58" spans="2:33" x14ac:dyDescent="0.25">
      <c r="B58" s="777"/>
      <c r="C58" s="352">
        <f t="shared" ref="C58:C100" si="29">C57+1</f>
        <v>157</v>
      </c>
      <c r="D58" s="383" t="str">
        <f t="shared" ref="D58:AB58" si="30">IF(D6&lt;&gt;"",D6/$AC$49,"")</f>
        <v/>
      </c>
      <c r="E58" s="383" t="str">
        <f t="shared" si="30"/>
        <v/>
      </c>
      <c r="F58" s="383" t="str">
        <f t="shared" si="30"/>
        <v/>
      </c>
      <c r="G58" s="383" t="str">
        <f t="shared" si="30"/>
        <v/>
      </c>
      <c r="H58" s="383" t="str">
        <f t="shared" si="30"/>
        <v/>
      </c>
      <c r="I58" s="383" t="str">
        <f t="shared" si="30"/>
        <v/>
      </c>
      <c r="J58" s="383" t="str">
        <f t="shared" si="30"/>
        <v/>
      </c>
      <c r="K58" s="383" t="str">
        <f t="shared" si="30"/>
        <v/>
      </c>
      <c r="L58" s="383" t="str">
        <f t="shared" si="30"/>
        <v/>
      </c>
      <c r="M58" s="383" t="str">
        <f t="shared" si="30"/>
        <v/>
      </c>
      <c r="N58" s="383" t="str">
        <f t="shared" si="30"/>
        <v/>
      </c>
      <c r="O58" s="383" t="str">
        <f t="shared" si="30"/>
        <v/>
      </c>
      <c r="P58" s="383" t="str">
        <f t="shared" si="30"/>
        <v/>
      </c>
      <c r="Q58" s="383" t="str">
        <f t="shared" si="30"/>
        <v/>
      </c>
      <c r="R58" s="383" t="str">
        <f t="shared" si="30"/>
        <v/>
      </c>
      <c r="S58" s="383" t="str">
        <f t="shared" si="30"/>
        <v/>
      </c>
      <c r="T58" s="383" t="str">
        <f t="shared" si="30"/>
        <v/>
      </c>
      <c r="U58" s="383" t="str">
        <f t="shared" si="30"/>
        <v/>
      </c>
      <c r="V58" s="383" t="str">
        <f t="shared" si="30"/>
        <v/>
      </c>
      <c r="W58" s="383" t="str">
        <f t="shared" si="30"/>
        <v/>
      </c>
      <c r="X58" s="383" t="str">
        <f t="shared" si="30"/>
        <v/>
      </c>
      <c r="Y58" s="383" t="str">
        <f t="shared" si="30"/>
        <v/>
      </c>
      <c r="Z58" s="383" t="str">
        <f t="shared" si="30"/>
        <v/>
      </c>
      <c r="AA58" s="383" t="str">
        <f t="shared" si="30"/>
        <v/>
      </c>
      <c r="AB58" s="383" t="str">
        <f t="shared" si="30"/>
        <v/>
      </c>
      <c r="AC58" s="364" t="str">
        <f t="shared" si="28"/>
        <v/>
      </c>
      <c r="AD58" s="758"/>
      <c r="AF58" s="18"/>
    </row>
    <row r="59" spans="2:33" x14ac:dyDescent="0.25">
      <c r="B59" s="777"/>
      <c r="C59" s="352">
        <f t="shared" si="29"/>
        <v>158</v>
      </c>
      <c r="D59" s="383" t="str">
        <f t="shared" ref="D59:AB59" si="31">IF(D7&lt;&gt;"",D7/$AC$49,"")</f>
        <v/>
      </c>
      <c r="E59" s="383" t="str">
        <f t="shared" si="31"/>
        <v/>
      </c>
      <c r="F59" s="383" t="str">
        <f t="shared" si="31"/>
        <v/>
      </c>
      <c r="G59" s="383" t="str">
        <f t="shared" si="31"/>
        <v/>
      </c>
      <c r="H59" s="383" t="str">
        <f t="shared" si="31"/>
        <v/>
      </c>
      <c r="I59" s="383" t="str">
        <f t="shared" si="31"/>
        <v/>
      </c>
      <c r="J59" s="383" t="str">
        <f t="shared" si="31"/>
        <v/>
      </c>
      <c r="K59" s="383" t="str">
        <f t="shared" si="31"/>
        <v/>
      </c>
      <c r="L59" s="383" t="str">
        <f t="shared" si="31"/>
        <v/>
      </c>
      <c r="M59" s="383" t="str">
        <f t="shared" si="31"/>
        <v/>
      </c>
      <c r="N59" s="383" t="str">
        <f t="shared" si="31"/>
        <v/>
      </c>
      <c r="O59" s="383" t="str">
        <f t="shared" si="31"/>
        <v/>
      </c>
      <c r="P59" s="383" t="str">
        <f t="shared" si="31"/>
        <v/>
      </c>
      <c r="Q59" s="383" t="str">
        <f t="shared" si="31"/>
        <v/>
      </c>
      <c r="R59" s="383" t="str">
        <f t="shared" si="31"/>
        <v/>
      </c>
      <c r="S59" s="383" t="str">
        <f t="shared" si="31"/>
        <v/>
      </c>
      <c r="T59" s="383" t="str">
        <f t="shared" si="31"/>
        <v/>
      </c>
      <c r="U59" s="383" t="str">
        <f t="shared" si="31"/>
        <v/>
      </c>
      <c r="V59" s="383" t="str">
        <f t="shared" si="31"/>
        <v/>
      </c>
      <c r="W59" s="383" t="str">
        <f t="shared" si="31"/>
        <v/>
      </c>
      <c r="X59" s="383" t="str">
        <f t="shared" si="31"/>
        <v/>
      </c>
      <c r="Y59" s="383" t="str">
        <f t="shared" si="31"/>
        <v/>
      </c>
      <c r="Z59" s="383" t="str">
        <f t="shared" si="31"/>
        <v/>
      </c>
      <c r="AA59" s="383" t="str">
        <f t="shared" si="31"/>
        <v/>
      </c>
      <c r="AB59" s="383" t="str">
        <f t="shared" si="31"/>
        <v/>
      </c>
      <c r="AC59" s="364" t="str">
        <f t="shared" si="28"/>
        <v/>
      </c>
      <c r="AD59" s="758"/>
      <c r="AF59" s="16" t="s">
        <v>45</v>
      </c>
      <c r="AG59" s="13">
        <f>SUMPRODUCT(D55:AB55,D101:AB101)</f>
        <v>22.657142857142858</v>
      </c>
    </row>
    <row r="60" spans="2:33" ht="18.75" x14ac:dyDescent="0.35">
      <c r="B60" s="777"/>
      <c r="C60" s="352">
        <f t="shared" si="29"/>
        <v>159</v>
      </c>
      <c r="D60" s="383" t="str">
        <f t="shared" ref="D60:AB60" si="32">IF(D8&lt;&gt;"",D8/$AC$49,"")</f>
        <v/>
      </c>
      <c r="E60" s="383" t="str">
        <f t="shared" si="32"/>
        <v/>
      </c>
      <c r="F60" s="383" t="str">
        <f t="shared" si="32"/>
        <v/>
      </c>
      <c r="G60" s="383" t="str">
        <f t="shared" si="32"/>
        <v/>
      </c>
      <c r="H60" s="383" t="str">
        <f t="shared" si="32"/>
        <v/>
      </c>
      <c r="I60" s="383" t="str">
        <f t="shared" si="32"/>
        <v/>
      </c>
      <c r="J60" s="383" t="str">
        <f t="shared" si="32"/>
        <v/>
      </c>
      <c r="K60" s="383" t="str">
        <f t="shared" si="32"/>
        <v/>
      </c>
      <c r="L60" s="383" t="str">
        <f t="shared" si="32"/>
        <v/>
      </c>
      <c r="M60" s="383" t="str">
        <f t="shared" si="32"/>
        <v/>
      </c>
      <c r="N60" s="383" t="str">
        <f t="shared" si="32"/>
        <v/>
      </c>
      <c r="O60" s="383" t="str">
        <f t="shared" si="32"/>
        <v/>
      </c>
      <c r="P60" s="383" t="str">
        <f t="shared" si="32"/>
        <v/>
      </c>
      <c r="Q60" s="383" t="str">
        <f t="shared" si="32"/>
        <v/>
      </c>
      <c r="R60" s="383" t="str">
        <f t="shared" si="32"/>
        <v/>
      </c>
      <c r="S60" s="383" t="str">
        <f t="shared" si="32"/>
        <v/>
      </c>
      <c r="T60" s="383" t="str">
        <f t="shared" si="32"/>
        <v/>
      </c>
      <c r="U60" s="383" t="str">
        <f t="shared" si="32"/>
        <v/>
      </c>
      <c r="V60" s="383" t="str">
        <f t="shared" si="32"/>
        <v/>
      </c>
      <c r="W60" s="383" t="str">
        <f t="shared" si="32"/>
        <v/>
      </c>
      <c r="X60" s="383" t="str">
        <f t="shared" si="32"/>
        <v/>
      </c>
      <c r="Y60" s="383" t="str">
        <f t="shared" si="32"/>
        <v/>
      </c>
      <c r="Z60" s="383" t="str">
        <f t="shared" si="32"/>
        <v/>
      </c>
      <c r="AA60" s="383" t="str">
        <f t="shared" si="32"/>
        <v/>
      </c>
      <c r="AB60" s="383" t="str">
        <f t="shared" si="32"/>
        <v/>
      </c>
      <c r="AC60" s="364" t="str">
        <f t="shared" si="28"/>
        <v/>
      </c>
      <c r="AD60" s="758"/>
      <c r="AF60" s="17" t="s">
        <v>47</v>
      </c>
      <c r="AG60" s="13">
        <f>SUMPRODUCT(D55:AB55,D55:AB55,D101:AB101)-AG59^2</f>
        <v>4.9395918367347349</v>
      </c>
    </row>
    <row r="61" spans="2:33" x14ac:dyDescent="0.25">
      <c r="B61" s="777"/>
      <c r="C61" s="352">
        <f t="shared" si="29"/>
        <v>160</v>
      </c>
      <c r="D61" s="383" t="str">
        <f t="shared" ref="D61:AB61" si="33">IF(D9&lt;&gt;"",D9/$AC$49,"")</f>
        <v/>
      </c>
      <c r="E61" s="383">
        <f t="shared" si="33"/>
        <v>1.4285714285714285E-2</v>
      </c>
      <c r="F61" s="383" t="str">
        <f t="shared" si="33"/>
        <v/>
      </c>
      <c r="G61" s="383">
        <f t="shared" si="33"/>
        <v>1.4285714285714285E-2</v>
      </c>
      <c r="H61" s="383">
        <f t="shared" si="33"/>
        <v>1.4285714285714285E-2</v>
      </c>
      <c r="I61" s="383">
        <f t="shared" si="33"/>
        <v>1.4285714285714285E-2</v>
      </c>
      <c r="J61" s="383">
        <f t="shared" si="33"/>
        <v>1.4285714285714285E-2</v>
      </c>
      <c r="K61" s="383" t="str">
        <f t="shared" si="33"/>
        <v/>
      </c>
      <c r="L61" s="383" t="str">
        <f t="shared" si="33"/>
        <v/>
      </c>
      <c r="M61" s="383" t="str">
        <f t="shared" si="33"/>
        <v/>
      </c>
      <c r="N61" s="383" t="str">
        <f t="shared" si="33"/>
        <v/>
      </c>
      <c r="O61" s="383" t="str">
        <f t="shared" si="33"/>
        <v/>
      </c>
      <c r="P61" s="383" t="str">
        <f t="shared" si="33"/>
        <v/>
      </c>
      <c r="Q61" s="383" t="str">
        <f t="shared" si="33"/>
        <v/>
      </c>
      <c r="R61" s="383" t="str">
        <f t="shared" si="33"/>
        <v/>
      </c>
      <c r="S61" s="383" t="str">
        <f t="shared" si="33"/>
        <v/>
      </c>
      <c r="T61" s="383" t="str">
        <f t="shared" si="33"/>
        <v/>
      </c>
      <c r="U61" s="383" t="str">
        <f t="shared" si="33"/>
        <v/>
      </c>
      <c r="V61" s="383" t="str">
        <f t="shared" si="33"/>
        <v/>
      </c>
      <c r="W61" s="383" t="str">
        <f t="shared" si="33"/>
        <v/>
      </c>
      <c r="X61" s="383" t="str">
        <f t="shared" si="33"/>
        <v/>
      </c>
      <c r="Y61" s="383" t="str">
        <f t="shared" si="33"/>
        <v/>
      </c>
      <c r="Z61" s="383" t="str">
        <f t="shared" si="33"/>
        <v/>
      </c>
      <c r="AA61" s="383" t="str">
        <f t="shared" si="33"/>
        <v/>
      </c>
      <c r="AB61" s="383" t="str">
        <f t="shared" si="33"/>
        <v/>
      </c>
      <c r="AC61" s="364">
        <f t="shared" si="28"/>
        <v>7.1428571428571425E-2</v>
      </c>
      <c r="AD61" s="758"/>
    </row>
    <row r="62" spans="2:33" x14ac:dyDescent="0.25">
      <c r="B62" s="777"/>
      <c r="C62" s="352">
        <f t="shared" si="29"/>
        <v>161</v>
      </c>
      <c r="D62" s="383" t="str">
        <f t="shared" ref="D62:AB62" si="34">IF(D10&lt;&gt;"",D10/$AC$49,"")</f>
        <v/>
      </c>
      <c r="E62" s="383" t="str">
        <f t="shared" si="34"/>
        <v/>
      </c>
      <c r="F62" s="383" t="str">
        <f t="shared" si="34"/>
        <v/>
      </c>
      <c r="G62" s="383" t="str">
        <f t="shared" si="34"/>
        <v/>
      </c>
      <c r="H62" s="383">
        <f t="shared" si="34"/>
        <v>1.4285714285714285E-2</v>
      </c>
      <c r="I62" s="383" t="str">
        <f t="shared" si="34"/>
        <v/>
      </c>
      <c r="J62" s="383" t="str">
        <f t="shared" si="34"/>
        <v/>
      </c>
      <c r="K62" s="383" t="str">
        <f t="shared" si="34"/>
        <v/>
      </c>
      <c r="L62" s="383" t="str">
        <f t="shared" si="34"/>
        <v/>
      </c>
      <c r="M62" s="383" t="str">
        <f t="shared" si="34"/>
        <v/>
      </c>
      <c r="N62" s="383" t="str">
        <f t="shared" si="34"/>
        <v/>
      </c>
      <c r="O62" s="383" t="str">
        <f t="shared" si="34"/>
        <v/>
      </c>
      <c r="P62" s="383" t="str">
        <f t="shared" si="34"/>
        <v/>
      </c>
      <c r="Q62" s="383" t="str">
        <f t="shared" si="34"/>
        <v/>
      </c>
      <c r="R62" s="383" t="str">
        <f t="shared" si="34"/>
        <v/>
      </c>
      <c r="S62" s="383" t="str">
        <f t="shared" si="34"/>
        <v/>
      </c>
      <c r="T62" s="383" t="str">
        <f t="shared" si="34"/>
        <v/>
      </c>
      <c r="U62" s="383" t="str">
        <f t="shared" si="34"/>
        <v/>
      </c>
      <c r="V62" s="383" t="str">
        <f t="shared" si="34"/>
        <v/>
      </c>
      <c r="W62" s="383" t="str">
        <f t="shared" si="34"/>
        <v/>
      </c>
      <c r="X62" s="383" t="str">
        <f t="shared" si="34"/>
        <v/>
      </c>
      <c r="Y62" s="383" t="str">
        <f t="shared" si="34"/>
        <v/>
      </c>
      <c r="Z62" s="383" t="str">
        <f t="shared" si="34"/>
        <v/>
      </c>
      <c r="AA62" s="383" t="str">
        <f t="shared" si="34"/>
        <v/>
      </c>
      <c r="AB62" s="383" t="str">
        <f t="shared" si="34"/>
        <v/>
      </c>
      <c r="AC62" s="364">
        <f t="shared" si="28"/>
        <v>1.4285714285714285E-2</v>
      </c>
      <c r="AD62" s="758"/>
    </row>
    <row r="63" spans="2:33" x14ac:dyDescent="0.25">
      <c r="B63" s="777"/>
      <c r="C63" s="352">
        <f t="shared" si="29"/>
        <v>162</v>
      </c>
      <c r="D63" s="383" t="str">
        <f t="shared" ref="D63:AB63" si="35">IF(D11&lt;&gt;"",D11/$AC$49,"")</f>
        <v/>
      </c>
      <c r="E63" s="383" t="str">
        <f t="shared" si="35"/>
        <v/>
      </c>
      <c r="F63" s="383" t="str">
        <f t="shared" si="35"/>
        <v/>
      </c>
      <c r="G63" s="383" t="str">
        <f t="shared" si="35"/>
        <v/>
      </c>
      <c r="H63" s="383" t="str">
        <f t="shared" si="35"/>
        <v/>
      </c>
      <c r="I63" s="383" t="str">
        <f t="shared" si="35"/>
        <v/>
      </c>
      <c r="J63" s="383" t="str">
        <f t="shared" si="35"/>
        <v/>
      </c>
      <c r="K63" s="383" t="str">
        <f t="shared" si="35"/>
        <v/>
      </c>
      <c r="L63" s="383" t="str">
        <f t="shared" si="35"/>
        <v/>
      </c>
      <c r="M63" s="383" t="str">
        <f t="shared" si="35"/>
        <v/>
      </c>
      <c r="N63" s="383" t="str">
        <f t="shared" si="35"/>
        <v/>
      </c>
      <c r="O63" s="383" t="str">
        <f t="shared" si="35"/>
        <v/>
      </c>
      <c r="P63" s="383" t="str">
        <f t="shared" si="35"/>
        <v/>
      </c>
      <c r="Q63" s="383" t="str">
        <f t="shared" si="35"/>
        <v/>
      </c>
      <c r="R63" s="383" t="str">
        <f t="shared" si="35"/>
        <v/>
      </c>
      <c r="S63" s="383" t="str">
        <f t="shared" si="35"/>
        <v/>
      </c>
      <c r="T63" s="383" t="str">
        <f t="shared" si="35"/>
        <v/>
      </c>
      <c r="U63" s="383" t="str">
        <f t="shared" si="35"/>
        <v/>
      </c>
      <c r="V63" s="383" t="str">
        <f t="shared" si="35"/>
        <v/>
      </c>
      <c r="W63" s="383" t="str">
        <f t="shared" si="35"/>
        <v/>
      </c>
      <c r="X63" s="383" t="str">
        <f t="shared" si="35"/>
        <v/>
      </c>
      <c r="Y63" s="383" t="str">
        <f t="shared" si="35"/>
        <v/>
      </c>
      <c r="Z63" s="383" t="str">
        <f t="shared" si="35"/>
        <v/>
      </c>
      <c r="AA63" s="383" t="str">
        <f t="shared" si="35"/>
        <v/>
      </c>
      <c r="AB63" s="383" t="str">
        <f t="shared" si="35"/>
        <v/>
      </c>
      <c r="AC63" s="364" t="str">
        <f t="shared" si="28"/>
        <v/>
      </c>
      <c r="AD63" s="758"/>
    </row>
    <row r="64" spans="2:33" x14ac:dyDescent="0.25">
      <c r="B64" s="777"/>
      <c r="C64" s="352">
        <f t="shared" si="29"/>
        <v>163</v>
      </c>
      <c r="D64" s="383" t="str">
        <f t="shared" ref="D64:AB64" si="36">IF(D12&lt;&gt;"",D12/$AC$49,"")</f>
        <v/>
      </c>
      <c r="E64" s="383" t="str">
        <f t="shared" si="36"/>
        <v/>
      </c>
      <c r="F64" s="383">
        <f t="shared" si="36"/>
        <v>2.8571428571428571E-2</v>
      </c>
      <c r="G64" s="383">
        <f t="shared" si="36"/>
        <v>1.4285714285714285E-2</v>
      </c>
      <c r="H64" s="383" t="str">
        <f t="shared" si="36"/>
        <v/>
      </c>
      <c r="I64" s="383" t="str">
        <f t="shared" si="36"/>
        <v/>
      </c>
      <c r="J64" s="383" t="str">
        <f t="shared" si="36"/>
        <v/>
      </c>
      <c r="K64" s="383" t="str">
        <f t="shared" si="36"/>
        <v/>
      </c>
      <c r="L64" s="383" t="str">
        <f t="shared" si="36"/>
        <v/>
      </c>
      <c r="M64" s="383" t="str">
        <f t="shared" si="36"/>
        <v/>
      </c>
      <c r="N64" s="383" t="str">
        <f t="shared" si="36"/>
        <v/>
      </c>
      <c r="O64" s="383" t="str">
        <f t="shared" si="36"/>
        <v/>
      </c>
      <c r="P64" s="383" t="str">
        <f t="shared" si="36"/>
        <v/>
      </c>
      <c r="Q64" s="383" t="str">
        <f t="shared" si="36"/>
        <v/>
      </c>
      <c r="R64" s="383" t="str">
        <f t="shared" si="36"/>
        <v/>
      </c>
      <c r="S64" s="383" t="str">
        <f t="shared" si="36"/>
        <v/>
      </c>
      <c r="T64" s="383" t="str">
        <f t="shared" si="36"/>
        <v/>
      </c>
      <c r="U64" s="383" t="str">
        <f t="shared" si="36"/>
        <v/>
      </c>
      <c r="V64" s="383" t="str">
        <f t="shared" si="36"/>
        <v/>
      </c>
      <c r="W64" s="383" t="str">
        <f t="shared" si="36"/>
        <v/>
      </c>
      <c r="X64" s="383" t="str">
        <f t="shared" si="36"/>
        <v/>
      </c>
      <c r="Y64" s="383" t="str">
        <f t="shared" si="36"/>
        <v/>
      </c>
      <c r="Z64" s="383" t="str">
        <f t="shared" si="36"/>
        <v/>
      </c>
      <c r="AA64" s="383" t="str">
        <f t="shared" si="36"/>
        <v/>
      </c>
      <c r="AB64" s="383" t="str">
        <f t="shared" si="36"/>
        <v/>
      </c>
      <c r="AC64" s="364">
        <f t="shared" si="28"/>
        <v>4.2857142857142858E-2</v>
      </c>
      <c r="AD64" s="758"/>
    </row>
    <row r="65" spans="2:30" x14ac:dyDescent="0.25">
      <c r="B65" s="777"/>
      <c r="C65" s="352">
        <f t="shared" si="29"/>
        <v>164</v>
      </c>
      <c r="D65" s="383" t="str">
        <f t="shared" ref="D65:AB65" si="37">IF(D13&lt;&gt;"",D13/$AC$49,"")</f>
        <v/>
      </c>
      <c r="E65" s="383" t="str">
        <f t="shared" si="37"/>
        <v/>
      </c>
      <c r="F65" s="383" t="str">
        <f t="shared" si="37"/>
        <v/>
      </c>
      <c r="G65" s="383" t="str">
        <f t="shared" si="37"/>
        <v/>
      </c>
      <c r="H65" s="383" t="str">
        <f t="shared" si="37"/>
        <v/>
      </c>
      <c r="I65" s="383" t="str">
        <f t="shared" si="37"/>
        <v/>
      </c>
      <c r="J65" s="383" t="str">
        <f t="shared" si="37"/>
        <v/>
      </c>
      <c r="K65" s="383" t="str">
        <f t="shared" si="37"/>
        <v/>
      </c>
      <c r="L65" s="383">
        <f t="shared" si="37"/>
        <v>1.4285714285714285E-2</v>
      </c>
      <c r="M65" s="383" t="str">
        <f t="shared" si="37"/>
        <v/>
      </c>
      <c r="N65" s="383" t="str">
        <f t="shared" si="37"/>
        <v/>
      </c>
      <c r="O65" s="383" t="str">
        <f t="shared" si="37"/>
        <v/>
      </c>
      <c r="P65" s="383" t="str">
        <f t="shared" si="37"/>
        <v/>
      </c>
      <c r="Q65" s="383" t="str">
        <f t="shared" si="37"/>
        <v/>
      </c>
      <c r="R65" s="383" t="str">
        <f t="shared" si="37"/>
        <v/>
      </c>
      <c r="S65" s="383" t="str">
        <f t="shared" si="37"/>
        <v/>
      </c>
      <c r="T65" s="383" t="str">
        <f t="shared" si="37"/>
        <v/>
      </c>
      <c r="U65" s="383" t="str">
        <f t="shared" si="37"/>
        <v/>
      </c>
      <c r="V65" s="383" t="str">
        <f t="shared" si="37"/>
        <v/>
      </c>
      <c r="W65" s="383" t="str">
        <f t="shared" si="37"/>
        <v/>
      </c>
      <c r="X65" s="383" t="str">
        <f t="shared" si="37"/>
        <v/>
      </c>
      <c r="Y65" s="383" t="str">
        <f t="shared" si="37"/>
        <v/>
      </c>
      <c r="Z65" s="383" t="str">
        <f t="shared" si="37"/>
        <v/>
      </c>
      <c r="AA65" s="383" t="str">
        <f t="shared" si="37"/>
        <v/>
      </c>
      <c r="AB65" s="383" t="str">
        <f t="shared" si="37"/>
        <v/>
      </c>
      <c r="AC65" s="364">
        <f t="shared" si="28"/>
        <v>1.4285714285714285E-2</v>
      </c>
      <c r="AD65" s="758"/>
    </row>
    <row r="66" spans="2:30" x14ac:dyDescent="0.25">
      <c r="B66" s="777"/>
      <c r="C66" s="352">
        <f t="shared" si="29"/>
        <v>165</v>
      </c>
      <c r="D66" s="383" t="str">
        <f t="shared" ref="D66:AB66" si="38">IF(D14&lt;&gt;"",D14/$AC$49,"")</f>
        <v/>
      </c>
      <c r="E66" s="383" t="str">
        <f t="shared" si="38"/>
        <v/>
      </c>
      <c r="F66" s="383" t="str">
        <f t="shared" si="38"/>
        <v/>
      </c>
      <c r="G66" s="383">
        <f t="shared" si="38"/>
        <v>1.4285714285714285E-2</v>
      </c>
      <c r="H66" s="383">
        <f t="shared" si="38"/>
        <v>2.8571428571428571E-2</v>
      </c>
      <c r="I66" s="383" t="str">
        <f t="shared" si="38"/>
        <v/>
      </c>
      <c r="J66" s="383" t="str">
        <f t="shared" si="38"/>
        <v/>
      </c>
      <c r="K66" s="383" t="str">
        <f t="shared" si="38"/>
        <v/>
      </c>
      <c r="L66" s="383" t="str">
        <f t="shared" si="38"/>
        <v/>
      </c>
      <c r="M66" s="383" t="str">
        <f t="shared" si="38"/>
        <v/>
      </c>
      <c r="N66" s="383" t="str">
        <f t="shared" si="38"/>
        <v/>
      </c>
      <c r="O66" s="383" t="str">
        <f t="shared" si="38"/>
        <v/>
      </c>
      <c r="P66" s="383" t="str">
        <f t="shared" si="38"/>
        <v/>
      </c>
      <c r="Q66" s="383" t="str">
        <f t="shared" si="38"/>
        <v/>
      </c>
      <c r="R66" s="383" t="str">
        <f t="shared" si="38"/>
        <v/>
      </c>
      <c r="S66" s="383" t="str">
        <f t="shared" si="38"/>
        <v/>
      </c>
      <c r="T66" s="383" t="str">
        <f t="shared" si="38"/>
        <v/>
      </c>
      <c r="U66" s="383" t="str">
        <f t="shared" si="38"/>
        <v/>
      </c>
      <c r="V66" s="383" t="str">
        <f t="shared" si="38"/>
        <v/>
      </c>
      <c r="W66" s="383" t="str">
        <f t="shared" si="38"/>
        <v/>
      </c>
      <c r="X66" s="383" t="str">
        <f t="shared" si="38"/>
        <v/>
      </c>
      <c r="Y66" s="383" t="str">
        <f t="shared" si="38"/>
        <v/>
      </c>
      <c r="Z66" s="383" t="str">
        <f t="shared" si="38"/>
        <v/>
      </c>
      <c r="AA66" s="383" t="str">
        <f t="shared" si="38"/>
        <v/>
      </c>
      <c r="AB66" s="383" t="str">
        <f t="shared" si="38"/>
        <v/>
      </c>
      <c r="AC66" s="364">
        <f t="shared" si="28"/>
        <v>4.2857142857142858E-2</v>
      </c>
      <c r="AD66" s="758"/>
    </row>
    <row r="67" spans="2:30" x14ac:dyDescent="0.25">
      <c r="B67" s="777"/>
      <c r="C67" s="352">
        <f t="shared" si="29"/>
        <v>166</v>
      </c>
      <c r="D67" s="383" t="str">
        <f t="shared" ref="D67:AB67" si="39">IF(D15&lt;&gt;"",D15/$AC$49,"")</f>
        <v/>
      </c>
      <c r="E67" s="383" t="str">
        <f t="shared" si="39"/>
        <v/>
      </c>
      <c r="F67" s="383" t="str">
        <f t="shared" si="39"/>
        <v/>
      </c>
      <c r="G67" s="383" t="str">
        <f t="shared" si="39"/>
        <v/>
      </c>
      <c r="H67" s="383" t="str">
        <f t="shared" si="39"/>
        <v/>
      </c>
      <c r="I67" s="383" t="str">
        <f t="shared" si="39"/>
        <v/>
      </c>
      <c r="J67" s="383" t="str">
        <f t="shared" si="39"/>
        <v/>
      </c>
      <c r="K67" s="383" t="str">
        <f t="shared" si="39"/>
        <v/>
      </c>
      <c r="L67" s="383" t="str">
        <f t="shared" si="39"/>
        <v/>
      </c>
      <c r="M67" s="383" t="str">
        <f t="shared" si="39"/>
        <v/>
      </c>
      <c r="N67" s="383" t="str">
        <f t="shared" si="39"/>
        <v/>
      </c>
      <c r="O67" s="383" t="str">
        <f t="shared" si="39"/>
        <v/>
      </c>
      <c r="P67" s="383" t="str">
        <f t="shared" si="39"/>
        <v/>
      </c>
      <c r="Q67" s="383" t="str">
        <f t="shared" si="39"/>
        <v/>
      </c>
      <c r="R67" s="383" t="str">
        <f t="shared" si="39"/>
        <v/>
      </c>
      <c r="S67" s="383" t="str">
        <f t="shared" si="39"/>
        <v/>
      </c>
      <c r="T67" s="383" t="str">
        <f t="shared" si="39"/>
        <v/>
      </c>
      <c r="U67" s="383" t="str">
        <f t="shared" si="39"/>
        <v/>
      </c>
      <c r="V67" s="383" t="str">
        <f t="shared" si="39"/>
        <v/>
      </c>
      <c r="W67" s="383" t="str">
        <f t="shared" si="39"/>
        <v/>
      </c>
      <c r="X67" s="383" t="str">
        <f t="shared" si="39"/>
        <v/>
      </c>
      <c r="Y67" s="383" t="str">
        <f t="shared" si="39"/>
        <v/>
      </c>
      <c r="Z67" s="383" t="str">
        <f t="shared" si="39"/>
        <v/>
      </c>
      <c r="AA67" s="383" t="str">
        <f t="shared" si="39"/>
        <v/>
      </c>
      <c r="AB67" s="383" t="str">
        <f t="shared" si="39"/>
        <v/>
      </c>
      <c r="AC67" s="364" t="str">
        <f t="shared" si="28"/>
        <v/>
      </c>
      <c r="AD67" s="758"/>
    </row>
    <row r="68" spans="2:30" x14ac:dyDescent="0.25">
      <c r="B68" s="777"/>
      <c r="C68" s="352">
        <f t="shared" si="29"/>
        <v>167</v>
      </c>
      <c r="D68" s="383" t="str">
        <f t="shared" ref="D68:AB68" si="40">IF(D16&lt;&gt;"",D16/$AC$49,"")</f>
        <v/>
      </c>
      <c r="E68" s="383" t="str">
        <f t="shared" si="40"/>
        <v/>
      </c>
      <c r="F68" s="383" t="str">
        <f t="shared" si="40"/>
        <v/>
      </c>
      <c r="G68" s="383" t="str">
        <f t="shared" si="40"/>
        <v/>
      </c>
      <c r="H68" s="383" t="str">
        <f t="shared" si="40"/>
        <v/>
      </c>
      <c r="I68" s="383" t="str">
        <f t="shared" si="40"/>
        <v/>
      </c>
      <c r="J68" s="383" t="str">
        <f t="shared" si="40"/>
        <v/>
      </c>
      <c r="K68" s="383" t="str">
        <f t="shared" si="40"/>
        <v/>
      </c>
      <c r="L68" s="383" t="str">
        <f t="shared" si="40"/>
        <v/>
      </c>
      <c r="M68" s="383" t="str">
        <f t="shared" si="40"/>
        <v/>
      </c>
      <c r="N68" s="383" t="str">
        <f t="shared" si="40"/>
        <v/>
      </c>
      <c r="O68" s="383" t="str">
        <f t="shared" si="40"/>
        <v/>
      </c>
      <c r="P68" s="383" t="str">
        <f t="shared" si="40"/>
        <v/>
      </c>
      <c r="Q68" s="383" t="str">
        <f t="shared" si="40"/>
        <v/>
      </c>
      <c r="R68" s="383" t="str">
        <f t="shared" si="40"/>
        <v/>
      </c>
      <c r="S68" s="383" t="str">
        <f t="shared" si="40"/>
        <v/>
      </c>
      <c r="T68" s="383" t="str">
        <f t="shared" si="40"/>
        <v/>
      </c>
      <c r="U68" s="383" t="str">
        <f t="shared" si="40"/>
        <v/>
      </c>
      <c r="V68" s="383" t="str">
        <f t="shared" si="40"/>
        <v/>
      </c>
      <c r="W68" s="383" t="str">
        <f t="shared" si="40"/>
        <v/>
      </c>
      <c r="X68" s="383" t="str">
        <f t="shared" si="40"/>
        <v/>
      </c>
      <c r="Y68" s="383" t="str">
        <f t="shared" si="40"/>
        <v/>
      </c>
      <c r="Z68" s="383" t="str">
        <f t="shared" si="40"/>
        <v/>
      </c>
      <c r="AA68" s="383" t="str">
        <f t="shared" si="40"/>
        <v/>
      </c>
      <c r="AB68" s="383" t="str">
        <f t="shared" si="40"/>
        <v/>
      </c>
      <c r="AC68" s="364" t="str">
        <f t="shared" si="28"/>
        <v/>
      </c>
      <c r="AD68" s="758"/>
    </row>
    <row r="69" spans="2:30" x14ac:dyDescent="0.25">
      <c r="B69" s="777"/>
      <c r="C69" s="352">
        <f t="shared" si="29"/>
        <v>168</v>
      </c>
      <c r="D69" s="383" t="str">
        <f t="shared" ref="D69:AB69" si="41">IF(D17&lt;&gt;"",D17/$AC$49,"")</f>
        <v/>
      </c>
      <c r="E69" s="383">
        <f t="shared" si="41"/>
        <v>1.4285714285714285E-2</v>
      </c>
      <c r="F69" s="383" t="str">
        <f t="shared" si="41"/>
        <v/>
      </c>
      <c r="G69" s="383" t="str">
        <f t="shared" si="41"/>
        <v/>
      </c>
      <c r="H69" s="383" t="str">
        <f t="shared" si="41"/>
        <v/>
      </c>
      <c r="I69" s="383" t="str">
        <f t="shared" si="41"/>
        <v/>
      </c>
      <c r="J69" s="383" t="str">
        <f t="shared" si="41"/>
        <v/>
      </c>
      <c r="K69" s="383" t="str">
        <f t="shared" si="41"/>
        <v/>
      </c>
      <c r="L69" s="383" t="str">
        <f t="shared" si="41"/>
        <v/>
      </c>
      <c r="M69" s="383" t="str">
        <f t="shared" si="41"/>
        <v/>
      </c>
      <c r="N69" s="383" t="str">
        <f t="shared" si="41"/>
        <v/>
      </c>
      <c r="O69" s="383" t="str">
        <f t="shared" si="41"/>
        <v/>
      </c>
      <c r="P69" s="383" t="str">
        <f t="shared" si="41"/>
        <v/>
      </c>
      <c r="Q69" s="383" t="str">
        <f t="shared" si="41"/>
        <v/>
      </c>
      <c r="R69" s="383" t="str">
        <f t="shared" si="41"/>
        <v/>
      </c>
      <c r="S69" s="383" t="str">
        <f t="shared" si="41"/>
        <v/>
      </c>
      <c r="T69" s="383" t="str">
        <f t="shared" si="41"/>
        <v/>
      </c>
      <c r="U69" s="383" t="str">
        <f t="shared" si="41"/>
        <v/>
      </c>
      <c r="V69" s="383" t="str">
        <f t="shared" si="41"/>
        <v/>
      </c>
      <c r="W69" s="383" t="str">
        <f t="shared" si="41"/>
        <v/>
      </c>
      <c r="X69" s="383" t="str">
        <f t="shared" si="41"/>
        <v/>
      </c>
      <c r="Y69" s="383" t="str">
        <f t="shared" si="41"/>
        <v/>
      </c>
      <c r="Z69" s="383" t="str">
        <f t="shared" si="41"/>
        <v/>
      </c>
      <c r="AA69" s="383" t="str">
        <f t="shared" si="41"/>
        <v/>
      </c>
      <c r="AB69" s="383" t="str">
        <f t="shared" si="41"/>
        <v/>
      </c>
      <c r="AC69" s="364">
        <f t="shared" si="28"/>
        <v>1.4285714285714285E-2</v>
      </c>
      <c r="AD69" s="758"/>
    </row>
    <row r="70" spans="2:30" x14ac:dyDescent="0.25">
      <c r="B70" s="777"/>
      <c r="C70" s="352">
        <f t="shared" si="29"/>
        <v>169</v>
      </c>
      <c r="D70" s="383" t="str">
        <f t="shared" ref="D70:AB70" si="42">IF(D18&lt;&gt;"",D18/$AC$49,"")</f>
        <v/>
      </c>
      <c r="E70" s="383" t="str">
        <f t="shared" si="42"/>
        <v/>
      </c>
      <c r="F70" s="383" t="str">
        <f t="shared" si="42"/>
        <v/>
      </c>
      <c r="G70" s="383" t="str">
        <f t="shared" si="42"/>
        <v/>
      </c>
      <c r="H70" s="383" t="str">
        <f t="shared" si="42"/>
        <v/>
      </c>
      <c r="I70" s="383" t="str">
        <f t="shared" si="42"/>
        <v/>
      </c>
      <c r="J70" s="383" t="str">
        <f t="shared" si="42"/>
        <v/>
      </c>
      <c r="K70" s="383" t="str">
        <f t="shared" si="42"/>
        <v/>
      </c>
      <c r="L70" s="383" t="str">
        <f t="shared" si="42"/>
        <v/>
      </c>
      <c r="M70" s="383" t="str">
        <f t="shared" si="42"/>
        <v/>
      </c>
      <c r="N70" s="383">
        <f t="shared" si="42"/>
        <v>1.4285714285714285E-2</v>
      </c>
      <c r="O70" s="383" t="str">
        <f t="shared" si="42"/>
        <v/>
      </c>
      <c r="P70" s="383" t="str">
        <f t="shared" si="42"/>
        <v/>
      </c>
      <c r="Q70" s="383" t="str">
        <f t="shared" si="42"/>
        <v/>
      </c>
      <c r="R70" s="383" t="str">
        <f t="shared" si="42"/>
        <v/>
      </c>
      <c r="S70" s="383" t="str">
        <f t="shared" si="42"/>
        <v/>
      </c>
      <c r="T70" s="383" t="str">
        <f t="shared" si="42"/>
        <v/>
      </c>
      <c r="U70" s="383" t="str">
        <f t="shared" si="42"/>
        <v/>
      </c>
      <c r="V70" s="383" t="str">
        <f t="shared" si="42"/>
        <v/>
      </c>
      <c r="W70" s="383" t="str">
        <f t="shared" si="42"/>
        <v/>
      </c>
      <c r="X70" s="383" t="str">
        <f t="shared" si="42"/>
        <v/>
      </c>
      <c r="Y70" s="383" t="str">
        <f t="shared" si="42"/>
        <v/>
      </c>
      <c r="Z70" s="383" t="str">
        <f t="shared" si="42"/>
        <v/>
      </c>
      <c r="AA70" s="383" t="str">
        <f t="shared" si="42"/>
        <v/>
      </c>
      <c r="AB70" s="383" t="str">
        <f t="shared" si="42"/>
        <v/>
      </c>
      <c r="AC70" s="364">
        <f t="shared" si="28"/>
        <v>1.4285714285714285E-2</v>
      </c>
      <c r="AD70" s="758"/>
    </row>
    <row r="71" spans="2:30" x14ac:dyDescent="0.25">
      <c r="B71" s="777"/>
      <c r="C71" s="352">
        <f t="shared" si="29"/>
        <v>170</v>
      </c>
      <c r="D71" s="383" t="str">
        <f t="shared" ref="D71:AB71" si="43">IF(D19&lt;&gt;"",D19/$AC$49,"")</f>
        <v/>
      </c>
      <c r="E71" s="383" t="str">
        <f t="shared" si="43"/>
        <v/>
      </c>
      <c r="F71" s="383">
        <f t="shared" si="43"/>
        <v>1.4285714285714285E-2</v>
      </c>
      <c r="G71" s="383" t="str">
        <f t="shared" si="43"/>
        <v/>
      </c>
      <c r="H71" s="383">
        <f t="shared" si="43"/>
        <v>4.2857142857142858E-2</v>
      </c>
      <c r="I71" s="383">
        <f t="shared" si="43"/>
        <v>1.4285714285714285E-2</v>
      </c>
      <c r="J71" s="383">
        <f t="shared" si="43"/>
        <v>1.4285714285714285E-2</v>
      </c>
      <c r="K71" s="383">
        <f t="shared" si="43"/>
        <v>1.4285714285714285E-2</v>
      </c>
      <c r="L71" s="383" t="str">
        <f t="shared" si="43"/>
        <v/>
      </c>
      <c r="M71" s="383" t="str">
        <f t="shared" si="43"/>
        <v/>
      </c>
      <c r="N71" s="383" t="str">
        <f t="shared" si="43"/>
        <v/>
      </c>
      <c r="O71" s="383" t="str">
        <f t="shared" si="43"/>
        <v/>
      </c>
      <c r="P71" s="383" t="str">
        <f t="shared" si="43"/>
        <v/>
      </c>
      <c r="Q71" s="383" t="str">
        <f t="shared" si="43"/>
        <v/>
      </c>
      <c r="R71" s="383" t="str">
        <f t="shared" si="43"/>
        <v/>
      </c>
      <c r="S71" s="383" t="str">
        <f t="shared" si="43"/>
        <v/>
      </c>
      <c r="T71" s="383" t="str">
        <f t="shared" si="43"/>
        <v/>
      </c>
      <c r="U71" s="383" t="str">
        <f t="shared" si="43"/>
        <v/>
      </c>
      <c r="V71" s="383" t="str">
        <f t="shared" si="43"/>
        <v/>
      </c>
      <c r="W71" s="383" t="str">
        <f t="shared" si="43"/>
        <v/>
      </c>
      <c r="X71" s="383" t="str">
        <f t="shared" si="43"/>
        <v/>
      </c>
      <c r="Y71" s="383" t="str">
        <f t="shared" si="43"/>
        <v/>
      </c>
      <c r="Z71" s="383" t="str">
        <f t="shared" si="43"/>
        <v/>
      </c>
      <c r="AA71" s="383" t="str">
        <f t="shared" si="43"/>
        <v/>
      </c>
      <c r="AB71" s="383" t="str">
        <f t="shared" si="43"/>
        <v/>
      </c>
      <c r="AC71" s="364">
        <f t="shared" si="28"/>
        <v>0.1</v>
      </c>
      <c r="AD71" s="758"/>
    </row>
    <row r="72" spans="2:30" x14ac:dyDescent="0.25">
      <c r="B72" s="777"/>
      <c r="C72" s="352">
        <f t="shared" si="29"/>
        <v>171</v>
      </c>
      <c r="D72" s="383" t="str">
        <f t="shared" ref="D72:AB72" si="44">IF(D20&lt;&gt;"",D20/$AC$49,"")</f>
        <v/>
      </c>
      <c r="E72" s="383" t="str">
        <f t="shared" si="44"/>
        <v/>
      </c>
      <c r="F72" s="383" t="str">
        <f t="shared" si="44"/>
        <v/>
      </c>
      <c r="G72" s="383" t="str">
        <f t="shared" si="44"/>
        <v/>
      </c>
      <c r="H72" s="383" t="str">
        <f t="shared" si="44"/>
        <v/>
      </c>
      <c r="I72" s="383" t="str">
        <f t="shared" si="44"/>
        <v/>
      </c>
      <c r="J72" s="383">
        <f t="shared" si="44"/>
        <v>1.4285714285714285E-2</v>
      </c>
      <c r="K72" s="383" t="str">
        <f t="shared" si="44"/>
        <v/>
      </c>
      <c r="L72" s="383" t="str">
        <f t="shared" si="44"/>
        <v/>
      </c>
      <c r="M72" s="383" t="str">
        <f t="shared" si="44"/>
        <v/>
      </c>
      <c r="N72" s="383" t="str">
        <f t="shared" si="44"/>
        <v/>
      </c>
      <c r="O72" s="383" t="str">
        <f t="shared" si="44"/>
        <v/>
      </c>
      <c r="P72" s="383" t="str">
        <f t="shared" si="44"/>
        <v/>
      </c>
      <c r="Q72" s="383" t="str">
        <f t="shared" si="44"/>
        <v/>
      </c>
      <c r="R72" s="383" t="str">
        <f t="shared" si="44"/>
        <v/>
      </c>
      <c r="S72" s="383" t="str">
        <f t="shared" si="44"/>
        <v/>
      </c>
      <c r="T72" s="383" t="str">
        <f t="shared" si="44"/>
        <v/>
      </c>
      <c r="U72" s="383" t="str">
        <f t="shared" si="44"/>
        <v/>
      </c>
      <c r="V72" s="383" t="str">
        <f t="shared" si="44"/>
        <v/>
      </c>
      <c r="W72" s="383" t="str">
        <f t="shared" si="44"/>
        <v/>
      </c>
      <c r="X72" s="383" t="str">
        <f t="shared" si="44"/>
        <v/>
      </c>
      <c r="Y72" s="383" t="str">
        <f t="shared" si="44"/>
        <v/>
      </c>
      <c r="Z72" s="383" t="str">
        <f t="shared" si="44"/>
        <v/>
      </c>
      <c r="AA72" s="383" t="str">
        <f t="shared" si="44"/>
        <v/>
      </c>
      <c r="AB72" s="383" t="str">
        <f t="shared" si="44"/>
        <v/>
      </c>
      <c r="AC72" s="364">
        <f t="shared" si="28"/>
        <v>1.4285714285714285E-2</v>
      </c>
      <c r="AD72" s="758"/>
    </row>
    <row r="73" spans="2:30" x14ac:dyDescent="0.25">
      <c r="B73" s="777"/>
      <c r="C73" s="352">
        <f t="shared" si="29"/>
        <v>172</v>
      </c>
      <c r="D73" s="383" t="str">
        <f t="shared" ref="D73:AB73" si="45">IF(D21&lt;&gt;"",D21/$AC$49,"")</f>
        <v/>
      </c>
      <c r="E73" s="383" t="str">
        <f t="shared" si="45"/>
        <v/>
      </c>
      <c r="F73" s="383" t="str">
        <f t="shared" si="45"/>
        <v/>
      </c>
      <c r="G73" s="383" t="str">
        <f t="shared" si="45"/>
        <v/>
      </c>
      <c r="H73" s="383" t="str">
        <f t="shared" si="45"/>
        <v/>
      </c>
      <c r="I73" s="383" t="str">
        <f t="shared" si="45"/>
        <v/>
      </c>
      <c r="J73" s="383" t="str">
        <f t="shared" si="45"/>
        <v/>
      </c>
      <c r="K73" s="383">
        <f t="shared" si="45"/>
        <v>1.4285714285714285E-2</v>
      </c>
      <c r="L73" s="383" t="str">
        <f t="shared" si="45"/>
        <v/>
      </c>
      <c r="M73" s="383" t="str">
        <f t="shared" si="45"/>
        <v/>
      </c>
      <c r="N73" s="383" t="str">
        <f t="shared" si="45"/>
        <v/>
      </c>
      <c r="O73" s="383" t="str">
        <f t="shared" si="45"/>
        <v/>
      </c>
      <c r="P73" s="383" t="str">
        <f t="shared" si="45"/>
        <v/>
      </c>
      <c r="Q73" s="383" t="str">
        <f t="shared" si="45"/>
        <v/>
      </c>
      <c r="R73" s="383" t="str">
        <f t="shared" si="45"/>
        <v/>
      </c>
      <c r="S73" s="383" t="str">
        <f t="shared" si="45"/>
        <v/>
      </c>
      <c r="T73" s="383" t="str">
        <f t="shared" si="45"/>
        <v/>
      </c>
      <c r="U73" s="383" t="str">
        <f t="shared" si="45"/>
        <v/>
      </c>
      <c r="V73" s="383" t="str">
        <f t="shared" si="45"/>
        <v/>
      </c>
      <c r="W73" s="383" t="str">
        <f t="shared" si="45"/>
        <v/>
      </c>
      <c r="X73" s="383" t="str">
        <f t="shared" si="45"/>
        <v/>
      </c>
      <c r="Y73" s="383" t="str">
        <f t="shared" si="45"/>
        <v/>
      </c>
      <c r="Z73" s="383" t="str">
        <f t="shared" si="45"/>
        <v/>
      </c>
      <c r="AA73" s="383" t="str">
        <f t="shared" si="45"/>
        <v/>
      </c>
      <c r="AB73" s="383" t="str">
        <f t="shared" si="45"/>
        <v/>
      </c>
      <c r="AC73" s="364">
        <f t="shared" si="28"/>
        <v>1.4285714285714285E-2</v>
      </c>
      <c r="AD73" s="758"/>
    </row>
    <row r="74" spans="2:30" x14ac:dyDescent="0.25">
      <c r="B74" s="777"/>
      <c r="C74" s="352">
        <f t="shared" si="29"/>
        <v>173</v>
      </c>
      <c r="D74" s="383" t="str">
        <f t="shared" ref="D74:AB74" si="46">IF(D22&lt;&gt;"",D22/$AC$49,"")</f>
        <v/>
      </c>
      <c r="E74" s="383" t="str">
        <f t="shared" si="46"/>
        <v/>
      </c>
      <c r="F74" s="383" t="str">
        <f t="shared" si="46"/>
        <v/>
      </c>
      <c r="G74" s="383">
        <f t="shared" si="46"/>
        <v>1.4285714285714285E-2</v>
      </c>
      <c r="H74" s="383" t="str">
        <f t="shared" si="46"/>
        <v/>
      </c>
      <c r="I74" s="383" t="str">
        <f t="shared" si="46"/>
        <v/>
      </c>
      <c r="J74" s="383" t="str">
        <f t="shared" si="46"/>
        <v/>
      </c>
      <c r="K74" s="383" t="str">
        <f t="shared" si="46"/>
        <v/>
      </c>
      <c r="L74" s="383" t="str">
        <f t="shared" si="46"/>
        <v/>
      </c>
      <c r="M74" s="383" t="str">
        <f t="shared" si="46"/>
        <v/>
      </c>
      <c r="N74" s="383" t="str">
        <f t="shared" si="46"/>
        <v/>
      </c>
      <c r="O74" s="383" t="str">
        <f t="shared" si="46"/>
        <v/>
      </c>
      <c r="P74" s="383" t="str">
        <f t="shared" si="46"/>
        <v/>
      </c>
      <c r="Q74" s="383" t="str">
        <f t="shared" si="46"/>
        <v/>
      </c>
      <c r="R74" s="383" t="str">
        <f t="shared" si="46"/>
        <v/>
      </c>
      <c r="S74" s="383" t="str">
        <f t="shared" si="46"/>
        <v/>
      </c>
      <c r="T74" s="383" t="str">
        <f t="shared" si="46"/>
        <v/>
      </c>
      <c r="U74" s="383" t="str">
        <f t="shared" si="46"/>
        <v/>
      </c>
      <c r="V74" s="383" t="str">
        <f t="shared" si="46"/>
        <v/>
      </c>
      <c r="W74" s="383" t="str">
        <f t="shared" si="46"/>
        <v/>
      </c>
      <c r="X74" s="383" t="str">
        <f t="shared" si="46"/>
        <v/>
      </c>
      <c r="Y74" s="383" t="str">
        <f t="shared" si="46"/>
        <v/>
      </c>
      <c r="Z74" s="383" t="str">
        <f t="shared" si="46"/>
        <v/>
      </c>
      <c r="AA74" s="383" t="str">
        <f t="shared" si="46"/>
        <v/>
      </c>
      <c r="AB74" s="383" t="str">
        <f t="shared" si="46"/>
        <v/>
      </c>
      <c r="AC74" s="364">
        <f t="shared" si="28"/>
        <v>1.4285714285714285E-2</v>
      </c>
      <c r="AD74" s="758"/>
    </row>
    <row r="75" spans="2:30" x14ac:dyDescent="0.25">
      <c r="B75" s="777"/>
      <c r="C75" s="352">
        <f t="shared" si="29"/>
        <v>174</v>
      </c>
      <c r="D75" s="383" t="str">
        <f t="shared" ref="D75:AB75" si="47">IF(D23&lt;&gt;"",D23/$AC$49,"")</f>
        <v/>
      </c>
      <c r="E75" s="383" t="str">
        <f t="shared" si="47"/>
        <v/>
      </c>
      <c r="F75" s="383">
        <f t="shared" si="47"/>
        <v>1.4285714285714285E-2</v>
      </c>
      <c r="G75" s="383">
        <f t="shared" si="47"/>
        <v>1.4285714285714285E-2</v>
      </c>
      <c r="H75" s="383">
        <f t="shared" si="47"/>
        <v>1.4285714285714285E-2</v>
      </c>
      <c r="I75" s="383" t="str">
        <f t="shared" si="47"/>
        <v/>
      </c>
      <c r="J75" s="383" t="str">
        <f t="shared" si="47"/>
        <v/>
      </c>
      <c r="K75" s="383" t="str">
        <f t="shared" si="47"/>
        <v/>
      </c>
      <c r="L75" s="383" t="str">
        <f t="shared" si="47"/>
        <v/>
      </c>
      <c r="M75" s="383" t="str">
        <f t="shared" si="47"/>
        <v/>
      </c>
      <c r="N75" s="383" t="str">
        <f t="shared" si="47"/>
        <v/>
      </c>
      <c r="O75" s="383" t="str">
        <f t="shared" si="47"/>
        <v/>
      </c>
      <c r="P75" s="383" t="str">
        <f t="shared" si="47"/>
        <v/>
      </c>
      <c r="Q75" s="383" t="str">
        <f t="shared" si="47"/>
        <v/>
      </c>
      <c r="R75" s="383" t="str">
        <f t="shared" si="47"/>
        <v/>
      </c>
      <c r="S75" s="383" t="str">
        <f t="shared" si="47"/>
        <v/>
      </c>
      <c r="T75" s="383" t="str">
        <f t="shared" si="47"/>
        <v/>
      </c>
      <c r="U75" s="383" t="str">
        <f t="shared" si="47"/>
        <v/>
      </c>
      <c r="V75" s="383" t="str">
        <f t="shared" si="47"/>
        <v/>
      </c>
      <c r="W75" s="383" t="str">
        <f t="shared" si="47"/>
        <v/>
      </c>
      <c r="X75" s="383" t="str">
        <f t="shared" si="47"/>
        <v/>
      </c>
      <c r="Y75" s="383" t="str">
        <f t="shared" si="47"/>
        <v/>
      </c>
      <c r="Z75" s="383" t="str">
        <f t="shared" si="47"/>
        <v/>
      </c>
      <c r="AA75" s="383" t="str">
        <f t="shared" si="47"/>
        <v/>
      </c>
      <c r="AB75" s="383" t="str">
        <f t="shared" si="47"/>
        <v/>
      </c>
      <c r="AC75" s="364">
        <f t="shared" si="28"/>
        <v>4.2857142857142858E-2</v>
      </c>
      <c r="AD75" s="758"/>
    </row>
    <row r="76" spans="2:30" x14ac:dyDescent="0.25">
      <c r="B76" s="777"/>
      <c r="C76" s="352">
        <f t="shared" si="29"/>
        <v>175</v>
      </c>
      <c r="D76" s="383" t="str">
        <f t="shared" ref="D76:AB76" si="48">IF(D24&lt;&gt;"",D24/$AC$49,"")</f>
        <v/>
      </c>
      <c r="E76" s="383" t="str">
        <f t="shared" si="48"/>
        <v/>
      </c>
      <c r="F76" s="383" t="str">
        <f t="shared" si="48"/>
        <v/>
      </c>
      <c r="G76" s="383" t="str">
        <f t="shared" si="48"/>
        <v/>
      </c>
      <c r="H76" s="383" t="str">
        <f t="shared" si="48"/>
        <v/>
      </c>
      <c r="I76" s="383" t="str">
        <f t="shared" si="48"/>
        <v/>
      </c>
      <c r="J76" s="383" t="str">
        <f t="shared" si="48"/>
        <v/>
      </c>
      <c r="K76" s="383" t="str">
        <f t="shared" si="48"/>
        <v/>
      </c>
      <c r="L76" s="383">
        <f t="shared" si="48"/>
        <v>1.4285714285714285E-2</v>
      </c>
      <c r="M76" s="383" t="str">
        <f t="shared" si="48"/>
        <v/>
      </c>
      <c r="N76" s="383" t="str">
        <f t="shared" si="48"/>
        <v/>
      </c>
      <c r="O76" s="383" t="str">
        <f t="shared" si="48"/>
        <v/>
      </c>
      <c r="P76" s="383" t="str">
        <f t="shared" si="48"/>
        <v/>
      </c>
      <c r="Q76" s="383" t="str">
        <f t="shared" si="48"/>
        <v/>
      </c>
      <c r="R76" s="383" t="str">
        <f t="shared" si="48"/>
        <v/>
      </c>
      <c r="S76" s="383" t="str">
        <f t="shared" si="48"/>
        <v/>
      </c>
      <c r="T76" s="383" t="str">
        <f t="shared" si="48"/>
        <v/>
      </c>
      <c r="U76" s="383" t="str">
        <f t="shared" si="48"/>
        <v/>
      </c>
      <c r="V76" s="383" t="str">
        <f t="shared" si="48"/>
        <v/>
      </c>
      <c r="W76" s="383" t="str">
        <f t="shared" si="48"/>
        <v/>
      </c>
      <c r="X76" s="383" t="str">
        <f t="shared" si="48"/>
        <v/>
      </c>
      <c r="Y76" s="383" t="str">
        <f t="shared" si="48"/>
        <v/>
      </c>
      <c r="Z76" s="383" t="str">
        <f t="shared" si="48"/>
        <v/>
      </c>
      <c r="AA76" s="383" t="str">
        <f t="shared" si="48"/>
        <v/>
      </c>
      <c r="AB76" s="383" t="str">
        <f t="shared" si="48"/>
        <v/>
      </c>
      <c r="AC76" s="364">
        <f t="shared" si="28"/>
        <v>1.4285714285714285E-2</v>
      </c>
      <c r="AD76" s="758"/>
    </row>
    <row r="77" spans="2:30" x14ac:dyDescent="0.25">
      <c r="B77" s="777"/>
      <c r="C77" s="352">
        <f t="shared" si="29"/>
        <v>176</v>
      </c>
      <c r="D77" s="383" t="str">
        <f t="shared" ref="D77:AB77" si="49">IF(D25&lt;&gt;"",D25/$AC$49,"")</f>
        <v/>
      </c>
      <c r="E77" s="383" t="str">
        <f t="shared" si="49"/>
        <v/>
      </c>
      <c r="F77" s="383" t="str">
        <f t="shared" si="49"/>
        <v/>
      </c>
      <c r="G77" s="383">
        <f t="shared" si="49"/>
        <v>2.8571428571428571E-2</v>
      </c>
      <c r="H77" s="383" t="str">
        <f t="shared" si="49"/>
        <v/>
      </c>
      <c r="I77" s="383">
        <f t="shared" si="49"/>
        <v>2.8571428571428571E-2</v>
      </c>
      <c r="J77" s="383" t="str">
        <f t="shared" si="49"/>
        <v/>
      </c>
      <c r="K77" s="383">
        <f t="shared" si="49"/>
        <v>2.8571428571428571E-2</v>
      </c>
      <c r="L77" s="383" t="str">
        <f t="shared" si="49"/>
        <v/>
      </c>
      <c r="M77" s="383" t="str">
        <f t="shared" si="49"/>
        <v/>
      </c>
      <c r="N77" s="383" t="str">
        <f t="shared" si="49"/>
        <v/>
      </c>
      <c r="O77" s="383" t="str">
        <f t="shared" si="49"/>
        <v/>
      </c>
      <c r="P77" s="383" t="str">
        <f t="shared" si="49"/>
        <v/>
      </c>
      <c r="Q77" s="383" t="str">
        <f t="shared" si="49"/>
        <v/>
      </c>
      <c r="R77" s="383" t="str">
        <f t="shared" si="49"/>
        <v/>
      </c>
      <c r="S77" s="383" t="str">
        <f t="shared" si="49"/>
        <v/>
      </c>
      <c r="T77" s="383" t="str">
        <f t="shared" si="49"/>
        <v/>
      </c>
      <c r="U77" s="383" t="str">
        <f t="shared" si="49"/>
        <v/>
      </c>
      <c r="V77" s="383" t="str">
        <f t="shared" si="49"/>
        <v/>
      </c>
      <c r="W77" s="383" t="str">
        <f t="shared" si="49"/>
        <v/>
      </c>
      <c r="X77" s="383" t="str">
        <f t="shared" si="49"/>
        <v/>
      </c>
      <c r="Y77" s="383" t="str">
        <f t="shared" si="49"/>
        <v/>
      </c>
      <c r="Z77" s="383" t="str">
        <f t="shared" si="49"/>
        <v/>
      </c>
      <c r="AA77" s="383" t="str">
        <f t="shared" si="49"/>
        <v/>
      </c>
      <c r="AB77" s="383" t="str">
        <f t="shared" si="49"/>
        <v/>
      </c>
      <c r="AC77" s="364">
        <f t="shared" si="28"/>
        <v>8.5714285714285715E-2</v>
      </c>
      <c r="AD77" s="758"/>
    </row>
    <row r="78" spans="2:30" x14ac:dyDescent="0.25">
      <c r="B78" s="777"/>
      <c r="C78" s="352">
        <f t="shared" si="29"/>
        <v>177</v>
      </c>
      <c r="D78" s="383" t="str">
        <f t="shared" ref="D78:AB78" si="50">IF(D26&lt;&gt;"",D26/$AC$49,"")</f>
        <v/>
      </c>
      <c r="E78" s="383" t="str">
        <f t="shared" si="50"/>
        <v/>
      </c>
      <c r="F78" s="383" t="str">
        <f t="shared" si="50"/>
        <v/>
      </c>
      <c r="G78" s="383" t="str">
        <f t="shared" si="50"/>
        <v/>
      </c>
      <c r="H78" s="383" t="str">
        <f t="shared" si="50"/>
        <v/>
      </c>
      <c r="I78" s="383" t="str">
        <f t="shared" si="50"/>
        <v/>
      </c>
      <c r="J78" s="383" t="str">
        <f t="shared" si="50"/>
        <v/>
      </c>
      <c r="K78" s="383" t="str">
        <f t="shared" si="50"/>
        <v/>
      </c>
      <c r="L78" s="383" t="str">
        <f t="shared" si="50"/>
        <v/>
      </c>
      <c r="M78" s="383" t="str">
        <f t="shared" si="50"/>
        <v/>
      </c>
      <c r="N78" s="383" t="str">
        <f t="shared" si="50"/>
        <v/>
      </c>
      <c r="O78" s="383" t="str">
        <f t="shared" si="50"/>
        <v/>
      </c>
      <c r="P78" s="383" t="str">
        <f t="shared" si="50"/>
        <v/>
      </c>
      <c r="Q78" s="383" t="str">
        <f t="shared" si="50"/>
        <v/>
      </c>
      <c r="R78" s="383" t="str">
        <f t="shared" si="50"/>
        <v/>
      </c>
      <c r="S78" s="383" t="str">
        <f t="shared" si="50"/>
        <v/>
      </c>
      <c r="T78" s="383" t="str">
        <f t="shared" si="50"/>
        <v/>
      </c>
      <c r="U78" s="383" t="str">
        <f t="shared" si="50"/>
        <v/>
      </c>
      <c r="V78" s="383" t="str">
        <f t="shared" si="50"/>
        <v/>
      </c>
      <c r="W78" s="383" t="str">
        <f t="shared" si="50"/>
        <v/>
      </c>
      <c r="X78" s="383" t="str">
        <f t="shared" si="50"/>
        <v/>
      </c>
      <c r="Y78" s="383" t="str">
        <f t="shared" si="50"/>
        <v/>
      </c>
      <c r="Z78" s="383" t="str">
        <f t="shared" si="50"/>
        <v/>
      </c>
      <c r="AA78" s="383" t="str">
        <f t="shared" si="50"/>
        <v/>
      </c>
      <c r="AB78" s="383" t="str">
        <f t="shared" si="50"/>
        <v/>
      </c>
      <c r="AC78" s="364" t="str">
        <f t="shared" si="28"/>
        <v/>
      </c>
      <c r="AD78" s="758"/>
    </row>
    <row r="79" spans="2:30" x14ac:dyDescent="0.25">
      <c r="B79" s="777"/>
      <c r="C79" s="352">
        <f t="shared" si="29"/>
        <v>178</v>
      </c>
      <c r="D79" s="383" t="str">
        <f t="shared" ref="D79:AB79" si="51">IF(D27&lt;&gt;"",D27/$AC$49,"")</f>
        <v/>
      </c>
      <c r="E79" s="383" t="str">
        <f t="shared" si="51"/>
        <v/>
      </c>
      <c r="F79" s="383" t="str">
        <f t="shared" si="51"/>
        <v/>
      </c>
      <c r="G79" s="383">
        <f t="shared" si="51"/>
        <v>1.4285714285714285E-2</v>
      </c>
      <c r="H79" s="383" t="str">
        <f t="shared" si="51"/>
        <v/>
      </c>
      <c r="I79" s="383">
        <f t="shared" si="51"/>
        <v>1.4285714285714285E-2</v>
      </c>
      <c r="J79" s="383" t="str">
        <f t="shared" si="51"/>
        <v/>
      </c>
      <c r="K79" s="383">
        <f t="shared" si="51"/>
        <v>1.4285714285714285E-2</v>
      </c>
      <c r="L79" s="383" t="str">
        <f t="shared" si="51"/>
        <v/>
      </c>
      <c r="M79" s="383" t="str">
        <f t="shared" si="51"/>
        <v/>
      </c>
      <c r="N79" s="383" t="str">
        <f t="shared" si="51"/>
        <v/>
      </c>
      <c r="O79" s="383" t="str">
        <f t="shared" si="51"/>
        <v/>
      </c>
      <c r="P79" s="383" t="str">
        <f t="shared" si="51"/>
        <v/>
      </c>
      <c r="Q79" s="383" t="str">
        <f t="shared" si="51"/>
        <v/>
      </c>
      <c r="R79" s="383" t="str">
        <f t="shared" si="51"/>
        <v/>
      </c>
      <c r="S79" s="383" t="str">
        <f t="shared" si="51"/>
        <v/>
      </c>
      <c r="T79" s="383" t="str">
        <f t="shared" si="51"/>
        <v/>
      </c>
      <c r="U79" s="383" t="str">
        <f t="shared" si="51"/>
        <v/>
      </c>
      <c r="V79" s="383" t="str">
        <f t="shared" si="51"/>
        <v/>
      </c>
      <c r="W79" s="383" t="str">
        <f t="shared" si="51"/>
        <v/>
      </c>
      <c r="X79" s="383" t="str">
        <f t="shared" si="51"/>
        <v/>
      </c>
      <c r="Y79" s="383" t="str">
        <f t="shared" si="51"/>
        <v/>
      </c>
      <c r="Z79" s="383" t="str">
        <f t="shared" si="51"/>
        <v/>
      </c>
      <c r="AA79" s="383" t="str">
        <f t="shared" si="51"/>
        <v/>
      </c>
      <c r="AB79" s="383" t="str">
        <f t="shared" si="51"/>
        <v/>
      </c>
      <c r="AC79" s="364">
        <f t="shared" si="28"/>
        <v>4.2857142857142858E-2</v>
      </c>
      <c r="AD79" s="758"/>
    </row>
    <row r="80" spans="2:30" ht="15" customHeight="1" x14ac:dyDescent="0.25">
      <c r="B80" s="777"/>
      <c r="C80" s="352">
        <f t="shared" si="29"/>
        <v>179</v>
      </c>
      <c r="D80" s="383" t="str">
        <f t="shared" ref="D80:AB80" si="52">IF(D28&lt;&gt;"",D28/$AC$49,"")</f>
        <v/>
      </c>
      <c r="E80" s="383" t="str">
        <f t="shared" si="52"/>
        <v/>
      </c>
      <c r="F80" s="383" t="str">
        <f t="shared" si="52"/>
        <v/>
      </c>
      <c r="G80" s="383" t="str">
        <f t="shared" si="52"/>
        <v/>
      </c>
      <c r="H80" s="383" t="str">
        <f t="shared" si="52"/>
        <v/>
      </c>
      <c r="I80" s="383" t="str">
        <f t="shared" si="52"/>
        <v/>
      </c>
      <c r="J80" s="383" t="str">
        <f t="shared" si="52"/>
        <v/>
      </c>
      <c r="K80" s="383" t="str">
        <f t="shared" si="52"/>
        <v/>
      </c>
      <c r="L80" s="383" t="str">
        <f t="shared" si="52"/>
        <v/>
      </c>
      <c r="M80" s="383" t="str">
        <f t="shared" si="52"/>
        <v/>
      </c>
      <c r="N80" s="383" t="str">
        <f t="shared" si="52"/>
        <v/>
      </c>
      <c r="O80" s="383" t="str">
        <f t="shared" si="52"/>
        <v/>
      </c>
      <c r="P80" s="383" t="str">
        <f t="shared" si="52"/>
        <v/>
      </c>
      <c r="Q80" s="383" t="str">
        <f t="shared" si="52"/>
        <v/>
      </c>
      <c r="R80" s="383" t="str">
        <f t="shared" si="52"/>
        <v/>
      </c>
      <c r="S80" s="383" t="str">
        <f t="shared" si="52"/>
        <v/>
      </c>
      <c r="T80" s="383" t="str">
        <f t="shared" si="52"/>
        <v/>
      </c>
      <c r="U80" s="383" t="str">
        <f t="shared" si="52"/>
        <v/>
      </c>
      <c r="V80" s="383" t="str">
        <f t="shared" si="52"/>
        <v/>
      </c>
      <c r="W80" s="383" t="str">
        <f t="shared" si="52"/>
        <v/>
      </c>
      <c r="X80" s="383" t="str">
        <f t="shared" si="52"/>
        <v/>
      </c>
      <c r="Y80" s="383" t="str">
        <f t="shared" si="52"/>
        <v/>
      </c>
      <c r="Z80" s="383" t="str">
        <f t="shared" si="52"/>
        <v/>
      </c>
      <c r="AA80" s="383" t="str">
        <f t="shared" si="52"/>
        <v/>
      </c>
      <c r="AB80" s="383" t="str">
        <f t="shared" si="52"/>
        <v/>
      </c>
      <c r="AC80" s="364" t="str">
        <f t="shared" si="28"/>
        <v/>
      </c>
      <c r="AD80" s="758"/>
    </row>
    <row r="81" spans="1:30" x14ac:dyDescent="0.25">
      <c r="B81" s="777"/>
      <c r="C81" s="352">
        <f t="shared" si="29"/>
        <v>180</v>
      </c>
      <c r="D81" s="383" t="str">
        <f t="shared" ref="D81:AB81" si="53">IF(D29&lt;&gt;"",D29/$AC$49,"")</f>
        <v/>
      </c>
      <c r="E81" s="383" t="str">
        <f t="shared" si="53"/>
        <v/>
      </c>
      <c r="F81" s="383">
        <f t="shared" si="53"/>
        <v>1.4285714285714285E-2</v>
      </c>
      <c r="G81" s="383" t="str">
        <f t="shared" si="53"/>
        <v/>
      </c>
      <c r="H81" s="383">
        <f t="shared" si="53"/>
        <v>2.8571428571428571E-2</v>
      </c>
      <c r="I81" s="383" t="str">
        <f t="shared" si="53"/>
        <v/>
      </c>
      <c r="J81" s="383" t="str">
        <f t="shared" si="53"/>
        <v/>
      </c>
      <c r="K81" s="383">
        <f t="shared" si="53"/>
        <v>1.4285714285714285E-2</v>
      </c>
      <c r="L81" s="383" t="str">
        <f t="shared" si="53"/>
        <v/>
      </c>
      <c r="M81" s="383" t="str">
        <f t="shared" si="53"/>
        <v/>
      </c>
      <c r="N81" s="383" t="str">
        <f t="shared" si="53"/>
        <v/>
      </c>
      <c r="O81" s="383" t="str">
        <f t="shared" si="53"/>
        <v/>
      </c>
      <c r="P81" s="383" t="str">
        <f t="shared" si="53"/>
        <v/>
      </c>
      <c r="Q81" s="383" t="str">
        <f t="shared" si="53"/>
        <v/>
      </c>
      <c r="R81" s="383" t="str">
        <f t="shared" si="53"/>
        <v/>
      </c>
      <c r="S81" s="383" t="str">
        <f t="shared" si="53"/>
        <v/>
      </c>
      <c r="T81" s="383" t="str">
        <f t="shared" si="53"/>
        <v/>
      </c>
      <c r="U81" s="383" t="str">
        <f t="shared" si="53"/>
        <v/>
      </c>
      <c r="V81" s="383" t="str">
        <f t="shared" si="53"/>
        <v/>
      </c>
      <c r="W81" s="383" t="str">
        <f t="shared" si="53"/>
        <v/>
      </c>
      <c r="X81" s="383" t="str">
        <f t="shared" si="53"/>
        <v/>
      </c>
      <c r="Y81" s="383" t="str">
        <f t="shared" si="53"/>
        <v/>
      </c>
      <c r="Z81" s="383" t="str">
        <f t="shared" si="53"/>
        <v/>
      </c>
      <c r="AA81" s="383" t="str">
        <f t="shared" si="53"/>
        <v/>
      </c>
      <c r="AB81" s="383" t="str">
        <f t="shared" si="53"/>
        <v/>
      </c>
      <c r="AC81" s="364">
        <f t="shared" si="28"/>
        <v>5.7142857142857141E-2</v>
      </c>
      <c r="AD81" s="758"/>
    </row>
    <row r="82" spans="1:30" x14ac:dyDescent="0.25">
      <c r="A82" s="21"/>
      <c r="B82" s="777"/>
      <c r="C82" s="352">
        <f t="shared" si="29"/>
        <v>181</v>
      </c>
      <c r="D82" s="383" t="str">
        <f t="shared" ref="D82:AB82" si="54">IF(D30&lt;&gt;"",D30/$AC$49,"")</f>
        <v/>
      </c>
      <c r="E82" s="383" t="str">
        <f t="shared" si="54"/>
        <v/>
      </c>
      <c r="F82" s="383" t="str">
        <f t="shared" si="54"/>
        <v/>
      </c>
      <c r="G82" s="383" t="str">
        <f t="shared" si="54"/>
        <v/>
      </c>
      <c r="H82" s="383" t="str">
        <f t="shared" si="54"/>
        <v/>
      </c>
      <c r="I82" s="383" t="str">
        <f t="shared" si="54"/>
        <v/>
      </c>
      <c r="J82" s="383" t="str">
        <f t="shared" si="54"/>
        <v/>
      </c>
      <c r="K82" s="383" t="str">
        <f t="shared" si="54"/>
        <v/>
      </c>
      <c r="L82" s="383" t="str">
        <f t="shared" si="54"/>
        <v/>
      </c>
      <c r="M82" s="383" t="str">
        <f t="shared" si="54"/>
        <v/>
      </c>
      <c r="N82" s="383" t="str">
        <f t="shared" si="54"/>
        <v/>
      </c>
      <c r="O82" s="383" t="str">
        <f t="shared" si="54"/>
        <v/>
      </c>
      <c r="P82" s="383" t="str">
        <f t="shared" si="54"/>
        <v/>
      </c>
      <c r="Q82" s="383" t="str">
        <f t="shared" si="54"/>
        <v/>
      </c>
      <c r="R82" s="383" t="str">
        <f t="shared" si="54"/>
        <v/>
      </c>
      <c r="S82" s="383" t="str">
        <f t="shared" si="54"/>
        <v/>
      </c>
      <c r="T82" s="383" t="str">
        <f t="shared" si="54"/>
        <v/>
      </c>
      <c r="U82" s="383" t="str">
        <f t="shared" si="54"/>
        <v/>
      </c>
      <c r="V82" s="383" t="str">
        <f t="shared" si="54"/>
        <v/>
      </c>
      <c r="W82" s="383" t="str">
        <f t="shared" si="54"/>
        <v/>
      </c>
      <c r="X82" s="383" t="str">
        <f t="shared" si="54"/>
        <v/>
      </c>
      <c r="Y82" s="383" t="str">
        <f t="shared" si="54"/>
        <v/>
      </c>
      <c r="Z82" s="383" t="str">
        <f t="shared" si="54"/>
        <v/>
      </c>
      <c r="AA82" s="383" t="str">
        <f t="shared" si="54"/>
        <v/>
      </c>
      <c r="AB82" s="383" t="str">
        <f t="shared" si="54"/>
        <v/>
      </c>
      <c r="AC82" s="364" t="str">
        <f t="shared" si="28"/>
        <v/>
      </c>
      <c r="AD82" s="758"/>
    </row>
    <row r="83" spans="1:30" ht="15" customHeight="1" x14ac:dyDescent="0.25">
      <c r="A83" s="375"/>
      <c r="B83" s="777"/>
      <c r="C83" s="352">
        <f t="shared" si="29"/>
        <v>182</v>
      </c>
      <c r="D83" s="383" t="str">
        <f t="shared" ref="D83:AB83" si="55">IF(D31&lt;&gt;"",D31/$AC$49,"")</f>
        <v/>
      </c>
      <c r="E83" s="383">
        <f t="shared" si="55"/>
        <v>1.4285714285714285E-2</v>
      </c>
      <c r="F83" s="383">
        <f t="shared" si="55"/>
        <v>1.4285714285714285E-2</v>
      </c>
      <c r="G83" s="383" t="str">
        <f t="shared" si="55"/>
        <v/>
      </c>
      <c r="H83" s="383" t="str">
        <f t="shared" si="55"/>
        <v/>
      </c>
      <c r="I83" s="383" t="str">
        <f t="shared" si="55"/>
        <v/>
      </c>
      <c r="J83" s="383">
        <f t="shared" si="55"/>
        <v>2.8571428571428571E-2</v>
      </c>
      <c r="K83" s="383" t="str">
        <f t="shared" si="55"/>
        <v/>
      </c>
      <c r="L83" s="383">
        <f t="shared" si="55"/>
        <v>1.4285714285714285E-2</v>
      </c>
      <c r="M83" s="383" t="str">
        <f t="shared" si="55"/>
        <v/>
      </c>
      <c r="N83" s="383" t="str">
        <f t="shared" si="55"/>
        <v/>
      </c>
      <c r="O83" s="383" t="str">
        <f t="shared" si="55"/>
        <v/>
      </c>
      <c r="P83" s="383" t="str">
        <f t="shared" si="55"/>
        <v/>
      </c>
      <c r="Q83" s="383" t="str">
        <f t="shared" si="55"/>
        <v/>
      </c>
      <c r="R83" s="383" t="str">
        <f t="shared" si="55"/>
        <v/>
      </c>
      <c r="S83" s="383" t="str">
        <f t="shared" si="55"/>
        <v/>
      </c>
      <c r="T83" s="383" t="str">
        <f t="shared" si="55"/>
        <v/>
      </c>
      <c r="U83" s="383" t="str">
        <f t="shared" si="55"/>
        <v/>
      </c>
      <c r="V83" s="383" t="str">
        <f t="shared" si="55"/>
        <v/>
      </c>
      <c r="W83" s="383" t="str">
        <f t="shared" si="55"/>
        <v/>
      </c>
      <c r="X83" s="383" t="str">
        <f t="shared" si="55"/>
        <v/>
      </c>
      <c r="Y83" s="383" t="str">
        <f t="shared" si="55"/>
        <v/>
      </c>
      <c r="Z83" s="383" t="str">
        <f t="shared" si="55"/>
        <v/>
      </c>
      <c r="AA83" s="383" t="str">
        <f t="shared" si="55"/>
        <v/>
      </c>
      <c r="AB83" s="383" t="str">
        <f t="shared" si="55"/>
        <v/>
      </c>
      <c r="AC83" s="364">
        <f t="shared" si="28"/>
        <v>7.1428571428571425E-2</v>
      </c>
      <c r="AD83" s="758"/>
    </row>
    <row r="84" spans="1:30" ht="15" customHeight="1" x14ac:dyDescent="0.25">
      <c r="A84" s="14"/>
      <c r="B84" s="777"/>
      <c r="C84" s="352">
        <f t="shared" si="29"/>
        <v>183</v>
      </c>
      <c r="D84" s="383" t="str">
        <f t="shared" ref="D84:AB84" si="56">IF(D32&lt;&gt;"",D32/$AC$49,"")</f>
        <v/>
      </c>
      <c r="E84" s="383" t="str">
        <f t="shared" si="56"/>
        <v/>
      </c>
      <c r="F84" s="383">
        <f t="shared" si="56"/>
        <v>2.8571428571428571E-2</v>
      </c>
      <c r="G84" s="383" t="str">
        <f t="shared" si="56"/>
        <v/>
      </c>
      <c r="H84" s="383" t="str">
        <f t="shared" si="56"/>
        <v/>
      </c>
      <c r="I84" s="383" t="str">
        <f t="shared" si="56"/>
        <v/>
      </c>
      <c r="J84" s="383">
        <f t="shared" si="56"/>
        <v>1.4285714285714285E-2</v>
      </c>
      <c r="K84" s="383">
        <f t="shared" si="56"/>
        <v>1.4285714285714285E-2</v>
      </c>
      <c r="L84" s="383" t="str">
        <f t="shared" si="56"/>
        <v/>
      </c>
      <c r="M84" s="383" t="str">
        <f t="shared" si="56"/>
        <v/>
      </c>
      <c r="N84" s="383" t="str">
        <f t="shared" si="56"/>
        <v/>
      </c>
      <c r="O84" s="383" t="str">
        <f t="shared" si="56"/>
        <v/>
      </c>
      <c r="P84" s="383" t="str">
        <f t="shared" si="56"/>
        <v/>
      </c>
      <c r="Q84" s="383" t="str">
        <f t="shared" si="56"/>
        <v/>
      </c>
      <c r="R84" s="383" t="str">
        <f t="shared" si="56"/>
        <v/>
      </c>
      <c r="S84" s="383" t="str">
        <f t="shared" si="56"/>
        <v/>
      </c>
      <c r="T84" s="383" t="str">
        <f t="shared" si="56"/>
        <v/>
      </c>
      <c r="U84" s="383" t="str">
        <f t="shared" si="56"/>
        <v/>
      </c>
      <c r="V84" s="383" t="str">
        <f t="shared" si="56"/>
        <v/>
      </c>
      <c r="W84" s="383" t="str">
        <f t="shared" si="56"/>
        <v/>
      </c>
      <c r="X84" s="383" t="str">
        <f t="shared" si="56"/>
        <v/>
      </c>
      <c r="Y84" s="383" t="str">
        <f t="shared" si="56"/>
        <v/>
      </c>
      <c r="Z84" s="383" t="str">
        <f t="shared" si="56"/>
        <v/>
      </c>
      <c r="AA84" s="383" t="str">
        <f t="shared" si="56"/>
        <v/>
      </c>
      <c r="AB84" s="383" t="str">
        <f t="shared" si="56"/>
        <v/>
      </c>
      <c r="AC84" s="364">
        <f t="shared" si="28"/>
        <v>5.7142857142857141E-2</v>
      </c>
      <c r="AD84" s="758"/>
    </row>
    <row r="85" spans="1:30" x14ac:dyDescent="0.25">
      <c r="B85" s="777"/>
      <c r="C85" s="352">
        <f t="shared" si="29"/>
        <v>184</v>
      </c>
      <c r="D85" s="383" t="str">
        <f t="shared" ref="D85:AB85" si="57">IF(D33&lt;&gt;"",D33/$AC$49,"")</f>
        <v/>
      </c>
      <c r="E85" s="383" t="str">
        <f t="shared" si="57"/>
        <v/>
      </c>
      <c r="F85" s="383" t="str">
        <f t="shared" si="57"/>
        <v/>
      </c>
      <c r="G85" s="383">
        <f t="shared" si="57"/>
        <v>1.4285714285714285E-2</v>
      </c>
      <c r="H85" s="383">
        <f t="shared" si="57"/>
        <v>1.4285714285714285E-2</v>
      </c>
      <c r="I85" s="383" t="str">
        <f t="shared" si="57"/>
        <v/>
      </c>
      <c r="J85" s="383" t="str">
        <f t="shared" si="57"/>
        <v/>
      </c>
      <c r="K85" s="383" t="str">
        <f t="shared" si="57"/>
        <v/>
      </c>
      <c r="L85" s="383">
        <f t="shared" si="57"/>
        <v>1.4285714285714285E-2</v>
      </c>
      <c r="M85" s="383" t="str">
        <f t="shared" si="57"/>
        <v/>
      </c>
      <c r="N85" s="383" t="str">
        <f t="shared" si="57"/>
        <v/>
      </c>
      <c r="O85" s="383" t="str">
        <f t="shared" si="57"/>
        <v/>
      </c>
      <c r="P85" s="383" t="str">
        <f t="shared" si="57"/>
        <v/>
      </c>
      <c r="Q85" s="383" t="str">
        <f t="shared" si="57"/>
        <v/>
      </c>
      <c r="R85" s="383" t="str">
        <f t="shared" si="57"/>
        <v/>
      </c>
      <c r="S85" s="383" t="str">
        <f t="shared" si="57"/>
        <v/>
      </c>
      <c r="T85" s="383" t="str">
        <f t="shared" si="57"/>
        <v/>
      </c>
      <c r="U85" s="383" t="str">
        <f t="shared" si="57"/>
        <v/>
      </c>
      <c r="V85" s="383" t="str">
        <f t="shared" si="57"/>
        <v/>
      </c>
      <c r="W85" s="383" t="str">
        <f t="shared" si="57"/>
        <v/>
      </c>
      <c r="X85" s="383" t="str">
        <f t="shared" si="57"/>
        <v/>
      </c>
      <c r="Y85" s="383" t="str">
        <f t="shared" si="57"/>
        <v/>
      </c>
      <c r="Z85" s="383" t="str">
        <f t="shared" si="57"/>
        <v/>
      </c>
      <c r="AA85" s="383" t="str">
        <f t="shared" si="57"/>
        <v/>
      </c>
      <c r="AB85" s="383" t="str">
        <f t="shared" si="57"/>
        <v/>
      </c>
      <c r="AC85" s="364">
        <f t="shared" si="28"/>
        <v>4.2857142857142858E-2</v>
      </c>
      <c r="AD85" s="758"/>
    </row>
    <row r="86" spans="1:30" ht="15" customHeight="1" x14ac:dyDescent="0.25">
      <c r="A86" s="27"/>
      <c r="B86" s="777"/>
      <c r="C86" s="352">
        <f>C85+1</f>
        <v>185</v>
      </c>
      <c r="D86" s="383" t="str">
        <f t="shared" ref="D86:AB86" si="58">IF(D34&lt;&gt;"",D34/$AC$49,"")</f>
        <v/>
      </c>
      <c r="E86" s="383" t="str">
        <f t="shared" si="58"/>
        <v/>
      </c>
      <c r="F86" s="383">
        <f t="shared" si="58"/>
        <v>1.4285714285714285E-2</v>
      </c>
      <c r="G86" s="383">
        <f t="shared" si="58"/>
        <v>2.8571428571428571E-2</v>
      </c>
      <c r="H86" s="383">
        <f t="shared" si="58"/>
        <v>1.4285714285714285E-2</v>
      </c>
      <c r="I86" s="383">
        <f t="shared" si="58"/>
        <v>1.4285714285714285E-2</v>
      </c>
      <c r="J86" s="383" t="str">
        <f t="shared" si="58"/>
        <v/>
      </c>
      <c r="K86" s="383" t="str">
        <f t="shared" si="58"/>
        <v/>
      </c>
      <c r="L86" s="383">
        <f t="shared" si="58"/>
        <v>2.8571428571428571E-2</v>
      </c>
      <c r="M86" s="383" t="str">
        <f t="shared" si="58"/>
        <v/>
      </c>
      <c r="N86" s="383" t="str">
        <f t="shared" si="58"/>
        <v/>
      </c>
      <c r="O86" s="383" t="str">
        <f t="shared" si="58"/>
        <v/>
      </c>
      <c r="P86" s="383" t="str">
        <f t="shared" si="58"/>
        <v/>
      </c>
      <c r="Q86" s="383" t="str">
        <f t="shared" si="58"/>
        <v/>
      </c>
      <c r="R86" s="383" t="str">
        <f t="shared" si="58"/>
        <v/>
      </c>
      <c r="S86" s="383" t="str">
        <f t="shared" si="58"/>
        <v/>
      </c>
      <c r="T86" s="383" t="str">
        <f t="shared" si="58"/>
        <v/>
      </c>
      <c r="U86" s="383" t="str">
        <f t="shared" si="58"/>
        <v/>
      </c>
      <c r="V86" s="383" t="str">
        <f t="shared" si="58"/>
        <v/>
      </c>
      <c r="W86" s="383" t="str">
        <f t="shared" si="58"/>
        <v/>
      </c>
      <c r="X86" s="383" t="str">
        <f t="shared" si="58"/>
        <v/>
      </c>
      <c r="Y86" s="383" t="str">
        <f t="shared" si="58"/>
        <v/>
      </c>
      <c r="Z86" s="383" t="str">
        <f t="shared" si="58"/>
        <v/>
      </c>
      <c r="AA86" s="383" t="str">
        <f t="shared" si="58"/>
        <v/>
      </c>
      <c r="AB86" s="383" t="str">
        <f t="shared" si="58"/>
        <v/>
      </c>
      <c r="AC86" s="364">
        <f t="shared" si="28"/>
        <v>9.9999999999999992E-2</v>
      </c>
      <c r="AD86" s="758"/>
    </row>
    <row r="87" spans="1:30" x14ac:dyDescent="0.25">
      <c r="B87" s="777"/>
      <c r="C87" s="352">
        <f t="shared" si="29"/>
        <v>186</v>
      </c>
      <c r="D87" s="383" t="str">
        <f t="shared" ref="D87:AB87" si="59">IF(D35&lt;&gt;"",D35/$AC$49,"")</f>
        <v/>
      </c>
      <c r="E87" s="383" t="str">
        <f t="shared" si="59"/>
        <v/>
      </c>
      <c r="F87" s="383" t="str">
        <f t="shared" si="59"/>
        <v/>
      </c>
      <c r="G87" s="383" t="str">
        <f t="shared" si="59"/>
        <v/>
      </c>
      <c r="H87" s="383" t="str">
        <f t="shared" si="59"/>
        <v/>
      </c>
      <c r="I87" s="383" t="str">
        <f t="shared" si="59"/>
        <v/>
      </c>
      <c r="J87" s="383" t="str">
        <f t="shared" si="59"/>
        <v/>
      </c>
      <c r="K87" s="383" t="str">
        <f t="shared" si="59"/>
        <v/>
      </c>
      <c r="L87" s="383" t="str">
        <f t="shared" si="59"/>
        <v/>
      </c>
      <c r="M87" s="383" t="str">
        <f t="shared" si="59"/>
        <v/>
      </c>
      <c r="N87" s="383" t="str">
        <f t="shared" si="59"/>
        <v/>
      </c>
      <c r="O87" s="383" t="str">
        <f t="shared" si="59"/>
        <v/>
      </c>
      <c r="P87" s="383" t="str">
        <f t="shared" si="59"/>
        <v/>
      </c>
      <c r="Q87" s="383" t="str">
        <f t="shared" si="59"/>
        <v/>
      </c>
      <c r="R87" s="383" t="str">
        <f t="shared" si="59"/>
        <v/>
      </c>
      <c r="S87" s="383" t="str">
        <f t="shared" si="59"/>
        <v/>
      </c>
      <c r="T87" s="383" t="str">
        <f t="shared" si="59"/>
        <v/>
      </c>
      <c r="U87" s="383" t="str">
        <f t="shared" si="59"/>
        <v/>
      </c>
      <c r="V87" s="383" t="str">
        <f t="shared" si="59"/>
        <v/>
      </c>
      <c r="W87" s="383" t="str">
        <f t="shared" si="59"/>
        <v/>
      </c>
      <c r="X87" s="383" t="str">
        <f t="shared" si="59"/>
        <v/>
      </c>
      <c r="Y87" s="383" t="str">
        <f t="shared" si="59"/>
        <v/>
      </c>
      <c r="Z87" s="383" t="str">
        <f t="shared" si="59"/>
        <v/>
      </c>
      <c r="AA87" s="383" t="str">
        <f t="shared" si="59"/>
        <v/>
      </c>
      <c r="AB87" s="383" t="str">
        <f t="shared" si="59"/>
        <v/>
      </c>
      <c r="AC87" s="364" t="str">
        <f t="shared" si="28"/>
        <v/>
      </c>
      <c r="AD87" s="758"/>
    </row>
    <row r="88" spans="1:30" x14ac:dyDescent="0.25">
      <c r="B88" s="777"/>
      <c r="C88" s="352">
        <f t="shared" si="29"/>
        <v>187</v>
      </c>
      <c r="D88" s="383" t="str">
        <f t="shared" ref="D88:AB88" si="60">IF(D36&lt;&gt;"",D36/$AC$49,"")</f>
        <v/>
      </c>
      <c r="E88" s="383" t="str">
        <f t="shared" si="60"/>
        <v/>
      </c>
      <c r="F88" s="383" t="str">
        <f t="shared" si="60"/>
        <v/>
      </c>
      <c r="G88" s="383" t="str">
        <f t="shared" si="60"/>
        <v/>
      </c>
      <c r="H88" s="383">
        <f t="shared" si="60"/>
        <v>1.4285714285714285E-2</v>
      </c>
      <c r="I88" s="383" t="str">
        <f t="shared" si="60"/>
        <v/>
      </c>
      <c r="J88" s="383" t="str">
        <f t="shared" si="60"/>
        <v/>
      </c>
      <c r="K88" s="383">
        <f t="shared" si="60"/>
        <v>1.4285714285714285E-2</v>
      </c>
      <c r="L88" s="383" t="str">
        <f t="shared" si="60"/>
        <v/>
      </c>
      <c r="M88" s="383" t="str">
        <f t="shared" si="60"/>
        <v/>
      </c>
      <c r="N88" s="383" t="str">
        <f t="shared" si="60"/>
        <v/>
      </c>
      <c r="O88" s="383" t="str">
        <f t="shared" si="60"/>
        <v/>
      </c>
      <c r="P88" s="383" t="str">
        <f t="shared" si="60"/>
        <v/>
      </c>
      <c r="Q88" s="383" t="str">
        <f t="shared" si="60"/>
        <v/>
      </c>
      <c r="R88" s="383" t="str">
        <f t="shared" si="60"/>
        <v/>
      </c>
      <c r="S88" s="383" t="str">
        <f t="shared" si="60"/>
        <v/>
      </c>
      <c r="T88" s="383" t="str">
        <f t="shared" si="60"/>
        <v/>
      </c>
      <c r="U88" s="383" t="str">
        <f t="shared" si="60"/>
        <v/>
      </c>
      <c r="V88" s="383" t="str">
        <f t="shared" si="60"/>
        <v/>
      </c>
      <c r="W88" s="383" t="str">
        <f t="shared" si="60"/>
        <v/>
      </c>
      <c r="X88" s="383" t="str">
        <f t="shared" si="60"/>
        <v/>
      </c>
      <c r="Y88" s="383" t="str">
        <f t="shared" si="60"/>
        <v/>
      </c>
      <c r="Z88" s="383" t="str">
        <f t="shared" si="60"/>
        <v/>
      </c>
      <c r="AA88" s="383" t="str">
        <f t="shared" si="60"/>
        <v/>
      </c>
      <c r="AB88" s="383" t="str">
        <f t="shared" si="60"/>
        <v/>
      </c>
      <c r="AC88" s="364">
        <f t="shared" si="28"/>
        <v>2.8571428571428571E-2</v>
      </c>
      <c r="AD88" s="758"/>
    </row>
    <row r="89" spans="1:30" x14ac:dyDescent="0.25">
      <c r="B89" s="777"/>
      <c r="C89" s="352">
        <f t="shared" si="29"/>
        <v>188</v>
      </c>
      <c r="D89" s="383" t="str">
        <f t="shared" ref="D89:AB89" si="61">IF(D37&lt;&gt;"",D37/$AC$49,"")</f>
        <v/>
      </c>
      <c r="E89" s="383" t="str">
        <f t="shared" si="61"/>
        <v/>
      </c>
      <c r="F89" s="383" t="str">
        <f t="shared" si="61"/>
        <v/>
      </c>
      <c r="G89" s="383" t="str">
        <f t="shared" si="61"/>
        <v/>
      </c>
      <c r="H89" s="383">
        <f t="shared" si="61"/>
        <v>1.4285714285714285E-2</v>
      </c>
      <c r="I89" s="383" t="str">
        <f t="shared" si="61"/>
        <v/>
      </c>
      <c r="J89" s="383" t="str">
        <f t="shared" si="61"/>
        <v/>
      </c>
      <c r="K89" s="383" t="str">
        <f t="shared" si="61"/>
        <v/>
      </c>
      <c r="L89" s="383" t="str">
        <f t="shared" si="61"/>
        <v/>
      </c>
      <c r="M89" s="383" t="str">
        <f t="shared" si="61"/>
        <v/>
      </c>
      <c r="N89" s="383" t="str">
        <f t="shared" si="61"/>
        <v/>
      </c>
      <c r="O89" s="383" t="str">
        <f t="shared" si="61"/>
        <v/>
      </c>
      <c r="P89" s="383" t="str">
        <f t="shared" si="61"/>
        <v/>
      </c>
      <c r="Q89" s="383" t="str">
        <f t="shared" si="61"/>
        <v/>
      </c>
      <c r="R89" s="383" t="str">
        <f t="shared" si="61"/>
        <v/>
      </c>
      <c r="S89" s="383" t="str">
        <f t="shared" si="61"/>
        <v/>
      </c>
      <c r="T89" s="383" t="str">
        <f t="shared" si="61"/>
        <v/>
      </c>
      <c r="U89" s="383" t="str">
        <f t="shared" si="61"/>
        <v/>
      </c>
      <c r="V89" s="383" t="str">
        <f t="shared" si="61"/>
        <v/>
      </c>
      <c r="W89" s="383" t="str">
        <f t="shared" si="61"/>
        <v/>
      </c>
      <c r="X89" s="383" t="str">
        <f t="shared" si="61"/>
        <v/>
      </c>
      <c r="Y89" s="383" t="str">
        <f t="shared" si="61"/>
        <v/>
      </c>
      <c r="Z89" s="383" t="str">
        <f t="shared" si="61"/>
        <v/>
      </c>
      <c r="AA89" s="383" t="str">
        <f t="shared" si="61"/>
        <v/>
      </c>
      <c r="AB89" s="383" t="str">
        <f t="shared" si="61"/>
        <v/>
      </c>
      <c r="AC89" s="364">
        <f t="shared" si="28"/>
        <v>1.4285714285714285E-2</v>
      </c>
      <c r="AD89" s="758"/>
    </row>
    <row r="90" spans="1:30" x14ac:dyDescent="0.25">
      <c r="B90" s="777"/>
      <c r="C90" s="352">
        <f t="shared" si="29"/>
        <v>189</v>
      </c>
      <c r="D90" s="383" t="str">
        <f t="shared" ref="D90:AB90" si="62">IF(D38&lt;&gt;"",D38/$AC$49,"")</f>
        <v/>
      </c>
      <c r="E90" s="383" t="str">
        <f t="shared" si="62"/>
        <v/>
      </c>
      <c r="F90" s="383" t="str">
        <f t="shared" si="62"/>
        <v/>
      </c>
      <c r="G90" s="383" t="str">
        <f t="shared" si="62"/>
        <v/>
      </c>
      <c r="H90" s="383" t="str">
        <f t="shared" si="62"/>
        <v/>
      </c>
      <c r="I90" s="383">
        <f t="shared" si="62"/>
        <v>1.4285714285714285E-2</v>
      </c>
      <c r="J90" s="383" t="str">
        <f t="shared" si="62"/>
        <v/>
      </c>
      <c r="K90" s="383" t="str">
        <f t="shared" si="62"/>
        <v/>
      </c>
      <c r="L90" s="383" t="str">
        <f t="shared" si="62"/>
        <v/>
      </c>
      <c r="M90" s="383" t="str">
        <f t="shared" si="62"/>
        <v/>
      </c>
      <c r="N90" s="383" t="str">
        <f t="shared" si="62"/>
        <v/>
      </c>
      <c r="O90" s="383" t="str">
        <f t="shared" si="62"/>
        <v/>
      </c>
      <c r="P90" s="383" t="str">
        <f t="shared" si="62"/>
        <v/>
      </c>
      <c r="Q90" s="383" t="str">
        <f t="shared" si="62"/>
        <v/>
      </c>
      <c r="R90" s="383" t="str">
        <f t="shared" si="62"/>
        <v/>
      </c>
      <c r="S90" s="383" t="str">
        <f t="shared" si="62"/>
        <v/>
      </c>
      <c r="T90" s="383" t="str">
        <f t="shared" si="62"/>
        <v/>
      </c>
      <c r="U90" s="383" t="str">
        <f t="shared" si="62"/>
        <v/>
      </c>
      <c r="V90" s="383" t="str">
        <f t="shared" si="62"/>
        <v/>
      </c>
      <c r="W90" s="383" t="str">
        <f t="shared" si="62"/>
        <v/>
      </c>
      <c r="X90" s="383" t="str">
        <f t="shared" si="62"/>
        <v/>
      </c>
      <c r="Y90" s="383" t="str">
        <f t="shared" si="62"/>
        <v/>
      </c>
      <c r="Z90" s="383" t="str">
        <f t="shared" si="62"/>
        <v/>
      </c>
      <c r="AA90" s="383" t="str">
        <f t="shared" si="62"/>
        <v/>
      </c>
      <c r="AB90" s="383" t="str">
        <f t="shared" si="62"/>
        <v/>
      </c>
      <c r="AC90" s="364">
        <f t="shared" si="28"/>
        <v>1.4285714285714285E-2</v>
      </c>
      <c r="AD90" s="758"/>
    </row>
    <row r="91" spans="1:30" x14ac:dyDescent="0.25">
      <c r="B91" s="777"/>
      <c r="C91" s="352">
        <f t="shared" si="29"/>
        <v>190</v>
      </c>
      <c r="D91" s="383" t="str">
        <f t="shared" ref="D91:AB91" si="63">IF(D39&lt;&gt;"",D39/$AC$49,"")</f>
        <v/>
      </c>
      <c r="E91" s="383" t="str">
        <f t="shared" si="63"/>
        <v/>
      </c>
      <c r="F91" s="383" t="str">
        <f t="shared" si="63"/>
        <v/>
      </c>
      <c r="G91" s="383" t="str">
        <f t="shared" si="63"/>
        <v/>
      </c>
      <c r="H91" s="383" t="str">
        <f t="shared" si="63"/>
        <v/>
      </c>
      <c r="I91" s="383" t="str">
        <f t="shared" si="63"/>
        <v/>
      </c>
      <c r="J91" s="383" t="str">
        <f t="shared" si="63"/>
        <v/>
      </c>
      <c r="K91" s="383" t="str">
        <f t="shared" si="63"/>
        <v/>
      </c>
      <c r="L91" s="383" t="str">
        <f t="shared" si="63"/>
        <v/>
      </c>
      <c r="M91" s="383" t="str">
        <f t="shared" si="63"/>
        <v/>
      </c>
      <c r="N91" s="383">
        <f t="shared" si="63"/>
        <v>1.4285714285714285E-2</v>
      </c>
      <c r="O91" s="383" t="str">
        <f t="shared" si="63"/>
        <v/>
      </c>
      <c r="P91" s="383" t="str">
        <f t="shared" si="63"/>
        <v/>
      </c>
      <c r="Q91" s="383" t="str">
        <f t="shared" si="63"/>
        <v/>
      </c>
      <c r="R91" s="383" t="str">
        <f t="shared" si="63"/>
        <v/>
      </c>
      <c r="S91" s="383" t="str">
        <f t="shared" si="63"/>
        <v/>
      </c>
      <c r="T91" s="383" t="str">
        <f t="shared" si="63"/>
        <v/>
      </c>
      <c r="U91" s="383" t="str">
        <f t="shared" si="63"/>
        <v/>
      </c>
      <c r="V91" s="383" t="str">
        <f t="shared" si="63"/>
        <v/>
      </c>
      <c r="W91" s="383" t="str">
        <f t="shared" si="63"/>
        <v/>
      </c>
      <c r="X91" s="383" t="str">
        <f t="shared" si="63"/>
        <v/>
      </c>
      <c r="Y91" s="383" t="str">
        <f t="shared" si="63"/>
        <v/>
      </c>
      <c r="Z91" s="383" t="str">
        <f t="shared" si="63"/>
        <v/>
      </c>
      <c r="AA91" s="383" t="str">
        <f t="shared" si="63"/>
        <v/>
      </c>
      <c r="AB91" s="383" t="str">
        <f t="shared" si="63"/>
        <v/>
      </c>
      <c r="AC91" s="364">
        <f t="shared" si="28"/>
        <v>1.4285714285714285E-2</v>
      </c>
      <c r="AD91" s="758"/>
    </row>
    <row r="92" spans="1:30" x14ac:dyDescent="0.25">
      <c r="B92" s="777"/>
      <c r="C92" s="352">
        <f t="shared" si="29"/>
        <v>191</v>
      </c>
      <c r="D92" s="383" t="str">
        <f t="shared" ref="D92:AB92" si="64">IF(D40&lt;&gt;"",D40/$AC$49,"")</f>
        <v/>
      </c>
      <c r="E92" s="383" t="str">
        <f t="shared" si="64"/>
        <v/>
      </c>
      <c r="F92" s="383" t="str">
        <f t="shared" si="64"/>
        <v/>
      </c>
      <c r="G92" s="383" t="str">
        <f t="shared" si="64"/>
        <v/>
      </c>
      <c r="H92" s="383" t="str">
        <f t="shared" si="64"/>
        <v/>
      </c>
      <c r="I92" s="383" t="str">
        <f t="shared" si="64"/>
        <v/>
      </c>
      <c r="J92" s="383" t="str">
        <f t="shared" si="64"/>
        <v/>
      </c>
      <c r="K92" s="383" t="str">
        <f t="shared" si="64"/>
        <v/>
      </c>
      <c r="L92" s="383" t="str">
        <f t="shared" si="64"/>
        <v/>
      </c>
      <c r="M92" s="383" t="str">
        <f t="shared" si="64"/>
        <v/>
      </c>
      <c r="N92" s="383" t="str">
        <f t="shared" si="64"/>
        <v/>
      </c>
      <c r="O92" s="383" t="str">
        <f t="shared" si="64"/>
        <v/>
      </c>
      <c r="P92" s="383" t="str">
        <f t="shared" si="64"/>
        <v/>
      </c>
      <c r="Q92" s="383" t="str">
        <f t="shared" si="64"/>
        <v/>
      </c>
      <c r="R92" s="383" t="str">
        <f t="shared" si="64"/>
        <v/>
      </c>
      <c r="S92" s="383" t="str">
        <f t="shared" si="64"/>
        <v/>
      </c>
      <c r="T92" s="383" t="str">
        <f t="shared" si="64"/>
        <v/>
      </c>
      <c r="U92" s="383" t="str">
        <f t="shared" si="64"/>
        <v/>
      </c>
      <c r="V92" s="383" t="str">
        <f t="shared" si="64"/>
        <v/>
      </c>
      <c r="W92" s="383" t="str">
        <f t="shared" si="64"/>
        <v/>
      </c>
      <c r="X92" s="383" t="str">
        <f t="shared" si="64"/>
        <v/>
      </c>
      <c r="Y92" s="383" t="str">
        <f t="shared" si="64"/>
        <v/>
      </c>
      <c r="Z92" s="383" t="str">
        <f t="shared" si="64"/>
        <v/>
      </c>
      <c r="AA92" s="383" t="str">
        <f t="shared" si="64"/>
        <v/>
      </c>
      <c r="AB92" s="383" t="str">
        <f t="shared" si="64"/>
        <v/>
      </c>
      <c r="AC92" s="364" t="str">
        <f t="shared" si="28"/>
        <v/>
      </c>
      <c r="AD92" s="758"/>
    </row>
    <row r="93" spans="1:30" x14ac:dyDescent="0.25">
      <c r="B93" s="777"/>
      <c r="C93" s="352">
        <f t="shared" si="29"/>
        <v>192</v>
      </c>
      <c r="D93" s="383" t="str">
        <f t="shared" ref="D93:AB93" si="65">IF(D41&lt;&gt;"",D41/$AC$49,"")</f>
        <v/>
      </c>
      <c r="E93" s="383" t="str">
        <f t="shared" si="65"/>
        <v/>
      </c>
      <c r="F93" s="383" t="str">
        <f t="shared" si="65"/>
        <v/>
      </c>
      <c r="G93" s="383" t="str">
        <f t="shared" si="65"/>
        <v/>
      </c>
      <c r="H93" s="383" t="str">
        <f t="shared" si="65"/>
        <v/>
      </c>
      <c r="I93" s="383" t="str">
        <f t="shared" si="65"/>
        <v/>
      </c>
      <c r="J93" s="383" t="str">
        <f t="shared" si="65"/>
        <v/>
      </c>
      <c r="K93" s="383" t="str">
        <f t="shared" si="65"/>
        <v/>
      </c>
      <c r="L93" s="383" t="str">
        <f t="shared" si="65"/>
        <v/>
      </c>
      <c r="M93" s="383" t="str">
        <f t="shared" si="65"/>
        <v/>
      </c>
      <c r="N93" s="383" t="str">
        <f t="shared" si="65"/>
        <v/>
      </c>
      <c r="O93" s="383" t="str">
        <f t="shared" si="65"/>
        <v/>
      </c>
      <c r="P93" s="383" t="str">
        <f t="shared" si="65"/>
        <v/>
      </c>
      <c r="Q93" s="383" t="str">
        <f t="shared" si="65"/>
        <v/>
      </c>
      <c r="R93" s="383" t="str">
        <f t="shared" si="65"/>
        <v/>
      </c>
      <c r="S93" s="383" t="str">
        <f t="shared" si="65"/>
        <v/>
      </c>
      <c r="T93" s="383" t="str">
        <f t="shared" si="65"/>
        <v/>
      </c>
      <c r="U93" s="383" t="str">
        <f t="shared" si="65"/>
        <v/>
      </c>
      <c r="V93" s="383" t="str">
        <f t="shared" si="65"/>
        <v/>
      </c>
      <c r="W93" s="383" t="str">
        <f t="shared" si="65"/>
        <v/>
      </c>
      <c r="X93" s="383" t="str">
        <f t="shared" si="65"/>
        <v/>
      </c>
      <c r="Y93" s="383" t="str">
        <f t="shared" si="65"/>
        <v/>
      </c>
      <c r="Z93" s="383" t="str">
        <f t="shared" si="65"/>
        <v/>
      </c>
      <c r="AA93" s="383" t="str">
        <f t="shared" si="65"/>
        <v/>
      </c>
      <c r="AB93" s="383" t="str">
        <f t="shared" si="65"/>
        <v/>
      </c>
      <c r="AC93" s="364" t="str">
        <f t="shared" si="28"/>
        <v/>
      </c>
      <c r="AD93" s="758"/>
    </row>
    <row r="94" spans="1:30" x14ac:dyDescent="0.25">
      <c r="B94" s="777"/>
      <c r="C94" s="352">
        <f t="shared" si="29"/>
        <v>193</v>
      </c>
      <c r="D94" s="383" t="str">
        <f t="shared" ref="D94:AB94" si="66">IF(D42&lt;&gt;"",D42/$AC$49,"")</f>
        <v/>
      </c>
      <c r="E94" s="383" t="str">
        <f t="shared" si="66"/>
        <v/>
      </c>
      <c r="F94" s="383" t="str">
        <f t="shared" si="66"/>
        <v/>
      </c>
      <c r="G94" s="383" t="str">
        <f t="shared" si="66"/>
        <v/>
      </c>
      <c r="H94" s="383" t="str">
        <f t="shared" si="66"/>
        <v/>
      </c>
      <c r="I94" s="383">
        <f t="shared" si="66"/>
        <v>1.4285714285714285E-2</v>
      </c>
      <c r="J94" s="383" t="str">
        <f t="shared" si="66"/>
        <v/>
      </c>
      <c r="K94" s="383" t="str">
        <f t="shared" si="66"/>
        <v/>
      </c>
      <c r="L94" s="383" t="str">
        <f t="shared" si="66"/>
        <v/>
      </c>
      <c r="M94" s="383">
        <f t="shared" si="66"/>
        <v>1.4285714285714285E-2</v>
      </c>
      <c r="N94" s="383" t="str">
        <f t="shared" si="66"/>
        <v/>
      </c>
      <c r="O94" s="383" t="str">
        <f t="shared" si="66"/>
        <v/>
      </c>
      <c r="P94" s="383" t="str">
        <f t="shared" si="66"/>
        <v/>
      </c>
      <c r="Q94" s="383" t="str">
        <f t="shared" si="66"/>
        <v/>
      </c>
      <c r="R94" s="383" t="str">
        <f t="shared" si="66"/>
        <v/>
      </c>
      <c r="S94" s="383" t="str">
        <f t="shared" si="66"/>
        <v/>
      </c>
      <c r="T94" s="383" t="str">
        <f t="shared" si="66"/>
        <v/>
      </c>
      <c r="U94" s="383" t="str">
        <f t="shared" si="66"/>
        <v/>
      </c>
      <c r="V94" s="383" t="str">
        <f t="shared" si="66"/>
        <v/>
      </c>
      <c r="W94" s="383" t="str">
        <f t="shared" si="66"/>
        <v/>
      </c>
      <c r="X94" s="383" t="str">
        <f t="shared" si="66"/>
        <v/>
      </c>
      <c r="Y94" s="383" t="str">
        <f t="shared" si="66"/>
        <v/>
      </c>
      <c r="Z94" s="383" t="str">
        <f t="shared" si="66"/>
        <v/>
      </c>
      <c r="AA94" s="383" t="str">
        <f t="shared" si="66"/>
        <v/>
      </c>
      <c r="AB94" s="383" t="str">
        <f t="shared" si="66"/>
        <v/>
      </c>
      <c r="AC94" s="364">
        <f t="shared" si="28"/>
        <v>2.8571428571428571E-2</v>
      </c>
      <c r="AD94" s="758"/>
    </row>
    <row r="95" spans="1:30" x14ac:dyDescent="0.25">
      <c r="B95" s="777"/>
      <c r="C95" s="352">
        <f t="shared" si="29"/>
        <v>194</v>
      </c>
      <c r="D95" s="383" t="str">
        <f t="shared" ref="D95:AB95" si="67">IF(D43&lt;&gt;"",D43/$AC$49,"")</f>
        <v/>
      </c>
      <c r="E95" s="383" t="str">
        <f t="shared" si="67"/>
        <v/>
      </c>
      <c r="F95" s="383" t="str">
        <f t="shared" si="67"/>
        <v/>
      </c>
      <c r="G95" s="383" t="str">
        <f t="shared" si="67"/>
        <v/>
      </c>
      <c r="H95" s="383" t="str">
        <f t="shared" si="67"/>
        <v/>
      </c>
      <c r="I95" s="383" t="str">
        <f t="shared" si="67"/>
        <v/>
      </c>
      <c r="J95" s="383" t="str">
        <f t="shared" si="67"/>
        <v/>
      </c>
      <c r="K95" s="383" t="str">
        <f t="shared" si="67"/>
        <v/>
      </c>
      <c r="L95" s="383" t="str">
        <f t="shared" si="67"/>
        <v/>
      </c>
      <c r="M95" s="383" t="str">
        <f t="shared" si="67"/>
        <v/>
      </c>
      <c r="N95" s="383" t="str">
        <f t="shared" si="67"/>
        <v/>
      </c>
      <c r="O95" s="383" t="str">
        <f t="shared" si="67"/>
        <v/>
      </c>
      <c r="P95" s="383" t="str">
        <f t="shared" si="67"/>
        <v/>
      </c>
      <c r="Q95" s="383" t="str">
        <f t="shared" si="67"/>
        <v/>
      </c>
      <c r="R95" s="383" t="str">
        <f t="shared" si="67"/>
        <v/>
      </c>
      <c r="S95" s="383" t="str">
        <f t="shared" si="67"/>
        <v/>
      </c>
      <c r="T95" s="383" t="str">
        <f t="shared" si="67"/>
        <v/>
      </c>
      <c r="U95" s="383" t="str">
        <f t="shared" si="67"/>
        <v/>
      </c>
      <c r="V95" s="383" t="str">
        <f t="shared" si="67"/>
        <v/>
      </c>
      <c r="W95" s="383" t="str">
        <f t="shared" si="67"/>
        <v/>
      </c>
      <c r="X95" s="383" t="str">
        <f t="shared" si="67"/>
        <v/>
      </c>
      <c r="Y95" s="383" t="str">
        <f t="shared" si="67"/>
        <v/>
      </c>
      <c r="Z95" s="383" t="str">
        <f t="shared" si="67"/>
        <v/>
      </c>
      <c r="AA95" s="383" t="str">
        <f t="shared" si="67"/>
        <v/>
      </c>
      <c r="AB95" s="383" t="str">
        <f t="shared" si="67"/>
        <v/>
      </c>
      <c r="AC95" s="364" t="str">
        <f t="shared" si="28"/>
        <v/>
      </c>
      <c r="AD95" s="758"/>
    </row>
    <row r="96" spans="1:30" x14ac:dyDescent="0.25">
      <c r="B96" s="777"/>
      <c r="C96" s="352">
        <f t="shared" si="29"/>
        <v>195</v>
      </c>
      <c r="D96" s="383" t="str">
        <f t="shared" ref="D96:AB96" si="68">IF(D44&lt;&gt;"",D44/$AC$49,"")</f>
        <v/>
      </c>
      <c r="E96" s="383" t="str">
        <f t="shared" si="68"/>
        <v/>
      </c>
      <c r="F96" s="383">
        <f t="shared" si="68"/>
        <v>1.4285714285714285E-2</v>
      </c>
      <c r="G96" s="383" t="str">
        <f t="shared" si="68"/>
        <v/>
      </c>
      <c r="H96" s="383" t="str">
        <f t="shared" si="68"/>
        <v/>
      </c>
      <c r="I96" s="383" t="str">
        <f t="shared" si="68"/>
        <v/>
      </c>
      <c r="J96" s="383" t="str">
        <f t="shared" si="68"/>
        <v/>
      </c>
      <c r="K96" s="383" t="str">
        <f t="shared" si="68"/>
        <v/>
      </c>
      <c r="L96" s="383" t="str">
        <f t="shared" si="68"/>
        <v/>
      </c>
      <c r="M96" s="383" t="str">
        <f t="shared" si="68"/>
        <v/>
      </c>
      <c r="N96" s="383" t="str">
        <f t="shared" si="68"/>
        <v/>
      </c>
      <c r="O96" s="383" t="str">
        <f t="shared" si="68"/>
        <v/>
      </c>
      <c r="P96" s="383" t="str">
        <f t="shared" si="68"/>
        <v/>
      </c>
      <c r="Q96" s="383" t="str">
        <f t="shared" si="68"/>
        <v/>
      </c>
      <c r="R96" s="383" t="str">
        <f t="shared" si="68"/>
        <v/>
      </c>
      <c r="S96" s="383" t="str">
        <f t="shared" si="68"/>
        <v/>
      </c>
      <c r="T96" s="383" t="str">
        <f t="shared" si="68"/>
        <v/>
      </c>
      <c r="U96" s="383" t="str">
        <f t="shared" si="68"/>
        <v/>
      </c>
      <c r="V96" s="383" t="str">
        <f t="shared" si="68"/>
        <v/>
      </c>
      <c r="W96" s="383" t="str">
        <f t="shared" si="68"/>
        <v/>
      </c>
      <c r="X96" s="383" t="str">
        <f t="shared" si="68"/>
        <v/>
      </c>
      <c r="Y96" s="383" t="str">
        <f t="shared" si="68"/>
        <v/>
      </c>
      <c r="Z96" s="383" t="str">
        <f t="shared" si="68"/>
        <v/>
      </c>
      <c r="AA96" s="383" t="str">
        <f t="shared" si="68"/>
        <v/>
      </c>
      <c r="AB96" s="383" t="str">
        <f t="shared" si="68"/>
        <v/>
      </c>
      <c r="AC96" s="364">
        <f t="shared" si="28"/>
        <v>1.4285714285714285E-2</v>
      </c>
      <c r="AD96" s="758"/>
    </row>
    <row r="97" spans="2:33" x14ac:dyDescent="0.25">
      <c r="B97" s="777"/>
      <c r="C97" s="352">
        <f t="shared" si="29"/>
        <v>196</v>
      </c>
      <c r="D97" s="383" t="str">
        <f t="shared" ref="D97:AB97" si="69">IF(D45&lt;&gt;"",D45/$AC$49,"")</f>
        <v/>
      </c>
      <c r="E97" s="383" t="str">
        <f t="shared" si="69"/>
        <v/>
      </c>
      <c r="F97" s="383" t="str">
        <f t="shared" si="69"/>
        <v/>
      </c>
      <c r="G97" s="383" t="str">
        <f t="shared" si="69"/>
        <v/>
      </c>
      <c r="H97" s="383" t="str">
        <f t="shared" si="69"/>
        <v/>
      </c>
      <c r="I97" s="383" t="str">
        <f t="shared" si="69"/>
        <v/>
      </c>
      <c r="J97" s="383" t="str">
        <f t="shared" si="69"/>
        <v/>
      </c>
      <c r="K97" s="383" t="str">
        <f t="shared" si="69"/>
        <v/>
      </c>
      <c r="L97" s="383" t="str">
        <f t="shared" si="69"/>
        <v/>
      </c>
      <c r="M97" s="383" t="str">
        <f t="shared" si="69"/>
        <v/>
      </c>
      <c r="N97" s="383" t="str">
        <f t="shared" si="69"/>
        <v/>
      </c>
      <c r="O97" s="383" t="str">
        <f t="shared" si="69"/>
        <v/>
      </c>
      <c r="P97" s="383" t="str">
        <f t="shared" si="69"/>
        <v/>
      </c>
      <c r="Q97" s="383" t="str">
        <f t="shared" si="69"/>
        <v/>
      </c>
      <c r="R97" s="383" t="str">
        <f t="shared" si="69"/>
        <v/>
      </c>
      <c r="S97" s="383" t="str">
        <f t="shared" si="69"/>
        <v/>
      </c>
      <c r="T97" s="383" t="str">
        <f t="shared" si="69"/>
        <v/>
      </c>
      <c r="U97" s="383" t="str">
        <f t="shared" si="69"/>
        <v/>
      </c>
      <c r="V97" s="383" t="str">
        <f t="shared" si="69"/>
        <v/>
      </c>
      <c r="W97" s="383" t="str">
        <f t="shared" si="69"/>
        <v/>
      </c>
      <c r="X97" s="383" t="str">
        <f t="shared" si="69"/>
        <v/>
      </c>
      <c r="Y97" s="383" t="str">
        <f t="shared" si="69"/>
        <v/>
      </c>
      <c r="Z97" s="383" t="str">
        <f t="shared" si="69"/>
        <v/>
      </c>
      <c r="AA97" s="383" t="str">
        <f t="shared" si="69"/>
        <v/>
      </c>
      <c r="AB97" s="383" t="str">
        <f t="shared" si="69"/>
        <v/>
      </c>
      <c r="AC97" s="364" t="str">
        <f t="shared" si="28"/>
        <v/>
      </c>
      <c r="AD97" s="758"/>
    </row>
    <row r="98" spans="2:33" x14ac:dyDescent="0.25">
      <c r="B98" s="777"/>
      <c r="C98" s="352">
        <f t="shared" si="29"/>
        <v>197</v>
      </c>
      <c r="D98" s="383" t="str">
        <f t="shared" ref="D98:AB98" si="70">IF(D46&lt;&gt;"",D46/$AC$49,"")</f>
        <v/>
      </c>
      <c r="E98" s="383" t="str">
        <f t="shared" si="70"/>
        <v/>
      </c>
      <c r="F98" s="383" t="str">
        <f t="shared" si="70"/>
        <v/>
      </c>
      <c r="G98" s="383" t="str">
        <f t="shared" si="70"/>
        <v/>
      </c>
      <c r="H98" s="383" t="str">
        <f t="shared" si="70"/>
        <v/>
      </c>
      <c r="I98" s="383" t="str">
        <f t="shared" si="70"/>
        <v/>
      </c>
      <c r="J98" s="383" t="str">
        <f t="shared" si="70"/>
        <v/>
      </c>
      <c r="K98" s="383" t="str">
        <f t="shared" si="70"/>
        <v/>
      </c>
      <c r="L98" s="383" t="str">
        <f t="shared" si="70"/>
        <v/>
      </c>
      <c r="M98" s="383" t="str">
        <f t="shared" si="70"/>
        <v/>
      </c>
      <c r="N98" s="383" t="str">
        <f t="shared" si="70"/>
        <v/>
      </c>
      <c r="O98" s="383" t="str">
        <f t="shared" si="70"/>
        <v/>
      </c>
      <c r="P98" s="383" t="str">
        <f t="shared" si="70"/>
        <v/>
      </c>
      <c r="Q98" s="383" t="str">
        <f t="shared" si="70"/>
        <v/>
      </c>
      <c r="R98" s="383" t="str">
        <f t="shared" si="70"/>
        <v/>
      </c>
      <c r="S98" s="383" t="str">
        <f t="shared" si="70"/>
        <v/>
      </c>
      <c r="T98" s="383" t="str">
        <f t="shared" si="70"/>
        <v/>
      </c>
      <c r="U98" s="383" t="str">
        <f t="shared" si="70"/>
        <v/>
      </c>
      <c r="V98" s="383" t="str">
        <f t="shared" si="70"/>
        <v/>
      </c>
      <c r="W98" s="383" t="str">
        <f t="shared" si="70"/>
        <v/>
      </c>
      <c r="X98" s="383" t="str">
        <f t="shared" si="70"/>
        <v/>
      </c>
      <c r="Y98" s="383" t="str">
        <f t="shared" si="70"/>
        <v/>
      </c>
      <c r="Z98" s="383" t="str">
        <f t="shared" si="70"/>
        <v/>
      </c>
      <c r="AA98" s="383" t="str">
        <f t="shared" si="70"/>
        <v/>
      </c>
      <c r="AB98" s="383" t="str">
        <f t="shared" si="70"/>
        <v/>
      </c>
      <c r="AC98" s="364" t="str">
        <f t="shared" si="28"/>
        <v/>
      </c>
      <c r="AD98" s="758"/>
    </row>
    <row r="99" spans="2:33" x14ac:dyDescent="0.25">
      <c r="B99" s="777"/>
      <c r="C99" s="352">
        <f t="shared" si="29"/>
        <v>198</v>
      </c>
      <c r="D99" s="383" t="str">
        <f t="shared" ref="D99:AB99" si="71">IF(D47&lt;&gt;"",D47/$AC$49,"")</f>
        <v/>
      </c>
      <c r="E99" s="383" t="str">
        <f t="shared" si="71"/>
        <v/>
      </c>
      <c r="F99" s="383" t="str">
        <f t="shared" si="71"/>
        <v/>
      </c>
      <c r="G99" s="383" t="str">
        <f t="shared" si="71"/>
        <v/>
      </c>
      <c r="H99" s="383" t="str">
        <f t="shared" si="71"/>
        <v/>
      </c>
      <c r="I99" s="383" t="str">
        <f t="shared" si="71"/>
        <v/>
      </c>
      <c r="J99" s="383" t="str">
        <f t="shared" si="71"/>
        <v/>
      </c>
      <c r="K99" s="383" t="str">
        <f t="shared" si="71"/>
        <v/>
      </c>
      <c r="L99" s="383" t="str">
        <f t="shared" si="71"/>
        <v/>
      </c>
      <c r="M99" s="383" t="str">
        <f t="shared" si="71"/>
        <v/>
      </c>
      <c r="N99" s="383" t="str">
        <f t="shared" si="71"/>
        <v/>
      </c>
      <c r="O99" s="383" t="str">
        <f t="shared" si="71"/>
        <v/>
      </c>
      <c r="P99" s="383" t="str">
        <f t="shared" si="71"/>
        <v/>
      </c>
      <c r="Q99" s="383" t="str">
        <f t="shared" si="71"/>
        <v/>
      </c>
      <c r="R99" s="383" t="str">
        <f t="shared" si="71"/>
        <v/>
      </c>
      <c r="S99" s="383" t="str">
        <f t="shared" si="71"/>
        <v/>
      </c>
      <c r="T99" s="383" t="str">
        <f t="shared" si="71"/>
        <v/>
      </c>
      <c r="U99" s="383" t="str">
        <f t="shared" si="71"/>
        <v/>
      </c>
      <c r="V99" s="383" t="str">
        <f t="shared" si="71"/>
        <v/>
      </c>
      <c r="W99" s="383" t="str">
        <f t="shared" si="71"/>
        <v/>
      </c>
      <c r="X99" s="383" t="str">
        <f t="shared" si="71"/>
        <v/>
      </c>
      <c r="Y99" s="383" t="str">
        <f t="shared" si="71"/>
        <v/>
      </c>
      <c r="Z99" s="383" t="str">
        <f t="shared" si="71"/>
        <v/>
      </c>
      <c r="AA99" s="383" t="str">
        <f t="shared" si="71"/>
        <v/>
      </c>
      <c r="AB99" s="383" t="str">
        <f t="shared" si="71"/>
        <v/>
      </c>
      <c r="AC99" s="364" t="str">
        <f t="shared" si="28"/>
        <v/>
      </c>
      <c r="AD99" s="758"/>
    </row>
    <row r="100" spans="2:33" ht="15.75" thickBot="1" x14ac:dyDescent="0.3">
      <c r="B100" s="778"/>
      <c r="C100" s="353">
        <f t="shared" si="29"/>
        <v>199</v>
      </c>
      <c r="D100" s="383" t="str">
        <f t="shared" ref="D100:AB100" si="72">IF(D48&lt;&gt;"",D48/$AC$49,"")</f>
        <v/>
      </c>
      <c r="E100" s="383" t="str">
        <f t="shared" si="72"/>
        <v/>
      </c>
      <c r="F100" s="383" t="str">
        <f t="shared" si="72"/>
        <v/>
      </c>
      <c r="G100" s="383" t="str">
        <f t="shared" si="72"/>
        <v/>
      </c>
      <c r="H100" s="383" t="str">
        <f t="shared" si="72"/>
        <v/>
      </c>
      <c r="I100" s="383" t="str">
        <f t="shared" si="72"/>
        <v/>
      </c>
      <c r="J100" s="383" t="str">
        <f t="shared" si="72"/>
        <v/>
      </c>
      <c r="K100" s="383" t="str">
        <f t="shared" si="72"/>
        <v/>
      </c>
      <c r="L100" s="383" t="str">
        <f t="shared" si="72"/>
        <v/>
      </c>
      <c r="M100" s="383" t="str">
        <f t="shared" si="72"/>
        <v/>
      </c>
      <c r="N100" s="383" t="str">
        <f t="shared" si="72"/>
        <v/>
      </c>
      <c r="O100" s="383" t="str">
        <f t="shared" si="72"/>
        <v/>
      </c>
      <c r="P100" s="383" t="str">
        <f t="shared" si="72"/>
        <v/>
      </c>
      <c r="Q100" s="383" t="str">
        <f t="shared" si="72"/>
        <v/>
      </c>
      <c r="R100" s="383" t="str">
        <f t="shared" si="72"/>
        <v/>
      </c>
      <c r="S100" s="383" t="str">
        <f t="shared" si="72"/>
        <v/>
      </c>
      <c r="T100" s="383" t="str">
        <f t="shared" si="72"/>
        <v/>
      </c>
      <c r="U100" s="383" t="str">
        <f t="shared" si="72"/>
        <v/>
      </c>
      <c r="V100" s="383" t="str">
        <f t="shared" si="72"/>
        <v/>
      </c>
      <c r="W100" s="383" t="str">
        <f t="shared" si="72"/>
        <v/>
      </c>
      <c r="X100" s="383" t="str">
        <f t="shared" si="72"/>
        <v/>
      </c>
      <c r="Y100" s="383" t="str">
        <f t="shared" si="72"/>
        <v/>
      </c>
      <c r="Z100" s="383" t="str">
        <f t="shared" si="72"/>
        <v/>
      </c>
      <c r="AA100" s="383" t="str">
        <f t="shared" si="72"/>
        <v/>
      </c>
      <c r="AB100" s="383" t="str">
        <f t="shared" si="72"/>
        <v/>
      </c>
      <c r="AC100" s="365" t="str">
        <f t="shared" si="28"/>
        <v/>
      </c>
      <c r="AD100" s="759"/>
    </row>
    <row r="101" spans="2:33" x14ac:dyDescent="0.25">
      <c r="D101" s="366" t="str">
        <f>IF(SUM(D56:D100)&gt;0,SUM(D56:D100),"")</f>
        <v/>
      </c>
      <c r="E101" s="367">
        <f t="shared" ref="E101:AB101" si="73">IF(SUM(E56:E100)&gt;0,SUM(E56:E100),"")</f>
        <v>4.2857142857142858E-2</v>
      </c>
      <c r="F101" s="367">
        <f t="shared" si="73"/>
        <v>0.14285714285714285</v>
      </c>
      <c r="G101" s="367">
        <f t="shared" si="73"/>
        <v>0.15714285714285714</v>
      </c>
      <c r="H101" s="367">
        <f t="shared" si="73"/>
        <v>0.20000000000000004</v>
      </c>
      <c r="I101" s="367">
        <f t="shared" si="73"/>
        <v>0.12857142857142859</v>
      </c>
      <c r="J101" s="367">
        <f t="shared" si="73"/>
        <v>8.5714285714285715E-2</v>
      </c>
      <c r="K101" s="367">
        <f t="shared" si="73"/>
        <v>0.1142857142857143</v>
      </c>
      <c r="L101" s="367">
        <f t="shared" si="73"/>
        <v>8.5714285714285715E-2</v>
      </c>
      <c r="M101" s="367">
        <f t="shared" si="73"/>
        <v>1.4285714285714285E-2</v>
      </c>
      <c r="N101" s="367">
        <f t="shared" si="73"/>
        <v>2.8571428571428571E-2</v>
      </c>
      <c r="O101" s="367" t="str">
        <f t="shared" si="73"/>
        <v/>
      </c>
      <c r="P101" s="367" t="str">
        <f t="shared" si="73"/>
        <v/>
      </c>
      <c r="Q101" s="367" t="str">
        <f t="shared" si="73"/>
        <v/>
      </c>
      <c r="R101" s="367" t="str">
        <f t="shared" si="73"/>
        <v/>
      </c>
      <c r="S101" s="367" t="str">
        <f t="shared" si="73"/>
        <v/>
      </c>
      <c r="T101" s="367" t="str">
        <f t="shared" si="73"/>
        <v/>
      </c>
      <c r="U101" s="367" t="str">
        <f t="shared" si="73"/>
        <v/>
      </c>
      <c r="V101" s="367" t="str">
        <f t="shared" si="73"/>
        <v/>
      </c>
      <c r="W101" s="367" t="str">
        <f t="shared" si="73"/>
        <v/>
      </c>
      <c r="X101" s="367" t="str">
        <f t="shared" si="73"/>
        <v/>
      </c>
      <c r="Y101" s="367" t="str">
        <f t="shared" si="73"/>
        <v/>
      </c>
      <c r="Z101" s="367" t="str">
        <f t="shared" si="73"/>
        <v/>
      </c>
      <c r="AA101" s="367" t="str">
        <f t="shared" si="73"/>
        <v/>
      </c>
      <c r="AB101" s="368" t="str">
        <f t="shared" si="73"/>
        <v/>
      </c>
      <c r="AC101" s="65">
        <f>SUM(D56:AB100)</f>
        <v>0.99999999999999889</v>
      </c>
    </row>
    <row r="102" spans="2:33" ht="18.75" thickBot="1" x14ac:dyDescent="0.3">
      <c r="D102" s="760" t="s">
        <v>168</v>
      </c>
      <c r="E102" s="761"/>
      <c r="F102" s="761"/>
      <c r="G102" s="761"/>
      <c r="H102" s="761"/>
      <c r="I102" s="761"/>
      <c r="J102" s="761"/>
      <c r="K102" s="761"/>
      <c r="L102" s="761"/>
      <c r="M102" s="761"/>
      <c r="N102" s="761"/>
      <c r="O102" s="761"/>
      <c r="P102" s="761"/>
      <c r="Q102" s="761"/>
      <c r="R102" s="761"/>
      <c r="S102" s="761"/>
      <c r="T102" s="761"/>
      <c r="U102" s="761"/>
      <c r="V102" s="761"/>
      <c r="W102" s="761"/>
      <c r="X102" s="761"/>
      <c r="Y102" s="761"/>
      <c r="Z102" s="761"/>
      <c r="AA102" s="761"/>
      <c r="AB102" s="762"/>
    </row>
    <row r="105" spans="2:33" ht="15.75" thickBot="1" x14ac:dyDescent="0.3"/>
    <row r="106" spans="2:33" ht="15" customHeight="1" x14ac:dyDescent="0.25">
      <c r="B106" s="773" t="s">
        <v>41</v>
      </c>
      <c r="C106" s="774"/>
      <c r="D106" s="763" t="s">
        <v>39</v>
      </c>
      <c r="E106" s="764"/>
      <c r="F106" s="764"/>
      <c r="G106" s="764"/>
      <c r="H106" s="764"/>
      <c r="I106" s="764"/>
      <c r="J106" s="764"/>
      <c r="K106" s="764"/>
      <c r="L106" s="764"/>
      <c r="M106" s="764"/>
      <c r="N106" s="764"/>
      <c r="O106" s="764"/>
      <c r="P106" s="764"/>
      <c r="Q106" s="764"/>
      <c r="R106" s="764"/>
      <c r="S106" s="764"/>
      <c r="T106" s="764"/>
      <c r="U106" s="764"/>
      <c r="V106" s="764"/>
      <c r="W106" s="764"/>
      <c r="X106" s="764"/>
      <c r="Y106" s="764"/>
      <c r="Z106" s="764"/>
      <c r="AA106" s="764"/>
      <c r="AB106" s="765"/>
      <c r="AC106" s="6"/>
      <c r="AF106" s="21" t="s">
        <v>42</v>
      </c>
      <c r="AG106" s="373">
        <f>SUM(D108:AB152)</f>
        <v>3992.971428571429</v>
      </c>
    </row>
    <row r="107" spans="2:33" ht="15.75" thickBot="1" x14ac:dyDescent="0.3">
      <c r="B107" s="775"/>
      <c r="C107" s="776"/>
      <c r="D107" s="354">
        <f>Häufigkeiten!$A$7</f>
        <v>18</v>
      </c>
      <c r="E107" s="355">
        <f>D107+1</f>
        <v>19</v>
      </c>
      <c r="F107" s="355">
        <f t="shared" ref="F107" si="74">E107+1</f>
        <v>20</v>
      </c>
      <c r="G107" s="355">
        <f t="shared" ref="G107" si="75">F107+1</f>
        <v>21</v>
      </c>
      <c r="H107" s="355">
        <f t="shared" ref="H107" si="76">G107+1</f>
        <v>22</v>
      </c>
      <c r="I107" s="355">
        <f t="shared" ref="I107" si="77">H107+1</f>
        <v>23</v>
      </c>
      <c r="J107" s="355">
        <f t="shared" ref="J107" si="78">I107+1</f>
        <v>24</v>
      </c>
      <c r="K107" s="355">
        <f t="shared" ref="K107" si="79">J107+1</f>
        <v>25</v>
      </c>
      <c r="L107" s="355">
        <f t="shared" ref="L107" si="80">K107+1</f>
        <v>26</v>
      </c>
      <c r="M107" s="355">
        <f t="shared" ref="M107" si="81">L107+1</f>
        <v>27</v>
      </c>
      <c r="N107" s="355">
        <f t="shared" ref="N107" si="82">M107+1</f>
        <v>28</v>
      </c>
      <c r="O107" s="355">
        <f t="shared" ref="O107" si="83">N107+1</f>
        <v>29</v>
      </c>
      <c r="P107" s="355">
        <f t="shared" ref="P107" si="84">O107+1</f>
        <v>30</v>
      </c>
      <c r="Q107" s="355">
        <f t="shared" ref="Q107" si="85">P107+1</f>
        <v>31</v>
      </c>
      <c r="R107" s="355">
        <f t="shared" ref="R107" si="86">Q107+1</f>
        <v>32</v>
      </c>
      <c r="S107" s="355">
        <f t="shared" ref="S107" si="87">R107+1</f>
        <v>33</v>
      </c>
      <c r="T107" s="355">
        <f t="shared" ref="T107" si="88">S107+1</f>
        <v>34</v>
      </c>
      <c r="U107" s="355">
        <f t="shared" ref="U107" si="89">T107+1</f>
        <v>35</v>
      </c>
      <c r="V107" s="355">
        <f t="shared" ref="V107" si="90">U107+1</f>
        <v>36</v>
      </c>
      <c r="W107" s="355">
        <f t="shared" ref="W107" si="91">V107+1</f>
        <v>37</v>
      </c>
      <c r="X107" s="355">
        <f t="shared" ref="X107" si="92">W107+1</f>
        <v>38</v>
      </c>
      <c r="Y107" s="355">
        <f t="shared" ref="Y107" si="93">X107+1</f>
        <v>39</v>
      </c>
      <c r="Z107" s="355">
        <f t="shared" ref="Z107" si="94">Y107+1</f>
        <v>40</v>
      </c>
      <c r="AA107" s="355">
        <f t="shared" ref="AA107" si="95">Z107+1</f>
        <v>41</v>
      </c>
      <c r="AB107" s="356">
        <f t="shared" ref="AB107" si="96">AA107+1</f>
        <v>42</v>
      </c>
      <c r="AC107" s="6"/>
      <c r="AF107" s="20" t="s">
        <v>49</v>
      </c>
      <c r="AG107" s="20">
        <f>-AG59*AG56</f>
        <v>-3989.2755102040815</v>
      </c>
    </row>
    <row r="108" spans="2:33" x14ac:dyDescent="0.25">
      <c r="B108" s="769" t="s">
        <v>38</v>
      </c>
      <c r="C108" s="351">
        <f>Häufigkeiten!$E$7</f>
        <v>155</v>
      </c>
      <c r="D108" s="369" t="str">
        <f>IF(D56&lt;&gt;"",D56*D$107*$C108,"")</f>
        <v/>
      </c>
      <c r="E108" s="369" t="str">
        <f t="shared" ref="E108:AB108" si="97">IF(E56&lt;&gt;"",E56*E$107*$C108,"")</f>
        <v/>
      </c>
      <c r="F108" s="369" t="str">
        <f t="shared" si="97"/>
        <v/>
      </c>
      <c r="G108" s="369" t="str">
        <f t="shared" si="97"/>
        <v/>
      </c>
      <c r="H108" s="369" t="str">
        <f t="shared" si="97"/>
        <v/>
      </c>
      <c r="I108" s="369">
        <f t="shared" si="97"/>
        <v>50.928571428571431</v>
      </c>
      <c r="J108" s="369" t="str">
        <f t="shared" si="97"/>
        <v/>
      </c>
      <c r="K108" s="369" t="str">
        <f t="shared" si="97"/>
        <v/>
      </c>
      <c r="L108" s="369" t="str">
        <f t="shared" si="97"/>
        <v/>
      </c>
      <c r="M108" s="369" t="str">
        <f t="shared" si="97"/>
        <v/>
      </c>
      <c r="N108" s="369" t="str">
        <f t="shared" si="97"/>
        <v/>
      </c>
      <c r="O108" s="369" t="str">
        <f t="shared" si="97"/>
        <v/>
      </c>
      <c r="P108" s="369" t="str">
        <f t="shared" si="97"/>
        <v/>
      </c>
      <c r="Q108" s="369" t="str">
        <f t="shared" si="97"/>
        <v/>
      </c>
      <c r="R108" s="369" t="str">
        <f t="shared" si="97"/>
        <v/>
      </c>
      <c r="S108" s="369" t="str">
        <f t="shared" si="97"/>
        <v/>
      </c>
      <c r="T108" s="369" t="str">
        <f t="shared" si="97"/>
        <v/>
      </c>
      <c r="U108" s="369" t="str">
        <f t="shared" si="97"/>
        <v/>
      </c>
      <c r="V108" s="369" t="str">
        <f t="shared" si="97"/>
        <v/>
      </c>
      <c r="W108" s="369" t="str">
        <f t="shared" si="97"/>
        <v/>
      </c>
      <c r="X108" s="369" t="str">
        <f t="shared" si="97"/>
        <v/>
      </c>
      <c r="Y108" s="369" t="str">
        <f t="shared" si="97"/>
        <v/>
      </c>
      <c r="Z108" s="369" t="str">
        <f t="shared" si="97"/>
        <v/>
      </c>
      <c r="AA108" s="369" t="str">
        <f t="shared" si="97"/>
        <v/>
      </c>
      <c r="AB108" s="370" t="str">
        <f t="shared" si="97"/>
        <v/>
      </c>
      <c r="AC108" s="6"/>
      <c r="AF108" s="14" t="s">
        <v>43</v>
      </c>
      <c r="AG108" s="374">
        <f>AG106+AG107</f>
        <v>3.6959183673475309</v>
      </c>
    </row>
    <row r="109" spans="2:33" x14ac:dyDescent="0.25">
      <c r="B109" s="777"/>
      <c r="C109" s="352">
        <f>C108+1</f>
        <v>156</v>
      </c>
      <c r="D109" s="369" t="str">
        <f t="shared" ref="D109:AB109" si="98">IF(D57&lt;&gt;"",D57*D$107*$C109,"")</f>
        <v/>
      </c>
      <c r="E109" s="369" t="str">
        <f t="shared" si="98"/>
        <v/>
      </c>
      <c r="F109" s="369" t="str">
        <f t="shared" si="98"/>
        <v/>
      </c>
      <c r="G109" s="369" t="str">
        <f t="shared" si="98"/>
        <v/>
      </c>
      <c r="H109" s="369" t="str">
        <f t="shared" si="98"/>
        <v/>
      </c>
      <c r="I109" s="369" t="str">
        <f t="shared" si="98"/>
        <v/>
      </c>
      <c r="J109" s="369" t="str">
        <f t="shared" si="98"/>
        <v/>
      </c>
      <c r="K109" s="369" t="str">
        <f t="shared" si="98"/>
        <v/>
      </c>
      <c r="L109" s="369" t="str">
        <f t="shared" si="98"/>
        <v/>
      </c>
      <c r="M109" s="369" t="str">
        <f t="shared" si="98"/>
        <v/>
      </c>
      <c r="N109" s="369" t="str">
        <f t="shared" si="98"/>
        <v/>
      </c>
      <c r="O109" s="369" t="str">
        <f t="shared" si="98"/>
        <v/>
      </c>
      <c r="P109" s="369" t="str">
        <f t="shared" si="98"/>
        <v/>
      </c>
      <c r="Q109" s="369" t="str">
        <f t="shared" si="98"/>
        <v/>
      </c>
      <c r="R109" s="369" t="str">
        <f t="shared" si="98"/>
        <v/>
      </c>
      <c r="S109" s="369" t="str">
        <f t="shared" si="98"/>
        <v/>
      </c>
      <c r="T109" s="369" t="str">
        <f t="shared" si="98"/>
        <v/>
      </c>
      <c r="U109" s="369" t="str">
        <f t="shared" si="98"/>
        <v/>
      </c>
      <c r="V109" s="369" t="str">
        <f t="shared" si="98"/>
        <v/>
      </c>
      <c r="W109" s="369" t="str">
        <f t="shared" si="98"/>
        <v/>
      </c>
      <c r="X109" s="369" t="str">
        <f t="shared" si="98"/>
        <v/>
      </c>
      <c r="Y109" s="369" t="str">
        <f t="shared" si="98"/>
        <v/>
      </c>
      <c r="Z109" s="369" t="str">
        <f t="shared" si="98"/>
        <v/>
      </c>
      <c r="AA109" s="369" t="str">
        <f t="shared" si="98"/>
        <v/>
      </c>
      <c r="AB109" s="370" t="str">
        <f t="shared" si="98"/>
        <v/>
      </c>
      <c r="AC109" s="6"/>
      <c r="AF109" s="8"/>
      <c r="AG109" s="8"/>
    </row>
    <row r="110" spans="2:33" x14ac:dyDescent="0.25">
      <c r="B110" s="777"/>
      <c r="C110" s="352">
        <f t="shared" ref="C110:C152" si="99">C109+1</f>
        <v>157</v>
      </c>
      <c r="D110" s="369" t="str">
        <f t="shared" ref="D110:AB110" si="100">IF(D58&lt;&gt;"",D58*D$107*$C110,"")</f>
        <v/>
      </c>
      <c r="E110" s="369" t="str">
        <f t="shared" si="100"/>
        <v/>
      </c>
      <c r="F110" s="369" t="str">
        <f t="shared" si="100"/>
        <v/>
      </c>
      <c r="G110" s="369" t="str">
        <f t="shared" si="100"/>
        <v/>
      </c>
      <c r="H110" s="369" t="str">
        <f t="shared" si="100"/>
        <v/>
      </c>
      <c r="I110" s="369" t="str">
        <f t="shared" si="100"/>
        <v/>
      </c>
      <c r="J110" s="369" t="str">
        <f t="shared" si="100"/>
        <v/>
      </c>
      <c r="K110" s="369" t="str">
        <f t="shared" si="100"/>
        <v/>
      </c>
      <c r="L110" s="369" t="str">
        <f t="shared" si="100"/>
        <v/>
      </c>
      <c r="M110" s="369" t="str">
        <f t="shared" si="100"/>
        <v/>
      </c>
      <c r="N110" s="369" t="str">
        <f t="shared" si="100"/>
        <v/>
      </c>
      <c r="O110" s="369" t="str">
        <f t="shared" si="100"/>
        <v/>
      </c>
      <c r="P110" s="369" t="str">
        <f t="shared" si="100"/>
        <v/>
      </c>
      <c r="Q110" s="369" t="str">
        <f t="shared" si="100"/>
        <v/>
      </c>
      <c r="R110" s="369" t="str">
        <f t="shared" si="100"/>
        <v/>
      </c>
      <c r="S110" s="369" t="str">
        <f t="shared" si="100"/>
        <v/>
      </c>
      <c r="T110" s="369" t="str">
        <f t="shared" si="100"/>
        <v/>
      </c>
      <c r="U110" s="369" t="str">
        <f t="shared" si="100"/>
        <v/>
      </c>
      <c r="V110" s="369" t="str">
        <f t="shared" si="100"/>
        <v/>
      </c>
      <c r="W110" s="369" t="str">
        <f t="shared" si="100"/>
        <v/>
      </c>
      <c r="X110" s="369" t="str">
        <f t="shared" si="100"/>
        <v/>
      </c>
      <c r="Y110" s="369" t="str">
        <f t="shared" si="100"/>
        <v/>
      </c>
      <c r="Z110" s="369" t="str">
        <f t="shared" si="100"/>
        <v/>
      </c>
      <c r="AA110" s="369" t="str">
        <f t="shared" si="100"/>
        <v/>
      </c>
      <c r="AB110" s="370" t="str">
        <f t="shared" si="100"/>
        <v/>
      </c>
      <c r="AC110" s="6"/>
      <c r="AF110" s="27" t="s">
        <v>44</v>
      </c>
      <c r="AG110" s="28">
        <f>AG108/SQRT(AG60*AG57)</f>
        <v>0.17544758419605036</v>
      </c>
    </row>
    <row r="111" spans="2:33" ht="15" customHeight="1" x14ac:dyDescent="0.25">
      <c r="B111" s="777"/>
      <c r="C111" s="352">
        <f t="shared" si="99"/>
        <v>158</v>
      </c>
      <c r="D111" s="369" t="str">
        <f t="shared" ref="D111:AB111" si="101">IF(D59&lt;&gt;"",D59*D$107*$C111,"")</f>
        <v/>
      </c>
      <c r="E111" s="369" t="str">
        <f t="shared" si="101"/>
        <v/>
      </c>
      <c r="F111" s="369" t="str">
        <f t="shared" si="101"/>
        <v/>
      </c>
      <c r="G111" s="369" t="str">
        <f t="shared" si="101"/>
        <v/>
      </c>
      <c r="H111" s="369" t="str">
        <f t="shared" si="101"/>
        <v/>
      </c>
      <c r="I111" s="369" t="str">
        <f t="shared" si="101"/>
        <v/>
      </c>
      <c r="J111" s="369" t="str">
        <f t="shared" si="101"/>
        <v/>
      </c>
      <c r="K111" s="369" t="str">
        <f t="shared" si="101"/>
        <v/>
      </c>
      <c r="L111" s="369" t="str">
        <f t="shared" si="101"/>
        <v/>
      </c>
      <c r="M111" s="369" t="str">
        <f t="shared" si="101"/>
        <v/>
      </c>
      <c r="N111" s="369" t="str">
        <f t="shared" si="101"/>
        <v/>
      </c>
      <c r="O111" s="369" t="str">
        <f t="shared" si="101"/>
        <v/>
      </c>
      <c r="P111" s="369" t="str">
        <f t="shared" si="101"/>
        <v/>
      </c>
      <c r="Q111" s="369" t="str">
        <f t="shared" si="101"/>
        <v/>
      </c>
      <c r="R111" s="369" t="str">
        <f t="shared" si="101"/>
        <v/>
      </c>
      <c r="S111" s="369" t="str">
        <f t="shared" si="101"/>
        <v/>
      </c>
      <c r="T111" s="369" t="str">
        <f t="shared" si="101"/>
        <v/>
      </c>
      <c r="U111" s="369" t="str">
        <f t="shared" si="101"/>
        <v/>
      </c>
      <c r="V111" s="369" t="str">
        <f t="shared" si="101"/>
        <v/>
      </c>
      <c r="W111" s="369" t="str">
        <f t="shared" si="101"/>
        <v/>
      </c>
      <c r="X111" s="369" t="str">
        <f t="shared" si="101"/>
        <v/>
      </c>
      <c r="Y111" s="369" t="str">
        <f t="shared" si="101"/>
        <v/>
      </c>
      <c r="Z111" s="369" t="str">
        <f t="shared" si="101"/>
        <v/>
      </c>
      <c r="AA111" s="369" t="str">
        <f t="shared" si="101"/>
        <v/>
      </c>
      <c r="AB111" s="370" t="str">
        <f t="shared" si="101"/>
        <v/>
      </c>
      <c r="AC111" s="6"/>
    </row>
    <row r="112" spans="2:33" x14ac:dyDescent="0.25">
      <c r="B112" s="777"/>
      <c r="C112" s="352">
        <f t="shared" si="99"/>
        <v>159</v>
      </c>
      <c r="D112" s="369" t="str">
        <f t="shared" ref="D112:AB112" si="102">IF(D60&lt;&gt;"",D60*D$107*$C112,"")</f>
        <v/>
      </c>
      <c r="E112" s="369" t="str">
        <f t="shared" si="102"/>
        <v/>
      </c>
      <c r="F112" s="369" t="str">
        <f t="shared" si="102"/>
        <v/>
      </c>
      <c r="G112" s="369" t="str">
        <f t="shared" si="102"/>
        <v/>
      </c>
      <c r="H112" s="369" t="str">
        <f t="shared" si="102"/>
        <v/>
      </c>
      <c r="I112" s="369" t="str">
        <f t="shared" si="102"/>
        <v/>
      </c>
      <c r="J112" s="369" t="str">
        <f t="shared" si="102"/>
        <v/>
      </c>
      <c r="K112" s="369" t="str">
        <f t="shared" si="102"/>
        <v/>
      </c>
      <c r="L112" s="369" t="str">
        <f t="shared" si="102"/>
        <v/>
      </c>
      <c r="M112" s="369" t="str">
        <f t="shared" si="102"/>
        <v/>
      </c>
      <c r="N112" s="369" t="str">
        <f t="shared" si="102"/>
        <v/>
      </c>
      <c r="O112" s="369" t="str">
        <f t="shared" si="102"/>
        <v/>
      </c>
      <c r="P112" s="369" t="str">
        <f t="shared" si="102"/>
        <v/>
      </c>
      <c r="Q112" s="369" t="str">
        <f t="shared" si="102"/>
        <v/>
      </c>
      <c r="R112" s="369" t="str">
        <f t="shared" si="102"/>
        <v/>
      </c>
      <c r="S112" s="369" t="str">
        <f t="shared" si="102"/>
        <v/>
      </c>
      <c r="T112" s="369" t="str">
        <f t="shared" si="102"/>
        <v/>
      </c>
      <c r="U112" s="369" t="str">
        <f t="shared" si="102"/>
        <v/>
      </c>
      <c r="V112" s="369" t="str">
        <f t="shared" si="102"/>
        <v/>
      </c>
      <c r="W112" s="369" t="str">
        <f t="shared" si="102"/>
        <v/>
      </c>
      <c r="X112" s="369" t="str">
        <f t="shared" si="102"/>
        <v/>
      </c>
      <c r="Y112" s="369" t="str">
        <f t="shared" si="102"/>
        <v/>
      </c>
      <c r="Z112" s="369" t="str">
        <f t="shared" si="102"/>
        <v/>
      </c>
      <c r="AA112" s="369" t="str">
        <f t="shared" si="102"/>
        <v/>
      </c>
      <c r="AB112" s="370" t="str">
        <f t="shared" si="102"/>
        <v/>
      </c>
      <c r="AC112" s="6"/>
    </row>
    <row r="113" spans="2:29" x14ac:dyDescent="0.25">
      <c r="B113" s="777"/>
      <c r="C113" s="352">
        <f t="shared" si="99"/>
        <v>160</v>
      </c>
      <c r="D113" s="369" t="str">
        <f t="shared" ref="D113:AB113" si="103">IF(D61&lt;&gt;"",D61*D$107*$C113,"")</f>
        <v/>
      </c>
      <c r="E113" s="369">
        <f t="shared" si="103"/>
        <v>43.428571428571423</v>
      </c>
      <c r="F113" s="369" t="str">
        <f t="shared" si="103"/>
        <v/>
      </c>
      <c r="G113" s="369">
        <f t="shared" si="103"/>
        <v>48</v>
      </c>
      <c r="H113" s="369">
        <f t="shared" si="103"/>
        <v>50.285714285714285</v>
      </c>
      <c r="I113" s="369">
        <f t="shared" si="103"/>
        <v>52.571428571428569</v>
      </c>
      <c r="J113" s="369">
        <f t="shared" si="103"/>
        <v>54.857142857142861</v>
      </c>
      <c r="K113" s="369" t="str">
        <f t="shared" si="103"/>
        <v/>
      </c>
      <c r="L113" s="369" t="str">
        <f t="shared" si="103"/>
        <v/>
      </c>
      <c r="M113" s="369" t="str">
        <f t="shared" si="103"/>
        <v/>
      </c>
      <c r="N113" s="369" t="str">
        <f t="shared" si="103"/>
        <v/>
      </c>
      <c r="O113" s="369" t="str">
        <f t="shared" si="103"/>
        <v/>
      </c>
      <c r="P113" s="369" t="str">
        <f t="shared" si="103"/>
        <v/>
      </c>
      <c r="Q113" s="369" t="str">
        <f t="shared" si="103"/>
        <v/>
      </c>
      <c r="R113" s="369" t="str">
        <f t="shared" si="103"/>
        <v/>
      </c>
      <c r="S113" s="369" t="str">
        <f t="shared" si="103"/>
        <v/>
      </c>
      <c r="T113" s="369" t="str">
        <f t="shared" si="103"/>
        <v/>
      </c>
      <c r="U113" s="369" t="str">
        <f t="shared" si="103"/>
        <v/>
      </c>
      <c r="V113" s="369" t="str">
        <f t="shared" si="103"/>
        <v/>
      </c>
      <c r="W113" s="369" t="str">
        <f t="shared" si="103"/>
        <v/>
      </c>
      <c r="X113" s="369" t="str">
        <f t="shared" si="103"/>
        <v/>
      </c>
      <c r="Y113" s="369" t="str">
        <f t="shared" si="103"/>
        <v/>
      </c>
      <c r="Z113" s="369" t="str">
        <f t="shared" si="103"/>
        <v/>
      </c>
      <c r="AA113" s="369" t="str">
        <f t="shared" si="103"/>
        <v/>
      </c>
      <c r="AB113" s="370" t="str">
        <f t="shared" si="103"/>
        <v/>
      </c>
      <c r="AC113" s="6"/>
    </row>
    <row r="114" spans="2:29" x14ac:dyDescent="0.25">
      <c r="B114" s="777"/>
      <c r="C114" s="352">
        <f t="shared" si="99"/>
        <v>161</v>
      </c>
      <c r="D114" s="369" t="str">
        <f t="shared" ref="D114:AB114" si="104">IF(D62&lt;&gt;"",D62*D$107*$C114,"")</f>
        <v/>
      </c>
      <c r="E114" s="369" t="str">
        <f t="shared" si="104"/>
        <v/>
      </c>
      <c r="F114" s="369" t="str">
        <f t="shared" si="104"/>
        <v/>
      </c>
      <c r="G114" s="369" t="str">
        <f t="shared" si="104"/>
        <v/>
      </c>
      <c r="H114" s="369">
        <f t="shared" si="104"/>
        <v>50.6</v>
      </c>
      <c r="I114" s="369" t="str">
        <f t="shared" si="104"/>
        <v/>
      </c>
      <c r="J114" s="369" t="str">
        <f t="shared" si="104"/>
        <v/>
      </c>
      <c r="K114" s="369" t="str">
        <f t="shared" si="104"/>
        <v/>
      </c>
      <c r="L114" s="369" t="str">
        <f t="shared" si="104"/>
        <v/>
      </c>
      <c r="M114" s="369" t="str">
        <f t="shared" si="104"/>
        <v/>
      </c>
      <c r="N114" s="369" t="str">
        <f t="shared" si="104"/>
        <v/>
      </c>
      <c r="O114" s="369" t="str">
        <f t="shared" si="104"/>
        <v/>
      </c>
      <c r="P114" s="369" t="str">
        <f t="shared" si="104"/>
        <v/>
      </c>
      <c r="Q114" s="369" t="str">
        <f t="shared" si="104"/>
        <v/>
      </c>
      <c r="R114" s="369" t="str">
        <f t="shared" si="104"/>
        <v/>
      </c>
      <c r="S114" s="369" t="str">
        <f t="shared" si="104"/>
        <v/>
      </c>
      <c r="T114" s="369" t="str">
        <f t="shared" si="104"/>
        <v/>
      </c>
      <c r="U114" s="369" t="str">
        <f t="shared" si="104"/>
        <v/>
      </c>
      <c r="V114" s="369" t="str">
        <f t="shared" si="104"/>
        <v/>
      </c>
      <c r="W114" s="369" t="str">
        <f t="shared" si="104"/>
        <v/>
      </c>
      <c r="X114" s="369" t="str">
        <f t="shared" si="104"/>
        <v/>
      </c>
      <c r="Y114" s="369" t="str">
        <f t="shared" si="104"/>
        <v/>
      </c>
      <c r="Z114" s="369" t="str">
        <f t="shared" si="104"/>
        <v/>
      </c>
      <c r="AA114" s="369" t="str">
        <f t="shared" si="104"/>
        <v/>
      </c>
      <c r="AB114" s="370" t="str">
        <f t="shared" si="104"/>
        <v/>
      </c>
      <c r="AC114" s="6"/>
    </row>
    <row r="115" spans="2:29" x14ac:dyDescent="0.25">
      <c r="B115" s="777"/>
      <c r="C115" s="352">
        <f t="shared" si="99"/>
        <v>162</v>
      </c>
      <c r="D115" s="369" t="str">
        <f t="shared" ref="D115:AB115" si="105">IF(D63&lt;&gt;"",D63*D$107*$C115,"")</f>
        <v/>
      </c>
      <c r="E115" s="369" t="str">
        <f t="shared" si="105"/>
        <v/>
      </c>
      <c r="F115" s="369" t="str">
        <f t="shared" si="105"/>
        <v/>
      </c>
      <c r="G115" s="369" t="str">
        <f t="shared" si="105"/>
        <v/>
      </c>
      <c r="H115" s="369" t="str">
        <f t="shared" si="105"/>
        <v/>
      </c>
      <c r="I115" s="369" t="str">
        <f t="shared" si="105"/>
        <v/>
      </c>
      <c r="J115" s="369" t="str">
        <f t="shared" si="105"/>
        <v/>
      </c>
      <c r="K115" s="369" t="str">
        <f t="shared" si="105"/>
        <v/>
      </c>
      <c r="L115" s="369" t="str">
        <f t="shared" si="105"/>
        <v/>
      </c>
      <c r="M115" s="369" t="str">
        <f t="shared" si="105"/>
        <v/>
      </c>
      <c r="N115" s="369" t="str">
        <f t="shared" si="105"/>
        <v/>
      </c>
      <c r="O115" s="369" t="str">
        <f t="shared" si="105"/>
        <v/>
      </c>
      <c r="P115" s="369" t="str">
        <f t="shared" si="105"/>
        <v/>
      </c>
      <c r="Q115" s="369" t="str">
        <f t="shared" si="105"/>
        <v/>
      </c>
      <c r="R115" s="369" t="str">
        <f t="shared" si="105"/>
        <v/>
      </c>
      <c r="S115" s="369" t="str">
        <f t="shared" si="105"/>
        <v/>
      </c>
      <c r="T115" s="369" t="str">
        <f t="shared" si="105"/>
        <v/>
      </c>
      <c r="U115" s="369" t="str">
        <f t="shared" si="105"/>
        <v/>
      </c>
      <c r="V115" s="369" t="str">
        <f t="shared" si="105"/>
        <v/>
      </c>
      <c r="W115" s="369" t="str">
        <f t="shared" si="105"/>
        <v/>
      </c>
      <c r="X115" s="369" t="str">
        <f t="shared" si="105"/>
        <v/>
      </c>
      <c r="Y115" s="369" t="str">
        <f t="shared" si="105"/>
        <v/>
      </c>
      <c r="Z115" s="369" t="str">
        <f t="shared" si="105"/>
        <v/>
      </c>
      <c r="AA115" s="369" t="str">
        <f t="shared" si="105"/>
        <v/>
      </c>
      <c r="AB115" s="370" t="str">
        <f t="shared" si="105"/>
        <v/>
      </c>
      <c r="AC115" s="6"/>
    </row>
    <row r="116" spans="2:29" x14ac:dyDescent="0.25">
      <c r="B116" s="777"/>
      <c r="C116" s="352">
        <f t="shared" si="99"/>
        <v>163</v>
      </c>
      <c r="D116" s="369" t="str">
        <f t="shared" ref="D116:AB116" si="106">IF(D64&lt;&gt;"",D64*D$107*$C116,"")</f>
        <v/>
      </c>
      <c r="E116" s="369" t="str">
        <f t="shared" si="106"/>
        <v/>
      </c>
      <c r="F116" s="369">
        <f t="shared" si="106"/>
        <v>93.142857142857139</v>
      </c>
      <c r="G116" s="369">
        <f t="shared" si="106"/>
        <v>48.9</v>
      </c>
      <c r="H116" s="369" t="str">
        <f t="shared" si="106"/>
        <v/>
      </c>
      <c r="I116" s="369" t="str">
        <f t="shared" si="106"/>
        <v/>
      </c>
      <c r="J116" s="369" t="str">
        <f t="shared" si="106"/>
        <v/>
      </c>
      <c r="K116" s="369" t="str">
        <f t="shared" si="106"/>
        <v/>
      </c>
      <c r="L116" s="369" t="str">
        <f t="shared" si="106"/>
        <v/>
      </c>
      <c r="M116" s="369" t="str">
        <f t="shared" si="106"/>
        <v/>
      </c>
      <c r="N116" s="369" t="str">
        <f t="shared" si="106"/>
        <v/>
      </c>
      <c r="O116" s="369" t="str">
        <f t="shared" si="106"/>
        <v/>
      </c>
      <c r="P116" s="369" t="str">
        <f t="shared" si="106"/>
        <v/>
      </c>
      <c r="Q116" s="369" t="str">
        <f t="shared" si="106"/>
        <v/>
      </c>
      <c r="R116" s="369" t="str">
        <f t="shared" si="106"/>
        <v/>
      </c>
      <c r="S116" s="369" t="str">
        <f t="shared" si="106"/>
        <v/>
      </c>
      <c r="T116" s="369" t="str">
        <f t="shared" si="106"/>
        <v/>
      </c>
      <c r="U116" s="369" t="str">
        <f t="shared" si="106"/>
        <v/>
      </c>
      <c r="V116" s="369" t="str">
        <f t="shared" si="106"/>
        <v/>
      </c>
      <c r="W116" s="369" t="str">
        <f t="shared" si="106"/>
        <v/>
      </c>
      <c r="X116" s="369" t="str">
        <f t="shared" si="106"/>
        <v/>
      </c>
      <c r="Y116" s="369" t="str">
        <f t="shared" si="106"/>
        <v/>
      </c>
      <c r="Z116" s="369" t="str">
        <f t="shared" si="106"/>
        <v/>
      </c>
      <c r="AA116" s="369" t="str">
        <f t="shared" si="106"/>
        <v/>
      </c>
      <c r="AB116" s="370" t="str">
        <f t="shared" si="106"/>
        <v/>
      </c>
      <c r="AC116" s="6"/>
    </row>
    <row r="117" spans="2:29" x14ac:dyDescent="0.25">
      <c r="B117" s="777"/>
      <c r="C117" s="352">
        <f t="shared" si="99"/>
        <v>164</v>
      </c>
      <c r="D117" s="369" t="str">
        <f t="shared" ref="D117:AB117" si="107">IF(D65&lt;&gt;"",D65*D$107*$C117,"")</f>
        <v/>
      </c>
      <c r="E117" s="369" t="str">
        <f t="shared" si="107"/>
        <v/>
      </c>
      <c r="F117" s="369" t="str">
        <f t="shared" si="107"/>
        <v/>
      </c>
      <c r="G117" s="369" t="str">
        <f t="shared" si="107"/>
        <v/>
      </c>
      <c r="H117" s="369" t="str">
        <f t="shared" si="107"/>
        <v/>
      </c>
      <c r="I117" s="369" t="str">
        <f t="shared" si="107"/>
        <v/>
      </c>
      <c r="J117" s="369" t="str">
        <f t="shared" si="107"/>
        <v/>
      </c>
      <c r="K117" s="369" t="str">
        <f t="shared" si="107"/>
        <v/>
      </c>
      <c r="L117" s="369">
        <f t="shared" si="107"/>
        <v>60.914285714285718</v>
      </c>
      <c r="M117" s="369" t="str">
        <f t="shared" si="107"/>
        <v/>
      </c>
      <c r="N117" s="369" t="str">
        <f t="shared" si="107"/>
        <v/>
      </c>
      <c r="O117" s="369" t="str">
        <f t="shared" si="107"/>
        <v/>
      </c>
      <c r="P117" s="369" t="str">
        <f t="shared" si="107"/>
        <v/>
      </c>
      <c r="Q117" s="369" t="str">
        <f t="shared" si="107"/>
        <v/>
      </c>
      <c r="R117" s="369" t="str">
        <f t="shared" si="107"/>
        <v/>
      </c>
      <c r="S117" s="369" t="str">
        <f t="shared" si="107"/>
        <v/>
      </c>
      <c r="T117" s="369" t="str">
        <f t="shared" si="107"/>
        <v/>
      </c>
      <c r="U117" s="369" t="str">
        <f t="shared" si="107"/>
        <v/>
      </c>
      <c r="V117" s="369" t="str">
        <f t="shared" si="107"/>
        <v/>
      </c>
      <c r="W117" s="369" t="str">
        <f t="shared" si="107"/>
        <v/>
      </c>
      <c r="X117" s="369" t="str">
        <f t="shared" si="107"/>
        <v/>
      </c>
      <c r="Y117" s="369" t="str">
        <f t="shared" si="107"/>
        <v/>
      </c>
      <c r="Z117" s="369" t="str">
        <f t="shared" si="107"/>
        <v/>
      </c>
      <c r="AA117" s="369" t="str">
        <f t="shared" si="107"/>
        <v/>
      </c>
      <c r="AB117" s="370" t="str">
        <f t="shared" si="107"/>
        <v/>
      </c>
      <c r="AC117" s="6"/>
    </row>
    <row r="118" spans="2:29" x14ac:dyDescent="0.25">
      <c r="B118" s="777"/>
      <c r="C118" s="352">
        <f t="shared" si="99"/>
        <v>165</v>
      </c>
      <c r="D118" s="369" t="str">
        <f t="shared" ref="D118:AB118" si="108">IF(D66&lt;&gt;"",D66*D$107*$C118,"")</f>
        <v/>
      </c>
      <c r="E118" s="369" t="str">
        <f t="shared" si="108"/>
        <v/>
      </c>
      <c r="F118" s="369" t="str">
        <f t="shared" si="108"/>
        <v/>
      </c>
      <c r="G118" s="369">
        <f t="shared" si="108"/>
        <v>49.5</v>
      </c>
      <c r="H118" s="369">
        <f t="shared" si="108"/>
        <v>103.71428571428571</v>
      </c>
      <c r="I118" s="369" t="str">
        <f t="shared" si="108"/>
        <v/>
      </c>
      <c r="J118" s="369" t="str">
        <f t="shared" si="108"/>
        <v/>
      </c>
      <c r="K118" s="369" t="str">
        <f t="shared" si="108"/>
        <v/>
      </c>
      <c r="L118" s="369" t="str">
        <f t="shared" si="108"/>
        <v/>
      </c>
      <c r="M118" s="369" t="str">
        <f t="shared" si="108"/>
        <v/>
      </c>
      <c r="N118" s="369" t="str">
        <f t="shared" si="108"/>
        <v/>
      </c>
      <c r="O118" s="369" t="str">
        <f t="shared" si="108"/>
        <v/>
      </c>
      <c r="P118" s="369" t="str">
        <f t="shared" si="108"/>
        <v/>
      </c>
      <c r="Q118" s="369" t="str">
        <f t="shared" si="108"/>
        <v/>
      </c>
      <c r="R118" s="369" t="str">
        <f t="shared" si="108"/>
        <v/>
      </c>
      <c r="S118" s="369" t="str">
        <f t="shared" si="108"/>
        <v/>
      </c>
      <c r="T118" s="369" t="str">
        <f t="shared" si="108"/>
        <v/>
      </c>
      <c r="U118" s="369" t="str">
        <f t="shared" si="108"/>
        <v/>
      </c>
      <c r="V118" s="369" t="str">
        <f t="shared" si="108"/>
        <v/>
      </c>
      <c r="W118" s="369" t="str">
        <f t="shared" si="108"/>
        <v/>
      </c>
      <c r="X118" s="369" t="str">
        <f t="shared" si="108"/>
        <v/>
      </c>
      <c r="Y118" s="369" t="str">
        <f t="shared" si="108"/>
        <v/>
      </c>
      <c r="Z118" s="369" t="str">
        <f t="shared" si="108"/>
        <v/>
      </c>
      <c r="AA118" s="369" t="str">
        <f t="shared" si="108"/>
        <v/>
      </c>
      <c r="AB118" s="370" t="str">
        <f t="shared" si="108"/>
        <v/>
      </c>
      <c r="AC118" s="6"/>
    </row>
    <row r="119" spans="2:29" x14ac:dyDescent="0.25">
      <c r="B119" s="777"/>
      <c r="C119" s="352">
        <f t="shared" si="99"/>
        <v>166</v>
      </c>
      <c r="D119" s="369" t="str">
        <f t="shared" ref="D119:AB119" si="109">IF(D67&lt;&gt;"",D67*D$107*$C119,"")</f>
        <v/>
      </c>
      <c r="E119" s="369" t="str">
        <f t="shared" si="109"/>
        <v/>
      </c>
      <c r="F119" s="369" t="str">
        <f t="shared" si="109"/>
        <v/>
      </c>
      <c r="G119" s="369" t="str">
        <f t="shared" si="109"/>
        <v/>
      </c>
      <c r="H119" s="369" t="str">
        <f t="shared" si="109"/>
        <v/>
      </c>
      <c r="I119" s="369" t="str">
        <f t="shared" si="109"/>
        <v/>
      </c>
      <c r="J119" s="369" t="str">
        <f t="shared" si="109"/>
        <v/>
      </c>
      <c r="K119" s="369" t="str">
        <f t="shared" si="109"/>
        <v/>
      </c>
      <c r="L119" s="369" t="str">
        <f t="shared" si="109"/>
        <v/>
      </c>
      <c r="M119" s="369" t="str">
        <f t="shared" si="109"/>
        <v/>
      </c>
      <c r="N119" s="369" t="str">
        <f t="shared" si="109"/>
        <v/>
      </c>
      <c r="O119" s="369" t="str">
        <f t="shared" si="109"/>
        <v/>
      </c>
      <c r="P119" s="369" t="str">
        <f t="shared" si="109"/>
        <v/>
      </c>
      <c r="Q119" s="369" t="str">
        <f t="shared" si="109"/>
        <v/>
      </c>
      <c r="R119" s="369" t="str">
        <f t="shared" si="109"/>
        <v/>
      </c>
      <c r="S119" s="369" t="str">
        <f t="shared" si="109"/>
        <v/>
      </c>
      <c r="T119" s="369" t="str">
        <f t="shared" si="109"/>
        <v/>
      </c>
      <c r="U119" s="369" t="str">
        <f t="shared" si="109"/>
        <v/>
      </c>
      <c r="V119" s="369" t="str">
        <f t="shared" si="109"/>
        <v/>
      </c>
      <c r="W119" s="369" t="str">
        <f t="shared" si="109"/>
        <v/>
      </c>
      <c r="X119" s="369" t="str">
        <f t="shared" si="109"/>
        <v/>
      </c>
      <c r="Y119" s="369" t="str">
        <f t="shared" si="109"/>
        <v/>
      </c>
      <c r="Z119" s="369" t="str">
        <f t="shared" si="109"/>
        <v/>
      </c>
      <c r="AA119" s="369" t="str">
        <f t="shared" si="109"/>
        <v/>
      </c>
      <c r="AB119" s="370" t="str">
        <f t="shared" si="109"/>
        <v/>
      </c>
      <c r="AC119" s="6"/>
    </row>
    <row r="120" spans="2:29" x14ac:dyDescent="0.25">
      <c r="B120" s="777"/>
      <c r="C120" s="352">
        <f t="shared" si="99"/>
        <v>167</v>
      </c>
      <c r="D120" s="369" t="str">
        <f t="shared" ref="D120:AB120" si="110">IF(D68&lt;&gt;"",D68*D$107*$C120,"")</f>
        <v/>
      </c>
      <c r="E120" s="369" t="str">
        <f t="shared" si="110"/>
        <v/>
      </c>
      <c r="F120" s="369" t="str">
        <f t="shared" si="110"/>
        <v/>
      </c>
      <c r="G120" s="369" t="str">
        <f t="shared" si="110"/>
        <v/>
      </c>
      <c r="H120" s="369" t="str">
        <f t="shared" si="110"/>
        <v/>
      </c>
      <c r="I120" s="369" t="str">
        <f t="shared" si="110"/>
        <v/>
      </c>
      <c r="J120" s="369" t="str">
        <f t="shared" si="110"/>
        <v/>
      </c>
      <c r="K120" s="369" t="str">
        <f t="shared" si="110"/>
        <v/>
      </c>
      <c r="L120" s="369" t="str">
        <f t="shared" si="110"/>
        <v/>
      </c>
      <c r="M120" s="369" t="str">
        <f t="shared" si="110"/>
        <v/>
      </c>
      <c r="N120" s="369" t="str">
        <f t="shared" si="110"/>
        <v/>
      </c>
      <c r="O120" s="369" t="str">
        <f t="shared" si="110"/>
        <v/>
      </c>
      <c r="P120" s="369" t="str">
        <f t="shared" si="110"/>
        <v/>
      </c>
      <c r="Q120" s="369" t="str">
        <f t="shared" si="110"/>
        <v/>
      </c>
      <c r="R120" s="369" t="str">
        <f t="shared" si="110"/>
        <v/>
      </c>
      <c r="S120" s="369" t="str">
        <f t="shared" si="110"/>
        <v/>
      </c>
      <c r="T120" s="369" t="str">
        <f t="shared" si="110"/>
        <v/>
      </c>
      <c r="U120" s="369" t="str">
        <f t="shared" si="110"/>
        <v/>
      </c>
      <c r="V120" s="369" t="str">
        <f t="shared" si="110"/>
        <v/>
      </c>
      <c r="W120" s="369" t="str">
        <f t="shared" si="110"/>
        <v/>
      </c>
      <c r="X120" s="369" t="str">
        <f t="shared" si="110"/>
        <v/>
      </c>
      <c r="Y120" s="369" t="str">
        <f t="shared" si="110"/>
        <v/>
      </c>
      <c r="Z120" s="369" t="str">
        <f t="shared" si="110"/>
        <v/>
      </c>
      <c r="AA120" s="369" t="str">
        <f t="shared" si="110"/>
        <v/>
      </c>
      <c r="AB120" s="370" t="str">
        <f t="shared" si="110"/>
        <v/>
      </c>
      <c r="AC120" s="6"/>
    </row>
    <row r="121" spans="2:29" x14ac:dyDescent="0.25">
      <c r="B121" s="777"/>
      <c r="C121" s="352">
        <f t="shared" si="99"/>
        <v>168</v>
      </c>
      <c r="D121" s="369" t="str">
        <f t="shared" ref="D121:AB121" si="111">IF(D69&lt;&gt;"",D69*D$107*$C121,"")</f>
        <v/>
      </c>
      <c r="E121" s="369">
        <f t="shared" si="111"/>
        <v>45.599999999999994</v>
      </c>
      <c r="F121" s="369" t="str">
        <f t="shared" si="111"/>
        <v/>
      </c>
      <c r="G121" s="369" t="str">
        <f t="shared" si="111"/>
        <v/>
      </c>
      <c r="H121" s="369" t="str">
        <f t="shared" si="111"/>
        <v/>
      </c>
      <c r="I121" s="369" t="str">
        <f t="shared" si="111"/>
        <v/>
      </c>
      <c r="J121" s="369" t="str">
        <f t="shared" si="111"/>
        <v/>
      </c>
      <c r="K121" s="369" t="str">
        <f t="shared" si="111"/>
        <v/>
      </c>
      <c r="L121" s="369" t="str">
        <f t="shared" si="111"/>
        <v/>
      </c>
      <c r="M121" s="369" t="str">
        <f t="shared" si="111"/>
        <v/>
      </c>
      <c r="N121" s="369" t="str">
        <f t="shared" si="111"/>
        <v/>
      </c>
      <c r="O121" s="369" t="str">
        <f t="shared" si="111"/>
        <v/>
      </c>
      <c r="P121" s="369" t="str">
        <f t="shared" si="111"/>
        <v/>
      </c>
      <c r="Q121" s="369" t="str">
        <f t="shared" si="111"/>
        <v/>
      </c>
      <c r="R121" s="369" t="str">
        <f t="shared" si="111"/>
        <v/>
      </c>
      <c r="S121" s="369" t="str">
        <f t="shared" si="111"/>
        <v/>
      </c>
      <c r="T121" s="369" t="str">
        <f t="shared" si="111"/>
        <v/>
      </c>
      <c r="U121" s="369" t="str">
        <f t="shared" si="111"/>
        <v/>
      </c>
      <c r="V121" s="369" t="str">
        <f t="shared" si="111"/>
        <v/>
      </c>
      <c r="W121" s="369" t="str">
        <f t="shared" si="111"/>
        <v/>
      </c>
      <c r="X121" s="369" t="str">
        <f t="shared" si="111"/>
        <v/>
      </c>
      <c r="Y121" s="369" t="str">
        <f t="shared" si="111"/>
        <v/>
      </c>
      <c r="Z121" s="369" t="str">
        <f t="shared" si="111"/>
        <v/>
      </c>
      <c r="AA121" s="369" t="str">
        <f t="shared" si="111"/>
        <v/>
      </c>
      <c r="AB121" s="370" t="str">
        <f t="shared" si="111"/>
        <v/>
      </c>
      <c r="AC121" s="6"/>
    </row>
    <row r="122" spans="2:29" x14ac:dyDescent="0.25">
      <c r="B122" s="777"/>
      <c r="C122" s="352">
        <f t="shared" si="99"/>
        <v>169</v>
      </c>
      <c r="D122" s="369" t="str">
        <f t="shared" ref="D122:AB122" si="112">IF(D70&lt;&gt;"",D70*D$107*$C122,"")</f>
        <v/>
      </c>
      <c r="E122" s="369" t="str">
        <f t="shared" si="112"/>
        <v/>
      </c>
      <c r="F122" s="369" t="str">
        <f t="shared" si="112"/>
        <v/>
      </c>
      <c r="G122" s="369" t="str">
        <f t="shared" si="112"/>
        <v/>
      </c>
      <c r="H122" s="369" t="str">
        <f t="shared" si="112"/>
        <v/>
      </c>
      <c r="I122" s="369" t="str">
        <f t="shared" si="112"/>
        <v/>
      </c>
      <c r="J122" s="369" t="str">
        <f t="shared" si="112"/>
        <v/>
      </c>
      <c r="K122" s="369" t="str">
        <f t="shared" si="112"/>
        <v/>
      </c>
      <c r="L122" s="369" t="str">
        <f t="shared" si="112"/>
        <v/>
      </c>
      <c r="M122" s="369" t="str">
        <f t="shared" si="112"/>
        <v/>
      </c>
      <c r="N122" s="369">
        <f t="shared" si="112"/>
        <v>67.599999999999994</v>
      </c>
      <c r="O122" s="369" t="str">
        <f t="shared" si="112"/>
        <v/>
      </c>
      <c r="P122" s="369" t="str">
        <f t="shared" si="112"/>
        <v/>
      </c>
      <c r="Q122" s="369" t="str">
        <f t="shared" si="112"/>
        <v/>
      </c>
      <c r="R122" s="369" t="str">
        <f t="shared" si="112"/>
        <v/>
      </c>
      <c r="S122" s="369" t="str">
        <f t="shared" si="112"/>
        <v/>
      </c>
      <c r="T122" s="369" t="str">
        <f t="shared" si="112"/>
        <v/>
      </c>
      <c r="U122" s="369" t="str">
        <f t="shared" si="112"/>
        <v/>
      </c>
      <c r="V122" s="369" t="str">
        <f t="shared" si="112"/>
        <v/>
      </c>
      <c r="W122" s="369" t="str">
        <f t="shared" si="112"/>
        <v/>
      </c>
      <c r="X122" s="369" t="str">
        <f t="shared" si="112"/>
        <v/>
      </c>
      <c r="Y122" s="369" t="str">
        <f t="shared" si="112"/>
        <v/>
      </c>
      <c r="Z122" s="369" t="str">
        <f t="shared" si="112"/>
        <v/>
      </c>
      <c r="AA122" s="369" t="str">
        <f t="shared" si="112"/>
        <v/>
      </c>
      <c r="AB122" s="370" t="str">
        <f t="shared" si="112"/>
        <v/>
      </c>
      <c r="AC122" s="6"/>
    </row>
    <row r="123" spans="2:29" x14ac:dyDescent="0.25">
      <c r="B123" s="777"/>
      <c r="C123" s="352">
        <f t="shared" si="99"/>
        <v>170</v>
      </c>
      <c r="D123" s="369" t="str">
        <f t="shared" ref="D123:AB123" si="113">IF(D71&lt;&gt;"",D71*D$107*$C123,"")</f>
        <v/>
      </c>
      <c r="E123" s="369" t="str">
        <f t="shared" si="113"/>
        <v/>
      </c>
      <c r="F123" s="369">
        <f t="shared" si="113"/>
        <v>48.571428571428569</v>
      </c>
      <c r="G123" s="369" t="str">
        <f t="shared" si="113"/>
        <v/>
      </c>
      <c r="H123" s="369">
        <f t="shared" si="113"/>
        <v>160.28571428571428</v>
      </c>
      <c r="I123" s="369">
        <f t="shared" si="113"/>
        <v>55.857142857142854</v>
      </c>
      <c r="J123" s="369">
        <f t="shared" si="113"/>
        <v>58.285714285714285</v>
      </c>
      <c r="K123" s="369">
        <f t="shared" si="113"/>
        <v>60.714285714285715</v>
      </c>
      <c r="L123" s="369" t="str">
        <f t="shared" si="113"/>
        <v/>
      </c>
      <c r="M123" s="369" t="str">
        <f t="shared" si="113"/>
        <v/>
      </c>
      <c r="N123" s="369" t="str">
        <f t="shared" si="113"/>
        <v/>
      </c>
      <c r="O123" s="369" t="str">
        <f t="shared" si="113"/>
        <v/>
      </c>
      <c r="P123" s="369" t="str">
        <f t="shared" si="113"/>
        <v/>
      </c>
      <c r="Q123" s="369" t="str">
        <f t="shared" si="113"/>
        <v/>
      </c>
      <c r="R123" s="369" t="str">
        <f t="shared" si="113"/>
        <v/>
      </c>
      <c r="S123" s="369" t="str">
        <f t="shared" si="113"/>
        <v/>
      </c>
      <c r="T123" s="369" t="str">
        <f t="shared" si="113"/>
        <v/>
      </c>
      <c r="U123" s="369" t="str">
        <f t="shared" si="113"/>
        <v/>
      </c>
      <c r="V123" s="369" t="str">
        <f t="shared" si="113"/>
        <v/>
      </c>
      <c r="W123" s="369" t="str">
        <f t="shared" si="113"/>
        <v/>
      </c>
      <c r="X123" s="369" t="str">
        <f t="shared" si="113"/>
        <v/>
      </c>
      <c r="Y123" s="369" t="str">
        <f t="shared" si="113"/>
        <v/>
      </c>
      <c r="Z123" s="369" t="str">
        <f t="shared" si="113"/>
        <v/>
      </c>
      <c r="AA123" s="369" t="str">
        <f t="shared" si="113"/>
        <v/>
      </c>
      <c r="AB123" s="370" t="str">
        <f t="shared" si="113"/>
        <v/>
      </c>
      <c r="AC123" s="6"/>
    </row>
    <row r="124" spans="2:29" x14ac:dyDescent="0.25">
      <c r="B124" s="777"/>
      <c r="C124" s="352">
        <f t="shared" si="99"/>
        <v>171</v>
      </c>
      <c r="D124" s="369" t="str">
        <f t="shared" ref="D124:AB124" si="114">IF(D72&lt;&gt;"",D72*D$107*$C124,"")</f>
        <v/>
      </c>
      <c r="E124" s="369" t="str">
        <f t="shared" si="114"/>
        <v/>
      </c>
      <c r="F124" s="369" t="str">
        <f t="shared" si="114"/>
        <v/>
      </c>
      <c r="G124" s="369" t="str">
        <f t="shared" si="114"/>
        <v/>
      </c>
      <c r="H124" s="369" t="str">
        <f t="shared" si="114"/>
        <v/>
      </c>
      <c r="I124" s="369" t="str">
        <f t="shared" si="114"/>
        <v/>
      </c>
      <c r="J124" s="369">
        <f t="shared" si="114"/>
        <v>58.628571428571426</v>
      </c>
      <c r="K124" s="369" t="str">
        <f t="shared" si="114"/>
        <v/>
      </c>
      <c r="L124" s="369" t="str">
        <f t="shared" si="114"/>
        <v/>
      </c>
      <c r="M124" s="369" t="str">
        <f t="shared" si="114"/>
        <v/>
      </c>
      <c r="N124" s="369" t="str">
        <f t="shared" si="114"/>
        <v/>
      </c>
      <c r="O124" s="369" t="str">
        <f t="shared" si="114"/>
        <v/>
      </c>
      <c r="P124" s="369" t="str">
        <f t="shared" si="114"/>
        <v/>
      </c>
      <c r="Q124" s="369" t="str">
        <f t="shared" si="114"/>
        <v/>
      </c>
      <c r="R124" s="369" t="str">
        <f t="shared" si="114"/>
        <v/>
      </c>
      <c r="S124" s="369" t="str">
        <f t="shared" si="114"/>
        <v/>
      </c>
      <c r="T124" s="369" t="str">
        <f t="shared" si="114"/>
        <v/>
      </c>
      <c r="U124" s="369" t="str">
        <f t="shared" si="114"/>
        <v/>
      </c>
      <c r="V124" s="369" t="str">
        <f t="shared" si="114"/>
        <v/>
      </c>
      <c r="W124" s="369" t="str">
        <f t="shared" si="114"/>
        <v/>
      </c>
      <c r="X124" s="369" t="str">
        <f t="shared" si="114"/>
        <v/>
      </c>
      <c r="Y124" s="369" t="str">
        <f t="shared" si="114"/>
        <v/>
      </c>
      <c r="Z124" s="369" t="str">
        <f t="shared" si="114"/>
        <v/>
      </c>
      <c r="AA124" s="369" t="str">
        <f t="shared" si="114"/>
        <v/>
      </c>
      <c r="AB124" s="370" t="str">
        <f t="shared" si="114"/>
        <v/>
      </c>
      <c r="AC124" s="6"/>
    </row>
    <row r="125" spans="2:29" x14ac:dyDescent="0.25">
      <c r="B125" s="777"/>
      <c r="C125" s="352">
        <f t="shared" si="99"/>
        <v>172</v>
      </c>
      <c r="D125" s="369" t="str">
        <f t="shared" ref="D125:AB125" si="115">IF(D73&lt;&gt;"",D73*D$107*$C125,"")</f>
        <v/>
      </c>
      <c r="E125" s="369" t="str">
        <f t="shared" si="115"/>
        <v/>
      </c>
      <c r="F125" s="369" t="str">
        <f t="shared" si="115"/>
        <v/>
      </c>
      <c r="G125" s="369" t="str">
        <f t="shared" si="115"/>
        <v/>
      </c>
      <c r="H125" s="369" t="str">
        <f t="shared" si="115"/>
        <v/>
      </c>
      <c r="I125" s="369" t="str">
        <f t="shared" si="115"/>
        <v/>
      </c>
      <c r="J125" s="369" t="str">
        <f t="shared" si="115"/>
        <v/>
      </c>
      <c r="K125" s="369">
        <f t="shared" si="115"/>
        <v>61.428571428571431</v>
      </c>
      <c r="L125" s="369" t="str">
        <f t="shared" si="115"/>
        <v/>
      </c>
      <c r="M125" s="369" t="str">
        <f t="shared" si="115"/>
        <v/>
      </c>
      <c r="N125" s="369" t="str">
        <f t="shared" si="115"/>
        <v/>
      </c>
      <c r="O125" s="369" t="str">
        <f t="shared" si="115"/>
        <v/>
      </c>
      <c r="P125" s="369" t="str">
        <f t="shared" si="115"/>
        <v/>
      </c>
      <c r="Q125" s="369" t="str">
        <f t="shared" si="115"/>
        <v/>
      </c>
      <c r="R125" s="369" t="str">
        <f t="shared" si="115"/>
        <v/>
      </c>
      <c r="S125" s="369" t="str">
        <f t="shared" si="115"/>
        <v/>
      </c>
      <c r="T125" s="369" t="str">
        <f t="shared" si="115"/>
        <v/>
      </c>
      <c r="U125" s="369" t="str">
        <f t="shared" si="115"/>
        <v/>
      </c>
      <c r="V125" s="369" t="str">
        <f t="shared" si="115"/>
        <v/>
      </c>
      <c r="W125" s="369" t="str">
        <f t="shared" si="115"/>
        <v/>
      </c>
      <c r="X125" s="369" t="str">
        <f t="shared" si="115"/>
        <v/>
      </c>
      <c r="Y125" s="369" t="str">
        <f t="shared" si="115"/>
        <v/>
      </c>
      <c r="Z125" s="369" t="str">
        <f t="shared" si="115"/>
        <v/>
      </c>
      <c r="AA125" s="369" t="str">
        <f t="shared" si="115"/>
        <v/>
      </c>
      <c r="AB125" s="370" t="str">
        <f t="shared" si="115"/>
        <v/>
      </c>
      <c r="AC125" s="6"/>
    </row>
    <row r="126" spans="2:29" x14ac:dyDescent="0.25">
      <c r="B126" s="777"/>
      <c r="C126" s="352">
        <f t="shared" si="99"/>
        <v>173</v>
      </c>
      <c r="D126" s="369" t="str">
        <f t="shared" ref="D126:AB126" si="116">IF(D74&lt;&gt;"",D74*D$107*$C126,"")</f>
        <v/>
      </c>
      <c r="E126" s="369" t="str">
        <f t="shared" si="116"/>
        <v/>
      </c>
      <c r="F126" s="369" t="str">
        <f t="shared" si="116"/>
        <v/>
      </c>
      <c r="G126" s="369">
        <f t="shared" si="116"/>
        <v>51.9</v>
      </c>
      <c r="H126" s="369" t="str">
        <f t="shared" si="116"/>
        <v/>
      </c>
      <c r="I126" s="369" t="str">
        <f t="shared" si="116"/>
        <v/>
      </c>
      <c r="J126" s="369" t="str">
        <f t="shared" si="116"/>
        <v/>
      </c>
      <c r="K126" s="369" t="str">
        <f t="shared" si="116"/>
        <v/>
      </c>
      <c r="L126" s="369" t="str">
        <f t="shared" si="116"/>
        <v/>
      </c>
      <c r="M126" s="369" t="str">
        <f t="shared" si="116"/>
        <v/>
      </c>
      <c r="N126" s="369" t="str">
        <f t="shared" si="116"/>
        <v/>
      </c>
      <c r="O126" s="369" t="str">
        <f t="shared" si="116"/>
        <v/>
      </c>
      <c r="P126" s="369" t="str">
        <f t="shared" si="116"/>
        <v/>
      </c>
      <c r="Q126" s="369" t="str">
        <f t="shared" si="116"/>
        <v/>
      </c>
      <c r="R126" s="369" t="str">
        <f t="shared" si="116"/>
        <v/>
      </c>
      <c r="S126" s="369" t="str">
        <f t="shared" si="116"/>
        <v/>
      </c>
      <c r="T126" s="369" t="str">
        <f t="shared" si="116"/>
        <v/>
      </c>
      <c r="U126" s="369" t="str">
        <f t="shared" si="116"/>
        <v/>
      </c>
      <c r="V126" s="369" t="str">
        <f t="shared" si="116"/>
        <v/>
      </c>
      <c r="W126" s="369" t="str">
        <f t="shared" si="116"/>
        <v/>
      </c>
      <c r="X126" s="369" t="str">
        <f t="shared" si="116"/>
        <v/>
      </c>
      <c r="Y126" s="369" t="str">
        <f t="shared" si="116"/>
        <v/>
      </c>
      <c r="Z126" s="369" t="str">
        <f t="shared" si="116"/>
        <v/>
      </c>
      <c r="AA126" s="369" t="str">
        <f t="shared" si="116"/>
        <v/>
      </c>
      <c r="AB126" s="370" t="str">
        <f t="shared" si="116"/>
        <v/>
      </c>
      <c r="AC126" s="6"/>
    </row>
    <row r="127" spans="2:29" x14ac:dyDescent="0.25">
      <c r="B127" s="777"/>
      <c r="C127" s="352">
        <f t="shared" si="99"/>
        <v>174</v>
      </c>
      <c r="D127" s="369" t="str">
        <f t="shared" ref="D127:AB127" si="117">IF(D75&lt;&gt;"",D75*D$107*$C127,"")</f>
        <v/>
      </c>
      <c r="E127" s="369" t="str">
        <f t="shared" si="117"/>
        <v/>
      </c>
      <c r="F127" s="369">
        <f t="shared" si="117"/>
        <v>49.714285714285708</v>
      </c>
      <c r="G127" s="369">
        <f t="shared" si="117"/>
        <v>52.199999999999996</v>
      </c>
      <c r="H127" s="369">
        <f t="shared" si="117"/>
        <v>54.685714285714283</v>
      </c>
      <c r="I127" s="369" t="str">
        <f t="shared" si="117"/>
        <v/>
      </c>
      <c r="J127" s="369" t="str">
        <f t="shared" si="117"/>
        <v/>
      </c>
      <c r="K127" s="369" t="str">
        <f t="shared" si="117"/>
        <v/>
      </c>
      <c r="L127" s="369" t="str">
        <f t="shared" si="117"/>
        <v/>
      </c>
      <c r="M127" s="369" t="str">
        <f t="shared" si="117"/>
        <v/>
      </c>
      <c r="N127" s="369" t="str">
        <f t="shared" si="117"/>
        <v/>
      </c>
      <c r="O127" s="369" t="str">
        <f t="shared" si="117"/>
        <v/>
      </c>
      <c r="P127" s="369" t="str">
        <f t="shared" si="117"/>
        <v/>
      </c>
      <c r="Q127" s="369" t="str">
        <f t="shared" si="117"/>
        <v/>
      </c>
      <c r="R127" s="369" t="str">
        <f t="shared" si="117"/>
        <v/>
      </c>
      <c r="S127" s="369" t="str">
        <f t="shared" si="117"/>
        <v/>
      </c>
      <c r="T127" s="369" t="str">
        <f t="shared" si="117"/>
        <v/>
      </c>
      <c r="U127" s="369" t="str">
        <f t="shared" si="117"/>
        <v/>
      </c>
      <c r="V127" s="369" t="str">
        <f t="shared" si="117"/>
        <v/>
      </c>
      <c r="W127" s="369" t="str">
        <f t="shared" si="117"/>
        <v/>
      </c>
      <c r="X127" s="369" t="str">
        <f t="shared" si="117"/>
        <v/>
      </c>
      <c r="Y127" s="369" t="str">
        <f t="shared" si="117"/>
        <v/>
      </c>
      <c r="Z127" s="369" t="str">
        <f t="shared" si="117"/>
        <v/>
      </c>
      <c r="AA127" s="369" t="str">
        <f t="shared" si="117"/>
        <v/>
      </c>
      <c r="AB127" s="370" t="str">
        <f t="shared" si="117"/>
        <v/>
      </c>
      <c r="AC127" s="6"/>
    </row>
    <row r="128" spans="2:29" x14ac:dyDescent="0.25">
      <c r="B128" s="777"/>
      <c r="C128" s="352">
        <f t="shared" si="99"/>
        <v>175</v>
      </c>
      <c r="D128" s="369" t="str">
        <f t="shared" ref="D128:AB128" si="118">IF(D76&lt;&gt;"",D76*D$107*$C128,"")</f>
        <v/>
      </c>
      <c r="E128" s="369" t="str">
        <f t="shared" si="118"/>
        <v/>
      </c>
      <c r="F128" s="369" t="str">
        <f t="shared" si="118"/>
        <v/>
      </c>
      <c r="G128" s="369" t="str">
        <f t="shared" si="118"/>
        <v/>
      </c>
      <c r="H128" s="369" t="str">
        <f t="shared" si="118"/>
        <v/>
      </c>
      <c r="I128" s="369" t="str">
        <f t="shared" si="118"/>
        <v/>
      </c>
      <c r="J128" s="369" t="str">
        <f t="shared" si="118"/>
        <v/>
      </c>
      <c r="K128" s="369" t="str">
        <f t="shared" si="118"/>
        <v/>
      </c>
      <c r="L128" s="369">
        <f t="shared" si="118"/>
        <v>65</v>
      </c>
      <c r="M128" s="369" t="str">
        <f t="shared" si="118"/>
        <v/>
      </c>
      <c r="N128" s="369" t="str">
        <f t="shared" si="118"/>
        <v/>
      </c>
      <c r="O128" s="369" t="str">
        <f t="shared" si="118"/>
        <v/>
      </c>
      <c r="P128" s="369" t="str">
        <f t="shared" si="118"/>
        <v/>
      </c>
      <c r="Q128" s="369" t="str">
        <f t="shared" si="118"/>
        <v/>
      </c>
      <c r="R128" s="369" t="str">
        <f t="shared" si="118"/>
        <v/>
      </c>
      <c r="S128" s="369" t="str">
        <f t="shared" si="118"/>
        <v/>
      </c>
      <c r="T128" s="369" t="str">
        <f t="shared" si="118"/>
        <v/>
      </c>
      <c r="U128" s="369" t="str">
        <f t="shared" si="118"/>
        <v/>
      </c>
      <c r="V128" s="369" t="str">
        <f t="shared" si="118"/>
        <v/>
      </c>
      <c r="W128" s="369" t="str">
        <f t="shared" si="118"/>
        <v/>
      </c>
      <c r="X128" s="369" t="str">
        <f t="shared" si="118"/>
        <v/>
      </c>
      <c r="Y128" s="369" t="str">
        <f t="shared" si="118"/>
        <v/>
      </c>
      <c r="Z128" s="369" t="str">
        <f t="shared" si="118"/>
        <v/>
      </c>
      <c r="AA128" s="369" t="str">
        <f t="shared" si="118"/>
        <v/>
      </c>
      <c r="AB128" s="370" t="str">
        <f t="shared" si="118"/>
        <v/>
      </c>
      <c r="AC128" s="6"/>
    </row>
    <row r="129" spans="2:29" x14ac:dyDescent="0.25">
      <c r="B129" s="777"/>
      <c r="C129" s="352">
        <f t="shared" si="99"/>
        <v>176</v>
      </c>
      <c r="D129" s="369" t="str">
        <f t="shared" ref="D129:AB129" si="119">IF(D77&lt;&gt;"",D77*D$107*$C129,"")</f>
        <v/>
      </c>
      <c r="E129" s="369" t="str">
        <f t="shared" si="119"/>
        <v/>
      </c>
      <c r="F129" s="369" t="str">
        <f t="shared" si="119"/>
        <v/>
      </c>
      <c r="G129" s="369">
        <f t="shared" si="119"/>
        <v>105.6</v>
      </c>
      <c r="H129" s="369" t="str">
        <f t="shared" si="119"/>
        <v/>
      </c>
      <c r="I129" s="369">
        <f t="shared" si="119"/>
        <v>115.65714285714286</v>
      </c>
      <c r="J129" s="369" t="str">
        <f t="shared" si="119"/>
        <v/>
      </c>
      <c r="K129" s="369">
        <f t="shared" si="119"/>
        <v>125.71428571428572</v>
      </c>
      <c r="L129" s="369" t="str">
        <f t="shared" si="119"/>
        <v/>
      </c>
      <c r="M129" s="369" t="str">
        <f t="shared" si="119"/>
        <v/>
      </c>
      <c r="N129" s="369" t="str">
        <f t="shared" si="119"/>
        <v/>
      </c>
      <c r="O129" s="369" t="str">
        <f t="shared" si="119"/>
        <v/>
      </c>
      <c r="P129" s="369" t="str">
        <f t="shared" si="119"/>
        <v/>
      </c>
      <c r="Q129" s="369" t="str">
        <f t="shared" si="119"/>
        <v/>
      </c>
      <c r="R129" s="369" t="str">
        <f t="shared" si="119"/>
        <v/>
      </c>
      <c r="S129" s="369" t="str">
        <f t="shared" si="119"/>
        <v/>
      </c>
      <c r="T129" s="369" t="str">
        <f t="shared" si="119"/>
        <v/>
      </c>
      <c r="U129" s="369" t="str">
        <f t="shared" si="119"/>
        <v/>
      </c>
      <c r="V129" s="369" t="str">
        <f t="shared" si="119"/>
        <v/>
      </c>
      <c r="W129" s="369" t="str">
        <f t="shared" si="119"/>
        <v/>
      </c>
      <c r="X129" s="369" t="str">
        <f t="shared" si="119"/>
        <v/>
      </c>
      <c r="Y129" s="369" t="str">
        <f t="shared" si="119"/>
        <v/>
      </c>
      <c r="Z129" s="369" t="str">
        <f t="shared" si="119"/>
        <v/>
      </c>
      <c r="AA129" s="369" t="str">
        <f t="shared" si="119"/>
        <v/>
      </c>
      <c r="AB129" s="370" t="str">
        <f t="shared" si="119"/>
        <v/>
      </c>
      <c r="AC129" s="6"/>
    </row>
    <row r="130" spans="2:29" x14ac:dyDescent="0.25">
      <c r="B130" s="777"/>
      <c r="C130" s="352">
        <f t="shared" si="99"/>
        <v>177</v>
      </c>
      <c r="D130" s="369" t="str">
        <f t="shared" ref="D130:AB130" si="120">IF(D78&lt;&gt;"",D78*D$107*$C130,"")</f>
        <v/>
      </c>
      <c r="E130" s="369" t="str">
        <f t="shared" si="120"/>
        <v/>
      </c>
      <c r="F130" s="369" t="str">
        <f t="shared" si="120"/>
        <v/>
      </c>
      <c r="G130" s="369" t="str">
        <f t="shared" si="120"/>
        <v/>
      </c>
      <c r="H130" s="369" t="str">
        <f t="shared" si="120"/>
        <v/>
      </c>
      <c r="I130" s="369" t="str">
        <f t="shared" si="120"/>
        <v/>
      </c>
      <c r="J130" s="369" t="str">
        <f t="shared" si="120"/>
        <v/>
      </c>
      <c r="K130" s="369" t="str">
        <f t="shared" si="120"/>
        <v/>
      </c>
      <c r="L130" s="369" t="str">
        <f t="shared" si="120"/>
        <v/>
      </c>
      <c r="M130" s="369" t="str">
        <f t="shared" si="120"/>
        <v/>
      </c>
      <c r="N130" s="369" t="str">
        <f t="shared" si="120"/>
        <v/>
      </c>
      <c r="O130" s="369" t="str">
        <f t="shared" si="120"/>
        <v/>
      </c>
      <c r="P130" s="369" t="str">
        <f t="shared" si="120"/>
        <v/>
      </c>
      <c r="Q130" s="369" t="str">
        <f t="shared" si="120"/>
        <v/>
      </c>
      <c r="R130" s="369" t="str">
        <f t="shared" si="120"/>
        <v/>
      </c>
      <c r="S130" s="369" t="str">
        <f t="shared" si="120"/>
        <v/>
      </c>
      <c r="T130" s="369" t="str">
        <f t="shared" si="120"/>
        <v/>
      </c>
      <c r="U130" s="369" t="str">
        <f t="shared" si="120"/>
        <v/>
      </c>
      <c r="V130" s="369" t="str">
        <f t="shared" si="120"/>
        <v/>
      </c>
      <c r="W130" s="369" t="str">
        <f t="shared" si="120"/>
        <v/>
      </c>
      <c r="X130" s="369" t="str">
        <f t="shared" si="120"/>
        <v/>
      </c>
      <c r="Y130" s="369" t="str">
        <f t="shared" si="120"/>
        <v/>
      </c>
      <c r="Z130" s="369" t="str">
        <f t="shared" si="120"/>
        <v/>
      </c>
      <c r="AA130" s="369" t="str">
        <f t="shared" si="120"/>
        <v/>
      </c>
      <c r="AB130" s="370" t="str">
        <f t="shared" si="120"/>
        <v/>
      </c>
      <c r="AC130" s="6"/>
    </row>
    <row r="131" spans="2:29" x14ac:dyDescent="0.25">
      <c r="B131" s="777"/>
      <c r="C131" s="352">
        <f t="shared" si="99"/>
        <v>178</v>
      </c>
      <c r="D131" s="369" t="str">
        <f t="shared" ref="D131:AB131" si="121">IF(D79&lt;&gt;"",D79*D$107*$C131,"")</f>
        <v/>
      </c>
      <c r="E131" s="369" t="str">
        <f t="shared" si="121"/>
        <v/>
      </c>
      <c r="F131" s="369" t="str">
        <f t="shared" si="121"/>
        <v/>
      </c>
      <c r="G131" s="369">
        <f t="shared" si="121"/>
        <v>53.4</v>
      </c>
      <c r="H131" s="369" t="str">
        <f t="shared" si="121"/>
        <v/>
      </c>
      <c r="I131" s="369">
        <f t="shared" si="121"/>
        <v>58.485714285714288</v>
      </c>
      <c r="J131" s="369" t="str">
        <f t="shared" si="121"/>
        <v/>
      </c>
      <c r="K131" s="369">
        <f t="shared" si="121"/>
        <v>63.571428571428569</v>
      </c>
      <c r="L131" s="369" t="str">
        <f t="shared" si="121"/>
        <v/>
      </c>
      <c r="M131" s="369" t="str">
        <f t="shared" si="121"/>
        <v/>
      </c>
      <c r="N131" s="369" t="str">
        <f t="shared" si="121"/>
        <v/>
      </c>
      <c r="O131" s="369" t="str">
        <f t="shared" si="121"/>
        <v/>
      </c>
      <c r="P131" s="369" t="str">
        <f t="shared" si="121"/>
        <v/>
      </c>
      <c r="Q131" s="369" t="str">
        <f t="shared" si="121"/>
        <v/>
      </c>
      <c r="R131" s="369" t="str">
        <f t="shared" si="121"/>
        <v/>
      </c>
      <c r="S131" s="369" t="str">
        <f t="shared" si="121"/>
        <v/>
      </c>
      <c r="T131" s="369" t="str">
        <f t="shared" si="121"/>
        <v/>
      </c>
      <c r="U131" s="369" t="str">
        <f t="shared" si="121"/>
        <v/>
      </c>
      <c r="V131" s="369" t="str">
        <f t="shared" si="121"/>
        <v/>
      </c>
      <c r="W131" s="369" t="str">
        <f t="shared" si="121"/>
        <v/>
      </c>
      <c r="X131" s="369" t="str">
        <f t="shared" si="121"/>
        <v/>
      </c>
      <c r="Y131" s="369" t="str">
        <f t="shared" si="121"/>
        <v/>
      </c>
      <c r="Z131" s="369" t="str">
        <f t="shared" si="121"/>
        <v/>
      </c>
      <c r="AA131" s="369" t="str">
        <f t="shared" si="121"/>
        <v/>
      </c>
      <c r="AB131" s="370" t="str">
        <f t="shared" si="121"/>
        <v/>
      </c>
      <c r="AC131" s="6"/>
    </row>
    <row r="132" spans="2:29" x14ac:dyDescent="0.25">
      <c r="B132" s="777"/>
      <c r="C132" s="352">
        <f t="shared" si="99"/>
        <v>179</v>
      </c>
      <c r="D132" s="369" t="str">
        <f t="shared" ref="D132:AB132" si="122">IF(D80&lt;&gt;"",D80*D$107*$C132,"")</f>
        <v/>
      </c>
      <c r="E132" s="369" t="str">
        <f t="shared" si="122"/>
        <v/>
      </c>
      <c r="F132" s="369" t="str">
        <f t="shared" si="122"/>
        <v/>
      </c>
      <c r="G132" s="369" t="str">
        <f t="shared" si="122"/>
        <v/>
      </c>
      <c r="H132" s="369" t="str">
        <f t="shared" si="122"/>
        <v/>
      </c>
      <c r="I132" s="369" t="str">
        <f t="shared" si="122"/>
        <v/>
      </c>
      <c r="J132" s="369" t="str">
        <f t="shared" si="122"/>
        <v/>
      </c>
      <c r="K132" s="369" t="str">
        <f t="shared" si="122"/>
        <v/>
      </c>
      <c r="L132" s="369" t="str">
        <f t="shared" si="122"/>
        <v/>
      </c>
      <c r="M132" s="369" t="str">
        <f t="shared" si="122"/>
        <v/>
      </c>
      <c r="N132" s="369" t="str">
        <f t="shared" si="122"/>
        <v/>
      </c>
      <c r="O132" s="369" t="str">
        <f t="shared" si="122"/>
        <v/>
      </c>
      <c r="P132" s="369" t="str">
        <f t="shared" si="122"/>
        <v/>
      </c>
      <c r="Q132" s="369" t="str">
        <f t="shared" si="122"/>
        <v/>
      </c>
      <c r="R132" s="369" t="str">
        <f t="shared" si="122"/>
        <v/>
      </c>
      <c r="S132" s="369" t="str">
        <f t="shared" si="122"/>
        <v/>
      </c>
      <c r="T132" s="369" t="str">
        <f t="shared" si="122"/>
        <v/>
      </c>
      <c r="U132" s="369" t="str">
        <f t="shared" si="122"/>
        <v/>
      </c>
      <c r="V132" s="369" t="str">
        <f t="shared" si="122"/>
        <v/>
      </c>
      <c r="W132" s="369" t="str">
        <f t="shared" si="122"/>
        <v/>
      </c>
      <c r="X132" s="369" t="str">
        <f t="shared" si="122"/>
        <v/>
      </c>
      <c r="Y132" s="369" t="str">
        <f t="shared" si="122"/>
        <v/>
      </c>
      <c r="Z132" s="369" t="str">
        <f t="shared" si="122"/>
        <v/>
      </c>
      <c r="AA132" s="369" t="str">
        <f t="shared" si="122"/>
        <v/>
      </c>
      <c r="AB132" s="370" t="str">
        <f t="shared" si="122"/>
        <v/>
      </c>
      <c r="AC132" s="6"/>
    </row>
    <row r="133" spans="2:29" x14ac:dyDescent="0.25">
      <c r="B133" s="777"/>
      <c r="C133" s="352">
        <f t="shared" si="99"/>
        <v>180</v>
      </c>
      <c r="D133" s="369" t="str">
        <f t="shared" ref="D133:AB133" si="123">IF(D81&lt;&gt;"",D81*D$107*$C133,"")</f>
        <v/>
      </c>
      <c r="E133" s="369" t="str">
        <f t="shared" si="123"/>
        <v/>
      </c>
      <c r="F133" s="369">
        <f t="shared" si="123"/>
        <v>51.428571428571423</v>
      </c>
      <c r="G133" s="369" t="str">
        <f t="shared" si="123"/>
        <v/>
      </c>
      <c r="H133" s="369">
        <f t="shared" si="123"/>
        <v>113.14285714285714</v>
      </c>
      <c r="I133" s="369" t="str">
        <f t="shared" si="123"/>
        <v/>
      </c>
      <c r="J133" s="369" t="str">
        <f t="shared" si="123"/>
        <v/>
      </c>
      <c r="K133" s="369">
        <f t="shared" si="123"/>
        <v>64.285714285714292</v>
      </c>
      <c r="L133" s="369" t="str">
        <f t="shared" si="123"/>
        <v/>
      </c>
      <c r="M133" s="369" t="str">
        <f t="shared" si="123"/>
        <v/>
      </c>
      <c r="N133" s="369" t="str">
        <f t="shared" si="123"/>
        <v/>
      </c>
      <c r="O133" s="369" t="str">
        <f t="shared" si="123"/>
        <v/>
      </c>
      <c r="P133" s="369" t="str">
        <f t="shared" si="123"/>
        <v/>
      </c>
      <c r="Q133" s="369" t="str">
        <f t="shared" si="123"/>
        <v/>
      </c>
      <c r="R133" s="369" t="str">
        <f t="shared" si="123"/>
        <v/>
      </c>
      <c r="S133" s="369" t="str">
        <f t="shared" si="123"/>
        <v/>
      </c>
      <c r="T133" s="369" t="str">
        <f t="shared" si="123"/>
        <v/>
      </c>
      <c r="U133" s="369" t="str">
        <f t="shared" si="123"/>
        <v/>
      </c>
      <c r="V133" s="369" t="str">
        <f t="shared" si="123"/>
        <v/>
      </c>
      <c r="W133" s="369" t="str">
        <f t="shared" si="123"/>
        <v/>
      </c>
      <c r="X133" s="369" t="str">
        <f t="shared" si="123"/>
        <v/>
      </c>
      <c r="Y133" s="369" t="str">
        <f t="shared" si="123"/>
        <v/>
      </c>
      <c r="Z133" s="369" t="str">
        <f t="shared" si="123"/>
        <v/>
      </c>
      <c r="AA133" s="369" t="str">
        <f t="shared" si="123"/>
        <v/>
      </c>
      <c r="AB133" s="370" t="str">
        <f t="shared" si="123"/>
        <v/>
      </c>
      <c r="AC133" s="6"/>
    </row>
    <row r="134" spans="2:29" x14ac:dyDescent="0.25">
      <c r="B134" s="777"/>
      <c r="C134" s="352">
        <f t="shared" si="99"/>
        <v>181</v>
      </c>
      <c r="D134" s="369" t="str">
        <f t="shared" ref="D134:AB134" si="124">IF(D82&lt;&gt;"",D82*D$107*$C134,"")</f>
        <v/>
      </c>
      <c r="E134" s="369" t="str">
        <f t="shared" si="124"/>
        <v/>
      </c>
      <c r="F134" s="369" t="str">
        <f t="shared" si="124"/>
        <v/>
      </c>
      <c r="G134" s="369" t="str">
        <f t="shared" si="124"/>
        <v/>
      </c>
      <c r="H134" s="369" t="str">
        <f t="shared" si="124"/>
        <v/>
      </c>
      <c r="I134" s="369" t="str">
        <f t="shared" si="124"/>
        <v/>
      </c>
      <c r="J134" s="369" t="str">
        <f t="shared" si="124"/>
        <v/>
      </c>
      <c r="K134" s="369" t="str">
        <f t="shared" si="124"/>
        <v/>
      </c>
      <c r="L134" s="369" t="str">
        <f t="shared" si="124"/>
        <v/>
      </c>
      <c r="M134" s="369" t="str">
        <f t="shared" si="124"/>
        <v/>
      </c>
      <c r="N134" s="369" t="str">
        <f t="shared" si="124"/>
        <v/>
      </c>
      <c r="O134" s="369" t="str">
        <f t="shared" si="124"/>
        <v/>
      </c>
      <c r="P134" s="369" t="str">
        <f t="shared" si="124"/>
        <v/>
      </c>
      <c r="Q134" s="369" t="str">
        <f t="shared" si="124"/>
        <v/>
      </c>
      <c r="R134" s="369" t="str">
        <f t="shared" si="124"/>
        <v/>
      </c>
      <c r="S134" s="369" t="str">
        <f t="shared" si="124"/>
        <v/>
      </c>
      <c r="T134" s="369" t="str">
        <f t="shared" si="124"/>
        <v/>
      </c>
      <c r="U134" s="369" t="str">
        <f t="shared" si="124"/>
        <v/>
      </c>
      <c r="V134" s="369" t="str">
        <f t="shared" si="124"/>
        <v/>
      </c>
      <c r="W134" s="369" t="str">
        <f t="shared" si="124"/>
        <v/>
      </c>
      <c r="X134" s="369" t="str">
        <f t="shared" si="124"/>
        <v/>
      </c>
      <c r="Y134" s="369" t="str">
        <f t="shared" si="124"/>
        <v/>
      </c>
      <c r="Z134" s="369" t="str">
        <f t="shared" si="124"/>
        <v/>
      </c>
      <c r="AA134" s="369" t="str">
        <f t="shared" si="124"/>
        <v/>
      </c>
      <c r="AB134" s="370" t="str">
        <f t="shared" si="124"/>
        <v/>
      </c>
      <c r="AC134" s="6"/>
    </row>
    <row r="135" spans="2:29" x14ac:dyDescent="0.25">
      <c r="B135" s="777"/>
      <c r="C135" s="352">
        <f t="shared" si="99"/>
        <v>182</v>
      </c>
      <c r="D135" s="369" t="str">
        <f t="shared" ref="D135:AB135" si="125">IF(D83&lt;&gt;"",D83*D$107*$C135,"")</f>
        <v/>
      </c>
      <c r="E135" s="369">
        <f t="shared" si="125"/>
        <v>49.4</v>
      </c>
      <c r="F135" s="369">
        <f t="shared" si="125"/>
        <v>52</v>
      </c>
      <c r="G135" s="369" t="str">
        <f t="shared" si="125"/>
        <v/>
      </c>
      <c r="H135" s="369" t="str">
        <f t="shared" si="125"/>
        <v/>
      </c>
      <c r="I135" s="369" t="str">
        <f t="shared" si="125"/>
        <v/>
      </c>
      <c r="J135" s="369">
        <f t="shared" si="125"/>
        <v>124.8</v>
      </c>
      <c r="K135" s="369" t="str">
        <f t="shared" si="125"/>
        <v/>
      </c>
      <c r="L135" s="369">
        <f t="shared" si="125"/>
        <v>67.600000000000009</v>
      </c>
      <c r="M135" s="369" t="str">
        <f t="shared" si="125"/>
        <v/>
      </c>
      <c r="N135" s="369" t="str">
        <f t="shared" si="125"/>
        <v/>
      </c>
      <c r="O135" s="369" t="str">
        <f t="shared" si="125"/>
        <v/>
      </c>
      <c r="P135" s="369" t="str">
        <f t="shared" si="125"/>
        <v/>
      </c>
      <c r="Q135" s="369" t="str">
        <f t="shared" si="125"/>
        <v/>
      </c>
      <c r="R135" s="369" t="str">
        <f t="shared" si="125"/>
        <v/>
      </c>
      <c r="S135" s="369" t="str">
        <f t="shared" si="125"/>
        <v/>
      </c>
      <c r="T135" s="369" t="str">
        <f t="shared" si="125"/>
        <v/>
      </c>
      <c r="U135" s="369" t="str">
        <f t="shared" si="125"/>
        <v/>
      </c>
      <c r="V135" s="369" t="str">
        <f t="shared" si="125"/>
        <v/>
      </c>
      <c r="W135" s="369" t="str">
        <f t="shared" si="125"/>
        <v/>
      </c>
      <c r="X135" s="369" t="str">
        <f t="shared" si="125"/>
        <v/>
      </c>
      <c r="Y135" s="369" t="str">
        <f t="shared" si="125"/>
        <v/>
      </c>
      <c r="Z135" s="369" t="str">
        <f t="shared" si="125"/>
        <v/>
      </c>
      <c r="AA135" s="369" t="str">
        <f t="shared" si="125"/>
        <v/>
      </c>
      <c r="AB135" s="370" t="str">
        <f t="shared" si="125"/>
        <v/>
      </c>
      <c r="AC135" s="6"/>
    </row>
    <row r="136" spans="2:29" x14ac:dyDescent="0.25">
      <c r="B136" s="777"/>
      <c r="C136" s="352">
        <f t="shared" si="99"/>
        <v>183</v>
      </c>
      <c r="D136" s="369" t="str">
        <f t="shared" ref="D136:AB136" si="126">IF(D84&lt;&gt;"",D84*D$107*$C136,"")</f>
        <v/>
      </c>
      <c r="E136" s="369" t="str">
        <f t="shared" si="126"/>
        <v/>
      </c>
      <c r="F136" s="369">
        <f t="shared" si="126"/>
        <v>104.57142857142857</v>
      </c>
      <c r="G136" s="369" t="str">
        <f t="shared" si="126"/>
        <v/>
      </c>
      <c r="H136" s="369" t="str">
        <f t="shared" si="126"/>
        <v/>
      </c>
      <c r="I136" s="369" t="str">
        <f t="shared" si="126"/>
        <v/>
      </c>
      <c r="J136" s="369">
        <f t="shared" si="126"/>
        <v>62.74285714285714</v>
      </c>
      <c r="K136" s="369">
        <f t="shared" si="126"/>
        <v>65.357142857142861</v>
      </c>
      <c r="L136" s="369" t="str">
        <f t="shared" si="126"/>
        <v/>
      </c>
      <c r="M136" s="369" t="str">
        <f t="shared" si="126"/>
        <v/>
      </c>
      <c r="N136" s="369" t="str">
        <f t="shared" si="126"/>
        <v/>
      </c>
      <c r="O136" s="369" t="str">
        <f t="shared" si="126"/>
        <v/>
      </c>
      <c r="P136" s="369" t="str">
        <f t="shared" si="126"/>
        <v/>
      </c>
      <c r="Q136" s="369" t="str">
        <f t="shared" si="126"/>
        <v/>
      </c>
      <c r="R136" s="369" t="str">
        <f t="shared" si="126"/>
        <v/>
      </c>
      <c r="S136" s="369" t="str">
        <f t="shared" si="126"/>
        <v/>
      </c>
      <c r="T136" s="369" t="str">
        <f t="shared" si="126"/>
        <v/>
      </c>
      <c r="U136" s="369" t="str">
        <f t="shared" si="126"/>
        <v/>
      </c>
      <c r="V136" s="369" t="str">
        <f t="shared" si="126"/>
        <v/>
      </c>
      <c r="W136" s="369" t="str">
        <f t="shared" si="126"/>
        <v/>
      </c>
      <c r="X136" s="369" t="str">
        <f t="shared" si="126"/>
        <v/>
      </c>
      <c r="Y136" s="369" t="str">
        <f t="shared" si="126"/>
        <v/>
      </c>
      <c r="Z136" s="369" t="str">
        <f t="shared" si="126"/>
        <v/>
      </c>
      <c r="AA136" s="369" t="str">
        <f t="shared" si="126"/>
        <v/>
      </c>
      <c r="AB136" s="370" t="str">
        <f t="shared" si="126"/>
        <v/>
      </c>
      <c r="AC136" s="6"/>
    </row>
    <row r="137" spans="2:29" x14ac:dyDescent="0.25">
      <c r="B137" s="777"/>
      <c r="C137" s="352">
        <f t="shared" si="99"/>
        <v>184</v>
      </c>
      <c r="D137" s="369" t="str">
        <f t="shared" ref="D137:AB137" si="127">IF(D85&lt;&gt;"",D85*D$107*$C137,"")</f>
        <v/>
      </c>
      <c r="E137" s="369" t="str">
        <f t="shared" si="127"/>
        <v/>
      </c>
      <c r="F137" s="369" t="str">
        <f t="shared" si="127"/>
        <v/>
      </c>
      <c r="G137" s="369">
        <f t="shared" si="127"/>
        <v>55.199999999999996</v>
      </c>
      <c r="H137" s="369">
        <f t="shared" si="127"/>
        <v>57.828571428571429</v>
      </c>
      <c r="I137" s="369" t="str">
        <f t="shared" si="127"/>
        <v/>
      </c>
      <c r="J137" s="369" t="str">
        <f t="shared" si="127"/>
        <v/>
      </c>
      <c r="K137" s="369" t="str">
        <f t="shared" si="127"/>
        <v/>
      </c>
      <c r="L137" s="369">
        <f t="shared" si="127"/>
        <v>68.342857142857142</v>
      </c>
      <c r="M137" s="369" t="str">
        <f t="shared" si="127"/>
        <v/>
      </c>
      <c r="N137" s="369" t="str">
        <f t="shared" si="127"/>
        <v/>
      </c>
      <c r="O137" s="369" t="str">
        <f t="shared" si="127"/>
        <v/>
      </c>
      <c r="P137" s="369" t="str">
        <f t="shared" si="127"/>
        <v/>
      </c>
      <c r="Q137" s="369" t="str">
        <f t="shared" si="127"/>
        <v/>
      </c>
      <c r="R137" s="369" t="str">
        <f t="shared" si="127"/>
        <v/>
      </c>
      <c r="S137" s="369" t="str">
        <f t="shared" si="127"/>
        <v/>
      </c>
      <c r="T137" s="369" t="str">
        <f t="shared" si="127"/>
        <v/>
      </c>
      <c r="U137" s="369" t="str">
        <f t="shared" si="127"/>
        <v/>
      </c>
      <c r="V137" s="369" t="str">
        <f t="shared" si="127"/>
        <v/>
      </c>
      <c r="W137" s="369" t="str">
        <f t="shared" si="127"/>
        <v/>
      </c>
      <c r="X137" s="369" t="str">
        <f t="shared" si="127"/>
        <v/>
      </c>
      <c r="Y137" s="369" t="str">
        <f t="shared" si="127"/>
        <v/>
      </c>
      <c r="Z137" s="369" t="str">
        <f t="shared" si="127"/>
        <v/>
      </c>
      <c r="AA137" s="369" t="str">
        <f t="shared" si="127"/>
        <v/>
      </c>
      <c r="AB137" s="370" t="str">
        <f t="shared" si="127"/>
        <v/>
      </c>
      <c r="AC137" s="6"/>
    </row>
    <row r="138" spans="2:29" x14ac:dyDescent="0.25">
      <c r="B138" s="777"/>
      <c r="C138" s="352">
        <f>C137+1</f>
        <v>185</v>
      </c>
      <c r="D138" s="369" t="str">
        <f t="shared" ref="D138:AB138" si="128">IF(D86&lt;&gt;"",D86*D$107*$C138,"")</f>
        <v/>
      </c>
      <c r="E138" s="369" t="str">
        <f t="shared" si="128"/>
        <v/>
      </c>
      <c r="F138" s="369">
        <f t="shared" si="128"/>
        <v>52.857142857142854</v>
      </c>
      <c r="G138" s="369">
        <f t="shared" si="128"/>
        <v>111</v>
      </c>
      <c r="H138" s="369">
        <f t="shared" si="128"/>
        <v>58.142857142857139</v>
      </c>
      <c r="I138" s="369">
        <f t="shared" si="128"/>
        <v>60.785714285714285</v>
      </c>
      <c r="J138" s="369" t="str">
        <f t="shared" si="128"/>
        <v/>
      </c>
      <c r="K138" s="369" t="str">
        <f t="shared" si="128"/>
        <v/>
      </c>
      <c r="L138" s="369">
        <f t="shared" si="128"/>
        <v>137.42857142857144</v>
      </c>
      <c r="M138" s="369" t="str">
        <f t="shared" si="128"/>
        <v/>
      </c>
      <c r="N138" s="369" t="str">
        <f t="shared" si="128"/>
        <v/>
      </c>
      <c r="O138" s="369" t="str">
        <f t="shared" si="128"/>
        <v/>
      </c>
      <c r="P138" s="369" t="str">
        <f t="shared" si="128"/>
        <v/>
      </c>
      <c r="Q138" s="369" t="str">
        <f t="shared" si="128"/>
        <v/>
      </c>
      <c r="R138" s="369" t="str">
        <f t="shared" si="128"/>
        <v/>
      </c>
      <c r="S138" s="369" t="str">
        <f t="shared" si="128"/>
        <v/>
      </c>
      <c r="T138" s="369" t="str">
        <f t="shared" si="128"/>
        <v/>
      </c>
      <c r="U138" s="369" t="str">
        <f t="shared" si="128"/>
        <v/>
      </c>
      <c r="V138" s="369" t="str">
        <f t="shared" si="128"/>
        <v/>
      </c>
      <c r="W138" s="369" t="str">
        <f t="shared" si="128"/>
        <v/>
      </c>
      <c r="X138" s="369" t="str">
        <f t="shared" si="128"/>
        <v/>
      </c>
      <c r="Y138" s="369" t="str">
        <f t="shared" si="128"/>
        <v/>
      </c>
      <c r="Z138" s="369" t="str">
        <f t="shared" si="128"/>
        <v/>
      </c>
      <c r="AA138" s="369" t="str">
        <f t="shared" si="128"/>
        <v/>
      </c>
      <c r="AB138" s="370" t="str">
        <f t="shared" si="128"/>
        <v/>
      </c>
      <c r="AC138" s="6"/>
    </row>
    <row r="139" spans="2:29" x14ac:dyDescent="0.25">
      <c r="B139" s="777"/>
      <c r="C139" s="352">
        <f t="shared" si="99"/>
        <v>186</v>
      </c>
      <c r="D139" s="369" t="str">
        <f t="shared" ref="D139:AB139" si="129">IF(D87&lt;&gt;"",D87*D$107*$C139,"")</f>
        <v/>
      </c>
      <c r="E139" s="369" t="str">
        <f t="shared" si="129"/>
        <v/>
      </c>
      <c r="F139" s="369" t="str">
        <f t="shared" si="129"/>
        <v/>
      </c>
      <c r="G139" s="369" t="str">
        <f t="shared" si="129"/>
        <v/>
      </c>
      <c r="H139" s="369" t="str">
        <f t="shared" si="129"/>
        <v/>
      </c>
      <c r="I139" s="369" t="str">
        <f t="shared" si="129"/>
        <v/>
      </c>
      <c r="J139" s="369" t="str">
        <f t="shared" si="129"/>
        <v/>
      </c>
      <c r="K139" s="369" t="str">
        <f t="shared" si="129"/>
        <v/>
      </c>
      <c r="L139" s="369" t="str">
        <f t="shared" si="129"/>
        <v/>
      </c>
      <c r="M139" s="369" t="str">
        <f t="shared" si="129"/>
        <v/>
      </c>
      <c r="N139" s="369" t="str">
        <f t="shared" si="129"/>
        <v/>
      </c>
      <c r="O139" s="369" t="str">
        <f t="shared" si="129"/>
        <v/>
      </c>
      <c r="P139" s="369" t="str">
        <f t="shared" si="129"/>
        <v/>
      </c>
      <c r="Q139" s="369" t="str">
        <f t="shared" si="129"/>
        <v/>
      </c>
      <c r="R139" s="369" t="str">
        <f t="shared" si="129"/>
        <v/>
      </c>
      <c r="S139" s="369" t="str">
        <f t="shared" si="129"/>
        <v/>
      </c>
      <c r="T139" s="369" t="str">
        <f t="shared" si="129"/>
        <v/>
      </c>
      <c r="U139" s="369" t="str">
        <f t="shared" si="129"/>
        <v/>
      </c>
      <c r="V139" s="369" t="str">
        <f t="shared" si="129"/>
        <v/>
      </c>
      <c r="W139" s="369" t="str">
        <f t="shared" si="129"/>
        <v/>
      </c>
      <c r="X139" s="369" t="str">
        <f t="shared" si="129"/>
        <v/>
      </c>
      <c r="Y139" s="369" t="str">
        <f t="shared" si="129"/>
        <v/>
      </c>
      <c r="Z139" s="369" t="str">
        <f t="shared" si="129"/>
        <v/>
      </c>
      <c r="AA139" s="369" t="str">
        <f t="shared" si="129"/>
        <v/>
      </c>
      <c r="AB139" s="370" t="str">
        <f t="shared" si="129"/>
        <v/>
      </c>
      <c r="AC139" s="6"/>
    </row>
    <row r="140" spans="2:29" x14ac:dyDescent="0.25">
      <c r="B140" s="777"/>
      <c r="C140" s="352">
        <f t="shared" si="99"/>
        <v>187</v>
      </c>
      <c r="D140" s="369" t="str">
        <f t="shared" ref="D140:AB140" si="130">IF(D88&lt;&gt;"",D88*D$107*$C140,"")</f>
        <v/>
      </c>
      <c r="E140" s="369" t="str">
        <f t="shared" si="130"/>
        <v/>
      </c>
      <c r="F140" s="369" t="str">
        <f t="shared" si="130"/>
        <v/>
      </c>
      <c r="G140" s="369" t="str">
        <f t="shared" si="130"/>
        <v/>
      </c>
      <c r="H140" s="369">
        <f t="shared" si="130"/>
        <v>58.771428571428572</v>
      </c>
      <c r="I140" s="369" t="str">
        <f t="shared" si="130"/>
        <v/>
      </c>
      <c r="J140" s="369" t="str">
        <f t="shared" si="130"/>
        <v/>
      </c>
      <c r="K140" s="369">
        <f t="shared" si="130"/>
        <v>66.785714285714292</v>
      </c>
      <c r="L140" s="369" t="str">
        <f t="shared" si="130"/>
        <v/>
      </c>
      <c r="M140" s="369" t="str">
        <f t="shared" si="130"/>
        <v/>
      </c>
      <c r="N140" s="369" t="str">
        <f t="shared" si="130"/>
        <v/>
      </c>
      <c r="O140" s="369" t="str">
        <f t="shared" si="130"/>
        <v/>
      </c>
      <c r="P140" s="369" t="str">
        <f t="shared" si="130"/>
        <v/>
      </c>
      <c r="Q140" s="369" t="str">
        <f t="shared" si="130"/>
        <v/>
      </c>
      <c r="R140" s="369" t="str">
        <f t="shared" si="130"/>
        <v/>
      </c>
      <c r="S140" s="369" t="str">
        <f t="shared" si="130"/>
        <v/>
      </c>
      <c r="T140" s="369" t="str">
        <f t="shared" si="130"/>
        <v/>
      </c>
      <c r="U140" s="369" t="str">
        <f t="shared" si="130"/>
        <v/>
      </c>
      <c r="V140" s="369" t="str">
        <f t="shared" si="130"/>
        <v/>
      </c>
      <c r="W140" s="369" t="str">
        <f t="shared" si="130"/>
        <v/>
      </c>
      <c r="X140" s="369" t="str">
        <f t="shared" si="130"/>
        <v/>
      </c>
      <c r="Y140" s="369" t="str">
        <f t="shared" si="130"/>
        <v/>
      </c>
      <c r="Z140" s="369" t="str">
        <f t="shared" si="130"/>
        <v/>
      </c>
      <c r="AA140" s="369" t="str">
        <f t="shared" si="130"/>
        <v/>
      </c>
      <c r="AB140" s="370" t="str">
        <f t="shared" si="130"/>
        <v/>
      </c>
      <c r="AC140" s="6"/>
    </row>
    <row r="141" spans="2:29" x14ac:dyDescent="0.25">
      <c r="B141" s="777"/>
      <c r="C141" s="352">
        <f t="shared" si="99"/>
        <v>188</v>
      </c>
      <c r="D141" s="369" t="str">
        <f t="shared" ref="D141:AB141" si="131">IF(D89&lt;&gt;"",D89*D$107*$C141,"")</f>
        <v/>
      </c>
      <c r="E141" s="369" t="str">
        <f t="shared" si="131"/>
        <v/>
      </c>
      <c r="F141" s="369" t="str">
        <f t="shared" si="131"/>
        <v/>
      </c>
      <c r="G141" s="369" t="str">
        <f t="shared" si="131"/>
        <v/>
      </c>
      <c r="H141" s="369">
        <f t="shared" si="131"/>
        <v>59.085714285714282</v>
      </c>
      <c r="I141" s="369" t="str">
        <f t="shared" si="131"/>
        <v/>
      </c>
      <c r="J141" s="369" t="str">
        <f t="shared" si="131"/>
        <v/>
      </c>
      <c r="K141" s="369" t="str">
        <f t="shared" si="131"/>
        <v/>
      </c>
      <c r="L141" s="369" t="str">
        <f t="shared" si="131"/>
        <v/>
      </c>
      <c r="M141" s="369" t="str">
        <f t="shared" si="131"/>
        <v/>
      </c>
      <c r="N141" s="369" t="str">
        <f t="shared" si="131"/>
        <v/>
      </c>
      <c r="O141" s="369" t="str">
        <f t="shared" si="131"/>
        <v/>
      </c>
      <c r="P141" s="369" t="str">
        <f t="shared" si="131"/>
        <v/>
      </c>
      <c r="Q141" s="369" t="str">
        <f t="shared" si="131"/>
        <v/>
      </c>
      <c r="R141" s="369" t="str">
        <f t="shared" si="131"/>
        <v/>
      </c>
      <c r="S141" s="369" t="str">
        <f t="shared" si="131"/>
        <v/>
      </c>
      <c r="T141" s="369" t="str">
        <f t="shared" si="131"/>
        <v/>
      </c>
      <c r="U141" s="369" t="str">
        <f t="shared" si="131"/>
        <v/>
      </c>
      <c r="V141" s="369" t="str">
        <f t="shared" si="131"/>
        <v/>
      </c>
      <c r="W141" s="369" t="str">
        <f t="shared" si="131"/>
        <v/>
      </c>
      <c r="X141" s="369" t="str">
        <f t="shared" si="131"/>
        <v/>
      </c>
      <c r="Y141" s="369" t="str">
        <f t="shared" si="131"/>
        <v/>
      </c>
      <c r="Z141" s="369" t="str">
        <f t="shared" si="131"/>
        <v/>
      </c>
      <c r="AA141" s="369" t="str">
        <f t="shared" si="131"/>
        <v/>
      </c>
      <c r="AB141" s="370" t="str">
        <f t="shared" si="131"/>
        <v/>
      </c>
      <c r="AC141" s="6"/>
    </row>
    <row r="142" spans="2:29" x14ac:dyDescent="0.25">
      <c r="B142" s="777"/>
      <c r="C142" s="352">
        <f t="shared" si="99"/>
        <v>189</v>
      </c>
      <c r="D142" s="369" t="str">
        <f t="shared" ref="D142:AB142" si="132">IF(D90&lt;&gt;"",D90*D$107*$C142,"")</f>
        <v/>
      </c>
      <c r="E142" s="369" t="str">
        <f t="shared" si="132"/>
        <v/>
      </c>
      <c r="F142" s="369" t="str">
        <f t="shared" si="132"/>
        <v/>
      </c>
      <c r="G142" s="369" t="str">
        <f t="shared" si="132"/>
        <v/>
      </c>
      <c r="H142" s="369" t="str">
        <f t="shared" si="132"/>
        <v/>
      </c>
      <c r="I142" s="369">
        <f t="shared" si="132"/>
        <v>62.1</v>
      </c>
      <c r="J142" s="369" t="str">
        <f t="shared" si="132"/>
        <v/>
      </c>
      <c r="K142" s="369" t="str">
        <f t="shared" si="132"/>
        <v/>
      </c>
      <c r="L142" s="369" t="str">
        <f t="shared" si="132"/>
        <v/>
      </c>
      <c r="M142" s="369" t="str">
        <f t="shared" si="132"/>
        <v/>
      </c>
      <c r="N142" s="369" t="str">
        <f t="shared" si="132"/>
        <v/>
      </c>
      <c r="O142" s="369" t="str">
        <f t="shared" si="132"/>
        <v/>
      </c>
      <c r="P142" s="369" t="str">
        <f t="shared" si="132"/>
        <v/>
      </c>
      <c r="Q142" s="369" t="str">
        <f t="shared" si="132"/>
        <v/>
      </c>
      <c r="R142" s="369" t="str">
        <f t="shared" si="132"/>
        <v/>
      </c>
      <c r="S142" s="369" t="str">
        <f t="shared" si="132"/>
        <v/>
      </c>
      <c r="T142" s="369" t="str">
        <f t="shared" si="132"/>
        <v/>
      </c>
      <c r="U142" s="369" t="str">
        <f t="shared" si="132"/>
        <v/>
      </c>
      <c r="V142" s="369" t="str">
        <f t="shared" si="132"/>
        <v/>
      </c>
      <c r="W142" s="369" t="str">
        <f t="shared" si="132"/>
        <v/>
      </c>
      <c r="X142" s="369" t="str">
        <f t="shared" si="132"/>
        <v/>
      </c>
      <c r="Y142" s="369" t="str">
        <f t="shared" si="132"/>
        <v/>
      </c>
      <c r="Z142" s="369" t="str">
        <f t="shared" si="132"/>
        <v/>
      </c>
      <c r="AA142" s="369" t="str">
        <f t="shared" si="132"/>
        <v/>
      </c>
      <c r="AB142" s="370" t="str">
        <f t="shared" si="132"/>
        <v/>
      </c>
      <c r="AC142" s="6"/>
    </row>
    <row r="143" spans="2:29" x14ac:dyDescent="0.25">
      <c r="B143" s="777"/>
      <c r="C143" s="352">
        <f t="shared" si="99"/>
        <v>190</v>
      </c>
      <c r="D143" s="369" t="str">
        <f t="shared" ref="D143:AB143" si="133">IF(D91&lt;&gt;"",D91*D$107*$C143,"")</f>
        <v/>
      </c>
      <c r="E143" s="369" t="str">
        <f t="shared" si="133"/>
        <v/>
      </c>
      <c r="F143" s="369" t="str">
        <f t="shared" si="133"/>
        <v/>
      </c>
      <c r="G143" s="369" t="str">
        <f t="shared" si="133"/>
        <v/>
      </c>
      <c r="H143" s="369" t="str">
        <f t="shared" si="133"/>
        <v/>
      </c>
      <c r="I143" s="369" t="str">
        <f t="shared" si="133"/>
        <v/>
      </c>
      <c r="J143" s="369" t="str">
        <f t="shared" si="133"/>
        <v/>
      </c>
      <c r="K143" s="369" t="str">
        <f t="shared" si="133"/>
        <v/>
      </c>
      <c r="L143" s="369" t="str">
        <f t="shared" si="133"/>
        <v/>
      </c>
      <c r="M143" s="369" t="str">
        <f t="shared" si="133"/>
        <v/>
      </c>
      <c r="N143" s="369">
        <f t="shared" si="133"/>
        <v>76</v>
      </c>
      <c r="O143" s="369" t="str">
        <f t="shared" si="133"/>
        <v/>
      </c>
      <c r="P143" s="369" t="str">
        <f t="shared" si="133"/>
        <v/>
      </c>
      <c r="Q143" s="369" t="str">
        <f t="shared" si="133"/>
        <v/>
      </c>
      <c r="R143" s="369" t="str">
        <f t="shared" si="133"/>
        <v/>
      </c>
      <c r="S143" s="369" t="str">
        <f t="shared" si="133"/>
        <v/>
      </c>
      <c r="T143" s="369" t="str">
        <f t="shared" si="133"/>
        <v/>
      </c>
      <c r="U143" s="369" t="str">
        <f t="shared" si="133"/>
        <v/>
      </c>
      <c r="V143" s="369" t="str">
        <f t="shared" si="133"/>
        <v/>
      </c>
      <c r="W143" s="369" t="str">
        <f t="shared" si="133"/>
        <v/>
      </c>
      <c r="X143" s="369" t="str">
        <f t="shared" si="133"/>
        <v/>
      </c>
      <c r="Y143" s="369" t="str">
        <f t="shared" si="133"/>
        <v/>
      </c>
      <c r="Z143" s="369" t="str">
        <f t="shared" si="133"/>
        <v/>
      </c>
      <c r="AA143" s="369" t="str">
        <f t="shared" si="133"/>
        <v/>
      </c>
      <c r="AB143" s="370" t="str">
        <f t="shared" si="133"/>
        <v/>
      </c>
      <c r="AC143" s="6"/>
    </row>
    <row r="144" spans="2:29" x14ac:dyDescent="0.25">
      <c r="B144" s="777"/>
      <c r="C144" s="352">
        <f t="shared" si="99"/>
        <v>191</v>
      </c>
      <c r="D144" s="369" t="str">
        <f t="shared" ref="D144:AB144" si="134">IF(D92&lt;&gt;"",D92*D$107*$C144,"")</f>
        <v/>
      </c>
      <c r="E144" s="369" t="str">
        <f t="shared" si="134"/>
        <v/>
      </c>
      <c r="F144" s="369" t="str">
        <f t="shared" si="134"/>
        <v/>
      </c>
      <c r="G144" s="369" t="str">
        <f t="shared" si="134"/>
        <v/>
      </c>
      <c r="H144" s="369" t="str">
        <f t="shared" si="134"/>
        <v/>
      </c>
      <c r="I144" s="369" t="str">
        <f t="shared" si="134"/>
        <v/>
      </c>
      <c r="J144" s="369" t="str">
        <f t="shared" si="134"/>
        <v/>
      </c>
      <c r="K144" s="369" t="str">
        <f t="shared" si="134"/>
        <v/>
      </c>
      <c r="L144" s="369" t="str">
        <f t="shared" si="134"/>
        <v/>
      </c>
      <c r="M144" s="369" t="str">
        <f t="shared" si="134"/>
        <v/>
      </c>
      <c r="N144" s="369" t="str">
        <f t="shared" si="134"/>
        <v/>
      </c>
      <c r="O144" s="369" t="str">
        <f t="shared" si="134"/>
        <v/>
      </c>
      <c r="P144" s="369" t="str">
        <f t="shared" si="134"/>
        <v/>
      </c>
      <c r="Q144" s="369" t="str">
        <f t="shared" si="134"/>
        <v/>
      </c>
      <c r="R144" s="369" t="str">
        <f t="shared" si="134"/>
        <v/>
      </c>
      <c r="S144" s="369" t="str">
        <f t="shared" si="134"/>
        <v/>
      </c>
      <c r="T144" s="369" t="str">
        <f t="shared" si="134"/>
        <v/>
      </c>
      <c r="U144" s="369" t="str">
        <f t="shared" si="134"/>
        <v/>
      </c>
      <c r="V144" s="369" t="str">
        <f t="shared" si="134"/>
        <v/>
      </c>
      <c r="W144" s="369" t="str">
        <f t="shared" si="134"/>
        <v/>
      </c>
      <c r="X144" s="369" t="str">
        <f t="shared" si="134"/>
        <v/>
      </c>
      <c r="Y144" s="369" t="str">
        <f t="shared" si="134"/>
        <v/>
      </c>
      <c r="Z144" s="369" t="str">
        <f t="shared" si="134"/>
        <v/>
      </c>
      <c r="AA144" s="369" t="str">
        <f t="shared" si="134"/>
        <v/>
      </c>
      <c r="AB144" s="370" t="str">
        <f t="shared" si="134"/>
        <v/>
      </c>
      <c r="AC144" s="6"/>
    </row>
    <row r="145" spans="2:29" x14ac:dyDescent="0.25">
      <c r="B145" s="777"/>
      <c r="C145" s="352">
        <f t="shared" si="99"/>
        <v>192</v>
      </c>
      <c r="D145" s="369" t="str">
        <f t="shared" ref="D145:AB145" si="135">IF(D93&lt;&gt;"",D93*D$107*$C145,"")</f>
        <v/>
      </c>
      <c r="E145" s="369" t="str">
        <f t="shared" si="135"/>
        <v/>
      </c>
      <c r="F145" s="369" t="str">
        <f t="shared" si="135"/>
        <v/>
      </c>
      <c r="G145" s="369" t="str">
        <f t="shared" si="135"/>
        <v/>
      </c>
      <c r="H145" s="369" t="str">
        <f t="shared" si="135"/>
        <v/>
      </c>
      <c r="I145" s="369" t="str">
        <f t="shared" si="135"/>
        <v/>
      </c>
      <c r="J145" s="369" t="str">
        <f t="shared" si="135"/>
        <v/>
      </c>
      <c r="K145" s="369" t="str">
        <f t="shared" si="135"/>
        <v/>
      </c>
      <c r="L145" s="369" t="str">
        <f t="shared" si="135"/>
        <v/>
      </c>
      <c r="M145" s="369" t="str">
        <f t="shared" si="135"/>
        <v/>
      </c>
      <c r="N145" s="369" t="str">
        <f t="shared" si="135"/>
        <v/>
      </c>
      <c r="O145" s="369" t="str">
        <f t="shared" si="135"/>
        <v/>
      </c>
      <c r="P145" s="369" t="str">
        <f t="shared" si="135"/>
        <v/>
      </c>
      <c r="Q145" s="369" t="str">
        <f t="shared" si="135"/>
        <v/>
      </c>
      <c r="R145" s="369" t="str">
        <f t="shared" si="135"/>
        <v/>
      </c>
      <c r="S145" s="369" t="str">
        <f t="shared" si="135"/>
        <v/>
      </c>
      <c r="T145" s="369" t="str">
        <f t="shared" si="135"/>
        <v/>
      </c>
      <c r="U145" s="369" t="str">
        <f t="shared" si="135"/>
        <v/>
      </c>
      <c r="V145" s="369" t="str">
        <f t="shared" si="135"/>
        <v/>
      </c>
      <c r="W145" s="369" t="str">
        <f t="shared" si="135"/>
        <v/>
      </c>
      <c r="X145" s="369" t="str">
        <f t="shared" si="135"/>
        <v/>
      </c>
      <c r="Y145" s="369" t="str">
        <f t="shared" si="135"/>
        <v/>
      </c>
      <c r="Z145" s="369" t="str">
        <f t="shared" si="135"/>
        <v/>
      </c>
      <c r="AA145" s="369" t="str">
        <f t="shared" si="135"/>
        <v/>
      </c>
      <c r="AB145" s="370" t="str">
        <f t="shared" si="135"/>
        <v/>
      </c>
      <c r="AC145" s="6"/>
    </row>
    <row r="146" spans="2:29" x14ac:dyDescent="0.25">
      <c r="B146" s="777"/>
      <c r="C146" s="352">
        <f t="shared" si="99"/>
        <v>193</v>
      </c>
      <c r="D146" s="369" t="str">
        <f t="shared" ref="D146:AB146" si="136">IF(D94&lt;&gt;"",D94*D$107*$C146,"")</f>
        <v/>
      </c>
      <c r="E146" s="369" t="str">
        <f t="shared" si="136"/>
        <v/>
      </c>
      <c r="F146" s="369" t="str">
        <f t="shared" si="136"/>
        <v/>
      </c>
      <c r="G146" s="369" t="str">
        <f t="shared" si="136"/>
        <v/>
      </c>
      <c r="H146" s="369" t="str">
        <f t="shared" si="136"/>
        <v/>
      </c>
      <c r="I146" s="369">
        <f t="shared" si="136"/>
        <v>63.414285714285711</v>
      </c>
      <c r="J146" s="369" t="str">
        <f t="shared" si="136"/>
        <v/>
      </c>
      <c r="K146" s="369" t="str">
        <f t="shared" si="136"/>
        <v/>
      </c>
      <c r="L146" s="369" t="str">
        <f t="shared" si="136"/>
        <v/>
      </c>
      <c r="M146" s="369">
        <f t="shared" si="136"/>
        <v>74.442857142857136</v>
      </c>
      <c r="N146" s="369" t="str">
        <f t="shared" si="136"/>
        <v/>
      </c>
      <c r="O146" s="369" t="str">
        <f t="shared" si="136"/>
        <v/>
      </c>
      <c r="P146" s="369" t="str">
        <f t="shared" si="136"/>
        <v/>
      </c>
      <c r="Q146" s="369" t="str">
        <f t="shared" si="136"/>
        <v/>
      </c>
      <c r="R146" s="369" t="str">
        <f t="shared" si="136"/>
        <v/>
      </c>
      <c r="S146" s="369" t="str">
        <f t="shared" si="136"/>
        <v/>
      </c>
      <c r="T146" s="369" t="str">
        <f t="shared" si="136"/>
        <v/>
      </c>
      <c r="U146" s="369" t="str">
        <f t="shared" si="136"/>
        <v/>
      </c>
      <c r="V146" s="369" t="str">
        <f t="shared" si="136"/>
        <v/>
      </c>
      <c r="W146" s="369" t="str">
        <f t="shared" si="136"/>
        <v/>
      </c>
      <c r="X146" s="369" t="str">
        <f t="shared" si="136"/>
        <v/>
      </c>
      <c r="Y146" s="369" t="str">
        <f t="shared" si="136"/>
        <v/>
      </c>
      <c r="Z146" s="369" t="str">
        <f t="shared" si="136"/>
        <v/>
      </c>
      <c r="AA146" s="369" t="str">
        <f t="shared" si="136"/>
        <v/>
      </c>
      <c r="AB146" s="370" t="str">
        <f t="shared" si="136"/>
        <v/>
      </c>
      <c r="AC146" s="6"/>
    </row>
    <row r="147" spans="2:29" x14ac:dyDescent="0.25">
      <c r="B147" s="777"/>
      <c r="C147" s="352">
        <f t="shared" si="99"/>
        <v>194</v>
      </c>
      <c r="D147" s="369" t="str">
        <f t="shared" ref="D147:AB147" si="137">IF(D95&lt;&gt;"",D95*D$107*$C147,"")</f>
        <v/>
      </c>
      <c r="E147" s="369" t="str">
        <f t="shared" si="137"/>
        <v/>
      </c>
      <c r="F147" s="369" t="str">
        <f t="shared" si="137"/>
        <v/>
      </c>
      <c r="G147" s="369" t="str">
        <f t="shared" si="137"/>
        <v/>
      </c>
      <c r="H147" s="369" t="str">
        <f t="shared" si="137"/>
        <v/>
      </c>
      <c r="I147" s="369" t="str">
        <f t="shared" si="137"/>
        <v/>
      </c>
      <c r="J147" s="369" t="str">
        <f t="shared" si="137"/>
        <v/>
      </c>
      <c r="K147" s="369" t="str">
        <f t="shared" si="137"/>
        <v/>
      </c>
      <c r="L147" s="369" t="str">
        <f t="shared" si="137"/>
        <v/>
      </c>
      <c r="M147" s="369" t="str">
        <f t="shared" si="137"/>
        <v/>
      </c>
      <c r="N147" s="369" t="str">
        <f t="shared" si="137"/>
        <v/>
      </c>
      <c r="O147" s="369" t="str">
        <f t="shared" si="137"/>
        <v/>
      </c>
      <c r="P147" s="369" t="str">
        <f t="shared" si="137"/>
        <v/>
      </c>
      <c r="Q147" s="369" t="str">
        <f t="shared" si="137"/>
        <v/>
      </c>
      <c r="R147" s="369" t="str">
        <f t="shared" si="137"/>
        <v/>
      </c>
      <c r="S147" s="369" t="str">
        <f t="shared" si="137"/>
        <v/>
      </c>
      <c r="T147" s="369" t="str">
        <f t="shared" si="137"/>
        <v/>
      </c>
      <c r="U147" s="369" t="str">
        <f t="shared" si="137"/>
        <v/>
      </c>
      <c r="V147" s="369" t="str">
        <f t="shared" si="137"/>
        <v/>
      </c>
      <c r="W147" s="369" t="str">
        <f t="shared" si="137"/>
        <v/>
      </c>
      <c r="X147" s="369" t="str">
        <f t="shared" si="137"/>
        <v/>
      </c>
      <c r="Y147" s="369" t="str">
        <f t="shared" si="137"/>
        <v/>
      </c>
      <c r="Z147" s="369" t="str">
        <f t="shared" si="137"/>
        <v/>
      </c>
      <c r="AA147" s="369" t="str">
        <f t="shared" si="137"/>
        <v/>
      </c>
      <c r="AB147" s="370" t="str">
        <f t="shared" si="137"/>
        <v/>
      </c>
      <c r="AC147" s="6"/>
    </row>
    <row r="148" spans="2:29" x14ac:dyDescent="0.25">
      <c r="B148" s="777"/>
      <c r="C148" s="352">
        <f t="shared" si="99"/>
        <v>195</v>
      </c>
      <c r="D148" s="369" t="str">
        <f t="shared" ref="D148:AB148" si="138">IF(D96&lt;&gt;"",D96*D$107*$C148,"")</f>
        <v/>
      </c>
      <c r="E148" s="369" t="str">
        <f t="shared" si="138"/>
        <v/>
      </c>
      <c r="F148" s="369">
        <f t="shared" si="138"/>
        <v>55.714285714285708</v>
      </c>
      <c r="G148" s="369" t="str">
        <f t="shared" si="138"/>
        <v/>
      </c>
      <c r="H148" s="369" t="str">
        <f t="shared" si="138"/>
        <v/>
      </c>
      <c r="I148" s="369" t="str">
        <f t="shared" si="138"/>
        <v/>
      </c>
      <c r="J148" s="369" t="str">
        <f t="shared" si="138"/>
        <v/>
      </c>
      <c r="K148" s="369" t="str">
        <f t="shared" si="138"/>
        <v/>
      </c>
      <c r="L148" s="369" t="str">
        <f t="shared" si="138"/>
        <v/>
      </c>
      <c r="M148" s="369" t="str">
        <f t="shared" si="138"/>
        <v/>
      </c>
      <c r="N148" s="369" t="str">
        <f t="shared" si="138"/>
        <v/>
      </c>
      <c r="O148" s="369" t="str">
        <f t="shared" si="138"/>
        <v/>
      </c>
      <c r="P148" s="369" t="str">
        <f t="shared" si="138"/>
        <v/>
      </c>
      <c r="Q148" s="369" t="str">
        <f t="shared" si="138"/>
        <v/>
      </c>
      <c r="R148" s="369" t="str">
        <f t="shared" si="138"/>
        <v/>
      </c>
      <c r="S148" s="369" t="str">
        <f t="shared" si="138"/>
        <v/>
      </c>
      <c r="T148" s="369" t="str">
        <f t="shared" si="138"/>
        <v/>
      </c>
      <c r="U148" s="369" t="str">
        <f t="shared" si="138"/>
        <v/>
      </c>
      <c r="V148" s="369" t="str">
        <f t="shared" si="138"/>
        <v/>
      </c>
      <c r="W148" s="369" t="str">
        <f t="shared" si="138"/>
        <v/>
      </c>
      <c r="X148" s="369" t="str">
        <f t="shared" si="138"/>
        <v/>
      </c>
      <c r="Y148" s="369" t="str">
        <f t="shared" si="138"/>
        <v/>
      </c>
      <c r="Z148" s="369" t="str">
        <f t="shared" si="138"/>
        <v/>
      </c>
      <c r="AA148" s="369" t="str">
        <f t="shared" si="138"/>
        <v/>
      </c>
      <c r="AB148" s="370" t="str">
        <f t="shared" si="138"/>
        <v/>
      </c>
      <c r="AC148" s="6"/>
    </row>
    <row r="149" spans="2:29" x14ac:dyDescent="0.25">
      <c r="B149" s="777"/>
      <c r="C149" s="352">
        <f t="shared" si="99"/>
        <v>196</v>
      </c>
      <c r="D149" s="369" t="str">
        <f t="shared" ref="D149:AB149" si="139">IF(D97&lt;&gt;"",D97*D$107*$C149,"")</f>
        <v/>
      </c>
      <c r="E149" s="369" t="str">
        <f t="shared" si="139"/>
        <v/>
      </c>
      <c r="F149" s="369" t="str">
        <f t="shared" si="139"/>
        <v/>
      </c>
      <c r="G149" s="369" t="str">
        <f t="shared" si="139"/>
        <v/>
      </c>
      <c r="H149" s="369" t="str">
        <f t="shared" si="139"/>
        <v/>
      </c>
      <c r="I149" s="369" t="str">
        <f t="shared" si="139"/>
        <v/>
      </c>
      <c r="J149" s="369" t="str">
        <f t="shared" si="139"/>
        <v/>
      </c>
      <c r="K149" s="369" t="str">
        <f t="shared" si="139"/>
        <v/>
      </c>
      <c r="L149" s="369" t="str">
        <f t="shared" si="139"/>
        <v/>
      </c>
      <c r="M149" s="369" t="str">
        <f t="shared" si="139"/>
        <v/>
      </c>
      <c r="N149" s="369" t="str">
        <f t="shared" si="139"/>
        <v/>
      </c>
      <c r="O149" s="369" t="str">
        <f t="shared" si="139"/>
        <v/>
      </c>
      <c r="P149" s="369" t="str">
        <f t="shared" si="139"/>
        <v/>
      </c>
      <c r="Q149" s="369" t="str">
        <f t="shared" si="139"/>
        <v/>
      </c>
      <c r="R149" s="369" t="str">
        <f t="shared" si="139"/>
        <v/>
      </c>
      <c r="S149" s="369" t="str">
        <f t="shared" si="139"/>
        <v/>
      </c>
      <c r="T149" s="369" t="str">
        <f t="shared" si="139"/>
        <v/>
      </c>
      <c r="U149" s="369" t="str">
        <f t="shared" si="139"/>
        <v/>
      </c>
      <c r="V149" s="369" t="str">
        <f t="shared" si="139"/>
        <v/>
      </c>
      <c r="W149" s="369" t="str">
        <f t="shared" si="139"/>
        <v/>
      </c>
      <c r="X149" s="369" t="str">
        <f t="shared" si="139"/>
        <v/>
      </c>
      <c r="Y149" s="369" t="str">
        <f t="shared" si="139"/>
        <v/>
      </c>
      <c r="Z149" s="369" t="str">
        <f t="shared" si="139"/>
        <v/>
      </c>
      <c r="AA149" s="369" t="str">
        <f t="shared" si="139"/>
        <v/>
      </c>
      <c r="AB149" s="370" t="str">
        <f t="shared" si="139"/>
        <v/>
      </c>
      <c r="AC149" s="6"/>
    </row>
    <row r="150" spans="2:29" x14ac:dyDescent="0.25">
      <c r="B150" s="777"/>
      <c r="C150" s="352">
        <f t="shared" si="99"/>
        <v>197</v>
      </c>
      <c r="D150" s="369" t="str">
        <f t="shared" ref="D150:AB150" si="140">IF(D98&lt;&gt;"",D98*D$107*$C150,"")</f>
        <v/>
      </c>
      <c r="E150" s="369" t="str">
        <f t="shared" si="140"/>
        <v/>
      </c>
      <c r="F150" s="369" t="str">
        <f t="shared" si="140"/>
        <v/>
      </c>
      <c r="G150" s="369" t="str">
        <f t="shared" si="140"/>
        <v/>
      </c>
      <c r="H150" s="369" t="str">
        <f t="shared" si="140"/>
        <v/>
      </c>
      <c r="I150" s="369" t="str">
        <f t="shared" si="140"/>
        <v/>
      </c>
      <c r="J150" s="369" t="str">
        <f t="shared" si="140"/>
        <v/>
      </c>
      <c r="K150" s="369" t="str">
        <f t="shared" si="140"/>
        <v/>
      </c>
      <c r="L150" s="369" t="str">
        <f t="shared" si="140"/>
        <v/>
      </c>
      <c r="M150" s="369" t="str">
        <f t="shared" si="140"/>
        <v/>
      </c>
      <c r="N150" s="369" t="str">
        <f t="shared" si="140"/>
        <v/>
      </c>
      <c r="O150" s="369" t="str">
        <f t="shared" si="140"/>
        <v/>
      </c>
      <c r="P150" s="369" t="str">
        <f t="shared" si="140"/>
        <v/>
      </c>
      <c r="Q150" s="369" t="str">
        <f t="shared" si="140"/>
        <v/>
      </c>
      <c r="R150" s="369" t="str">
        <f t="shared" si="140"/>
        <v/>
      </c>
      <c r="S150" s="369" t="str">
        <f t="shared" si="140"/>
        <v/>
      </c>
      <c r="T150" s="369" t="str">
        <f t="shared" si="140"/>
        <v/>
      </c>
      <c r="U150" s="369" t="str">
        <f t="shared" si="140"/>
        <v/>
      </c>
      <c r="V150" s="369" t="str">
        <f t="shared" si="140"/>
        <v/>
      </c>
      <c r="W150" s="369" t="str">
        <f t="shared" si="140"/>
        <v/>
      </c>
      <c r="X150" s="369" t="str">
        <f t="shared" si="140"/>
        <v/>
      </c>
      <c r="Y150" s="369" t="str">
        <f t="shared" si="140"/>
        <v/>
      </c>
      <c r="Z150" s="369" t="str">
        <f t="shared" si="140"/>
        <v/>
      </c>
      <c r="AA150" s="369" t="str">
        <f t="shared" si="140"/>
        <v/>
      </c>
      <c r="AB150" s="370" t="str">
        <f t="shared" si="140"/>
        <v/>
      </c>
      <c r="AC150" s="6"/>
    </row>
    <row r="151" spans="2:29" x14ac:dyDescent="0.25">
      <c r="B151" s="777"/>
      <c r="C151" s="352">
        <f t="shared" si="99"/>
        <v>198</v>
      </c>
      <c r="D151" s="369" t="str">
        <f t="shared" ref="D151:AB151" si="141">IF(D99&lt;&gt;"",D99*D$107*$C151,"")</f>
        <v/>
      </c>
      <c r="E151" s="369" t="str">
        <f t="shared" si="141"/>
        <v/>
      </c>
      <c r="F151" s="369" t="str">
        <f t="shared" si="141"/>
        <v/>
      </c>
      <c r="G151" s="369" t="str">
        <f t="shared" si="141"/>
        <v/>
      </c>
      <c r="H151" s="369" t="str">
        <f t="shared" si="141"/>
        <v/>
      </c>
      <c r="I151" s="369" t="str">
        <f t="shared" si="141"/>
        <v/>
      </c>
      <c r="J151" s="369" t="str">
        <f t="shared" si="141"/>
        <v/>
      </c>
      <c r="K151" s="369" t="str">
        <f t="shared" si="141"/>
        <v/>
      </c>
      <c r="L151" s="369" t="str">
        <f t="shared" si="141"/>
        <v/>
      </c>
      <c r="M151" s="369" t="str">
        <f t="shared" si="141"/>
        <v/>
      </c>
      <c r="N151" s="369" t="str">
        <f t="shared" si="141"/>
        <v/>
      </c>
      <c r="O151" s="369" t="str">
        <f t="shared" si="141"/>
        <v/>
      </c>
      <c r="P151" s="369" t="str">
        <f t="shared" si="141"/>
        <v/>
      </c>
      <c r="Q151" s="369" t="str">
        <f t="shared" si="141"/>
        <v/>
      </c>
      <c r="R151" s="369" t="str">
        <f t="shared" si="141"/>
        <v/>
      </c>
      <c r="S151" s="369" t="str">
        <f t="shared" si="141"/>
        <v/>
      </c>
      <c r="T151" s="369" t="str">
        <f t="shared" si="141"/>
        <v/>
      </c>
      <c r="U151" s="369" t="str">
        <f t="shared" si="141"/>
        <v/>
      </c>
      <c r="V151" s="369" t="str">
        <f t="shared" si="141"/>
        <v/>
      </c>
      <c r="W151" s="369" t="str">
        <f t="shared" si="141"/>
        <v/>
      </c>
      <c r="X151" s="369" t="str">
        <f t="shared" si="141"/>
        <v/>
      </c>
      <c r="Y151" s="369" t="str">
        <f t="shared" si="141"/>
        <v/>
      </c>
      <c r="Z151" s="369" t="str">
        <f t="shared" si="141"/>
        <v/>
      </c>
      <c r="AA151" s="369" t="str">
        <f t="shared" si="141"/>
        <v/>
      </c>
      <c r="AB151" s="370" t="str">
        <f t="shared" si="141"/>
        <v/>
      </c>
      <c r="AC151" s="6"/>
    </row>
    <row r="152" spans="2:29" ht="15.75" thickBot="1" x14ac:dyDescent="0.3">
      <c r="B152" s="778"/>
      <c r="C152" s="353">
        <f t="shared" si="99"/>
        <v>199</v>
      </c>
      <c r="D152" s="371" t="str">
        <f t="shared" ref="D152:AB152" si="142">IF(D100&lt;&gt;"",D100*D$107*$C152,"")</f>
        <v/>
      </c>
      <c r="E152" s="371" t="str">
        <f t="shared" si="142"/>
        <v/>
      </c>
      <c r="F152" s="371" t="str">
        <f t="shared" si="142"/>
        <v/>
      </c>
      <c r="G152" s="371" t="str">
        <f t="shared" si="142"/>
        <v/>
      </c>
      <c r="H152" s="371" t="str">
        <f t="shared" si="142"/>
        <v/>
      </c>
      <c r="I152" s="371" t="str">
        <f t="shared" si="142"/>
        <v/>
      </c>
      <c r="J152" s="371" t="str">
        <f t="shared" si="142"/>
        <v/>
      </c>
      <c r="K152" s="371" t="str">
        <f t="shared" si="142"/>
        <v/>
      </c>
      <c r="L152" s="371" t="str">
        <f t="shared" si="142"/>
        <v/>
      </c>
      <c r="M152" s="371" t="str">
        <f t="shared" si="142"/>
        <v/>
      </c>
      <c r="N152" s="371" t="str">
        <f t="shared" si="142"/>
        <v/>
      </c>
      <c r="O152" s="371" t="str">
        <f t="shared" si="142"/>
        <v/>
      </c>
      <c r="P152" s="371" t="str">
        <f t="shared" si="142"/>
        <v/>
      </c>
      <c r="Q152" s="371" t="str">
        <f t="shared" si="142"/>
        <v/>
      </c>
      <c r="R152" s="371" t="str">
        <f t="shared" si="142"/>
        <v/>
      </c>
      <c r="S152" s="371" t="str">
        <f t="shared" si="142"/>
        <v/>
      </c>
      <c r="T152" s="371" t="str">
        <f t="shared" si="142"/>
        <v/>
      </c>
      <c r="U152" s="371" t="str">
        <f t="shared" si="142"/>
        <v/>
      </c>
      <c r="V152" s="371" t="str">
        <f t="shared" si="142"/>
        <v/>
      </c>
      <c r="W152" s="371" t="str">
        <f t="shared" si="142"/>
        <v/>
      </c>
      <c r="X152" s="371" t="str">
        <f t="shared" si="142"/>
        <v/>
      </c>
      <c r="Y152" s="371" t="str">
        <f t="shared" si="142"/>
        <v/>
      </c>
      <c r="Z152" s="371" t="str">
        <f t="shared" si="142"/>
        <v/>
      </c>
      <c r="AA152" s="371" t="str">
        <f t="shared" si="142"/>
        <v/>
      </c>
      <c r="AB152" s="372" t="str">
        <f t="shared" si="142"/>
        <v/>
      </c>
      <c r="AC152" s="6"/>
    </row>
  </sheetData>
  <mergeCells count="13">
    <mergeCell ref="B106:C107"/>
    <mergeCell ref="D106:AB106"/>
    <mergeCell ref="B108:B152"/>
    <mergeCell ref="B54:C55"/>
    <mergeCell ref="D54:AB54"/>
    <mergeCell ref="B56:B100"/>
    <mergeCell ref="AD56:AD100"/>
    <mergeCell ref="D102:AB102"/>
    <mergeCell ref="D2:AB2"/>
    <mergeCell ref="B4:B48"/>
    <mergeCell ref="B2:C3"/>
    <mergeCell ref="D50:AB50"/>
    <mergeCell ref="AD4:AD48"/>
  </mergeCell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8"/>
  <sheetViews>
    <sheetView workbookViewId="0">
      <selection sqref="A1:XFD1048576"/>
    </sheetView>
  </sheetViews>
  <sheetFormatPr baseColWidth="10" defaultColWidth="11.42578125" defaultRowHeight="14.25" x14ac:dyDescent="0.2"/>
  <cols>
    <col min="1" max="1" width="14.5703125" style="515" customWidth="1"/>
    <col min="2" max="2" width="6.7109375" style="516" customWidth="1"/>
    <col min="3" max="3" width="6.7109375" style="517" customWidth="1"/>
    <col min="4" max="13" width="6.7109375" style="509" customWidth="1"/>
    <col min="14" max="14" width="6.7109375" style="509" hidden="1" customWidth="1"/>
    <col min="15" max="15" width="6.7109375" style="517" hidden="1" customWidth="1"/>
    <col min="16" max="16" width="10.7109375" style="517" customWidth="1"/>
    <col min="17" max="28" width="6.7109375" style="517" customWidth="1"/>
    <col min="29" max="30" width="6.7109375" style="517" hidden="1" customWidth="1"/>
    <col min="31" max="16384" width="11.42578125" style="517"/>
  </cols>
  <sheetData>
    <row r="1" spans="1:30" ht="15" thickBot="1" x14ac:dyDescent="0.25"/>
    <row r="2" spans="1:30" ht="15" customHeight="1" x14ac:dyDescent="0.2">
      <c r="B2" s="782" t="s">
        <v>224</v>
      </c>
      <c r="C2" s="793"/>
      <c r="D2" s="796" t="s">
        <v>39</v>
      </c>
      <c r="E2" s="792"/>
      <c r="F2" s="792"/>
      <c r="G2" s="792"/>
      <c r="H2" s="792"/>
      <c r="I2" s="792"/>
      <c r="J2" s="792"/>
      <c r="K2" s="792"/>
      <c r="L2" s="792"/>
      <c r="M2" s="797"/>
      <c r="Q2" s="782" t="s">
        <v>225</v>
      </c>
      <c r="R2" s="793"/>
      <c r="S2" s="796" t="s">
        <v>39</v>
      </c>
      <c r="T2" s="792"/>
      <c r="U2" s="792"/>
      <c r="V2" s="792"/>
      <c r="W2" s="792"/>
      <c r="X2" s="792"/>
      <c r="Y2" s="792"/>
      <c r="Z2" s="792"/>
      <c r="AA2" s="792"/>
      <c r="AB2" s="797"/>
      <c r="AC2" s="509"/>
    </row>
    <row r="3" spans="1:30" s="509" customFormat="1" ht="15" thickBot="1" x14ac:dyDescent="0.3">
      <c r="B3" s="794"/>
      <c r="C3" s="795"/>
      <c r="D3" s="537">
        <v>19</v>
      </c>
      <c r="E3" s="538">
        <v>20</v>
      </c>
      <c r="F3" s="538">
        <v>21</v>
      </c>
      <c r="G3" s="538">
        <v>22</v>
      </c>
      <c r="H3" s="538">
        <v>23</v>
      </c>
      <c r="I3" s="538">
        <v>24</v>
      </c>
      <c r="J3" s="538">
        <v>25</v>
      </c>
      <c r="K3" s="538">
        <v>26</v>
      </c>
      <c r="L3" s="538">
        <v>27</v>
      </c>
      <c r="M3" s="530">
        <v>28</v>
      </c>
      <c r="Q3" s="794"/>
      <c r="R3" s="795"/>
      <c r="S3" s="537">
        <v>19</v>
      </c>
      <c r="T3" s="538">
        <v>20</v>
      </c>
      <c r="U3" s="538">
        <v>21</v>
      </c>
      <c r="V3" s="538">
        <v>22</v>
      </c>
      <c r="W3" s="538">
        <v>23</v>
      </c>
      <c r="X3" s="538">
        <v>24</v>
      </c>
      <c r="Y3" s="538">
        <v>25</v>
      </c>
      <c r="Z3" s="538">
        <v>26</v>
      </c>
      <c r="AA3" s="538">
        <v>27</v>
      </c>
      <c r="AB3" s="530">
        <v>28</v>
      </c>
    </row>
    <row r="4" spans="1:30" ht="15" customHeight="1" x14ac:dyDescent="0.25">
      <c r="A4" s="517"/>
      <c r="B4" s="798" t="s">
        <v>38</v>
      </c>
      <c r="C4" s="532">
        <v>155</v>
      </c>
      <c r="D4" s="539" t="s">
        <v>177</v>
      </c>
      <c r="E4" s="540" t="s">
        <v>177</v>
      </c>
      <c r="F4" s="540" t="s">
        <v>177</v>
      </c>
      <c r="G4" s="540" t="s">
        <v>177</v>
      </c>
      <c r="H4" s="540">
        <v>1</v>
      </c>
      <c r="I4" s="540" t="s">
        <v>177</v>
      </c>
      <c r="J4" s="540" t="s">
        <v>177</v>
      </c>
      <c r="K4" s="540" t="s">
        <v>177</v>
      </c>
      <c r="L4" s="540" t="s">
        <v>177</v>
      </c>
      <c r="M4" s="568" t="s">
        <v>177</v>
      </c>
      <c r="N4" s="533">
        <v>1</v>
      </c>
      <c r="O4" s="779" t="s">
        <v>220</v>
      </c>
      <c r="Q4" s="782" t="s">
        <v>38</v>
      </c>
      <c r="R4" s="532">
        <v>155</v>
      </c>
      <c r="S4" s="549" t="str">
        <f t="shared" ref="S4:S30" si="0">IF(D4&lt;&gt;"",D4/$N$31,"")</f>
        <v/>
      </c>
      <c r="T4" s="550" t="str">
        <f t="shared" ref="T4:T30" si="1">IF(E4&lt;&gt;"",E4/$N$31,"")</f>
        <v/>
      </c>
      <c r="U4" s="550" t="str">
        <f t="shared" ref="U4:U30" si="2">IF(F4&lt;&gt;"",F4/$N$31,"")</f>
        <v/>
      </c>
      <c r="V4" s="550" t="str">
        <f t="shared" ref="V4:V30" si="3">IF(G4&lt;&gt;"",G4/$N$31,"")</f>
        <v/>
      </c>
      <c r="W4" s="550">
        <f t="shared" ref="W4:W30" si="4">IF(H4&lt;&gt;"",H4/$N$31,"")</f>
        <v>1.4285714285714285E-2</v>
      </c>
      <c r="X4" s="550" t="str">
        <f t="shared" ref="X4:X30" si="5">IF(I4&lt;&gt;"",I4/$N$31,"")</f>
        <v/>
      </c>
      <c r="Y4" s="550" t="str">
        <f t="shared" ref="Y4:Y30" si="6">IF(J4&lt;&gt;"",J4/$N$31,"")</f>
        <v/>
      </c>
      <c r="Z4" s="550" t="str">
        <f t="shared" ref="Z4:Z30" si="7">IF(K4&lt;&gt;"",K4/$N$31,"")</f>
        <v/>
      </c>
      <c r="AA4" s="550" t="str">
        <f t="shared" ref="AA4:AA30" si="8">IF(L4&lt;&gt;"",L4/$N$31,"")</f>
        <v/>
      </c>
      <c r="AB4" s="562" t="str">
        <f t="shared" ref="AB4:AB30" si="9">IF(M4&lt;&gt;"",M4/$N$31,"")</f>
        <v/>
      </c>
      <c r="AC4" s="546">
        <f t="shared" ref="AC4:AC30" si="10">IF(SUM(S4:AB4)&gt;0,SUM(S4:AB4),"")</f>
        <v>1.4285714285714285E-2</v>
      </c>
      <c r="AD4" s="779" t="s">
        <v>223</v>
      </c>
    </row>
    <row r="5" spans="1:30" x14ac:dyDescent="0.25">
      <c r="A5" s="517"/>
      <c r="B5" s="799"/>
      <c r="C5" s="555">
        <v>160</v>
      </c>
      <c r="D5" s="556">
        <v>1</v>
      </c>
      <c r="E5" s="557" t="s">
        <v>177</v>
      </c>
      <c r="F5" s="557">
        <v>1</v>
      </c>
      <c r="G5" s="557">
        <v>1</v>
      </c>
      <c r="H5" s="557">
        <v>1</v>
      </c>
      <c r="I5" s="557">
        <v>1</v>
      </c>
      <c r="J5" s="557" t="s">
        <v>177</v>
      </c>
      <c r="K5" s="557" t="s">
        <v>177</v>
      </c>
      <c r="L5" s="557" t="s">
        <v>177</v>
      </c>
      <c r="M5" s="569" t="s">
        <v>177</v>
      </c>
      <c r="N5" s="558">
        <v>5</v>
      </c>
      <c r="O5" s="780"/>
      <c r="Q5" s="783"/>
      <c r="R5" s="555">
        <v>160</v>
      </c>
      <c r="S5" s="559">
        <f t="shared" si="0"/>
        <v>1.4285714285714285E-2</v>
      </c>
      <c r="T5" s="560" t="str">
        <f t="shared" si="1"/>
        <v/>
      </c>
      <c r="U5" s="560">
        <f t="shared" si="2"/>
        <v>1.4285714285714285E-2</v>
      </c>
      <c r="V5" s="560">
        <f t="shared" si="3"/>
        <v>1.4285714285714285E-2</v>
      </c>
      <c r="W5" s="560">
        <f t="shared" si="4"/>
        <v>1.4285714285714285E-2</v>
      </c>
      <c r="X5" s="560">
        <f t="shared" si="5"/>
        <v>1.4285714285714285E-2</v>
      </c>
      <c r="Y5" s="560" t="str">
        <f t="shared" si="6"/>
        <v/>
      </c>
      <c r="Z5" s="560" t="str">
        <f t="shared" si="7"/>
        <v/>
      </c>
      <c r="AA5" s="560" t="str">
        <f t="shared" si="8"/>
        <v/>
      </c>
      <c r="AB5" s="563" t="str">
        <f t="shared" si="9"/>
        <v/>
      </c>
      <c r="AC5" s="561">
        <f t="shared" si="10"/>
        <v>7.1428571428571425E-2</v>
      </c>
      <c r="AD5" s="780"/>
    </row>
    <row r="6" spans="1:30" x14ac:dyDescent="0.25">
      <c r="A6" s="517"/>
      <c r="B6" s="799"/>
      <c r="C6" s="534">
        <v>161</v>
      </c>
      <c r="D6" s="541" t="s">
        <v>177</v>
      </c>
      <c r="E6" s="509" t="s">
        <v>177</v>
      </c>
      <c r="F6" s="509" t="s">
        <v>177</v>
      </c>
      <c r="G6" s="509">
        <v>1</v>
      </c>
      <c r="H6" s="509" t="s">
        <v>177</v>
      </c>
      <c r="I6" s="509" t="s">
        <v>177</v>
      </c>
      <c r="J6" s="509" t="s">
        <v>177</v>
      </c>
      <c r="K6" s="509" t="s">
        <v>177</v>
      </c>
      <c r="L6" s="509" t="s">
        <v>177</v>
      </c>
      <c r="M6" s="570" t="s">
        <v>177</v>
      </c>
      <c r="N6" s="535">
        <v>1</v>
      </c>
      <c r="O6" s="780"/>
      <c r="Q6" s="783"/>
      <c r="R6" s="534">
        <v>161</v>
      </c>
      <c r="S6" s="551" t="str">
        <f t="shared" si="0"/>
        <v/>
      </c>
      <c r="T6" s="552" t="str">
        <f t="shared" si="1"/>
        <v/>
      </c>
      <c r="U6" s="552" t="str">
        <f t="shared" si="2"/>
        <v/>
      </c>
      <c r="V6" s="552">
        <f t="shared" si="3"/>
        <v>1.4285714285714285E-2</v>
      </c>
      <c r="W6" s="552" t="str">
        <f t="shared" si="4"/>
        <v/>
      </c>
      <c r="X6" s="552" t="str">
        <f t="shared" si="5"/>
        <v/>
      </c>
      <c r="Y6" s="552" t="str">
        <f t="shared" si="6"/>
        <v/>
      </c>
      <c r="Z6" s="552" t="str">
        <f t="shared" si="7"/>
        <v/>
      </c>
      <c r="AA6" s="552" t="str">
        <f t="shared" si="8"/>
        <v/>
      </c>
      <c r="AB6" s="564" t="str">
        <f t="shared" si="9"/>
        <v/>
      </c>
      <c r="AC6" s="547">
        <f t="shared" si="10"/>
        <v>1.4285714285714285E-2</v>
      </c>
      <c r="AD6" s="780"/>
    </row>
    <row r="7" spans="1:30" x14ac:dyDescent="0.25">
      <c r="A7" s="517"/>
      <c r="B7" s="799"/>
      <c r="C7" s="555">
        <v>163</v>
      </c>
      <c r="D7" s="556" t="s">
        <v>177</v>
      </c>
      <c r="E7" s="557">
        <v>2</v>
      </c>
      <c r="F7" s="557">
        <v>1</v>
      </c>
      <c r="G7" s="557" t="s">
        <v>177</v>
      </c>
      <c r="H7" s="557" t="s">
        <v>177</v>
      </c>
      <c r="I7" s="557" t="s">
        <v>177</v>
      </c>
      <c r="J7" s="557" t="s">
        <v>177</v>
      </c>
      <c r="K7" s="557" t="s">
        <v>177</v>
      </c>
      <c r="L7" s="557" t="s">
        <v>177</v>
      </c>
      <c r="M7" s="569" t="s">
        <v>177</v>
      </c>
      <c r="N7" s="558">
        <v>3</v>
      </c>
      <c r="O7" s="780"/>
      <c r="Q7" s="783"/>
      <c r="R7" s="555">
        <v>163</v>
      </c>
      <c r="S7" s="559" t="str">
        <f t="shared" si="0"/>
        <v/>
      </c>
      <c r="T7" s="560">
        <f t="shared" si="1"/>
        <v>2.8571428571428571E-2</v>
      </c>
      <c r="U7" s="560">
        <f t="shared" si="2"/>
        <v>1.4285714285714285E-2</v>
      </c>
      <c r="V7" s="560" t="str">
        <f t="shared" si="3"/>
        <v/>
      </c>
      <c r="W7" s="560" t="str">
        <f t="shared" si="4"/>
        <v/>
      </c>
      <c r="X7" s="560" t="str">
        <f t="shared" si="5"/>
        <v/>
      </c>
      <c r="Y7" s="560" t="str">
        <f t="shared" si="6"/>
        <v/>
      </c>
      <c r="Z7" s="560" t="str">
        <f t="shared" si="7"/>
        <v/>
      </c>
      <c r="AA7" s="560" t="str">
        <f t="shared" si="8"/>
        <v/>
      </c>
      <c r="AB7" s="563" t="str">
        <f t="shared" si="9"/>
        <v/>
      </c>
      <c r="AC7" s="561">
        <f t="shared" si="10"/>
        <v>4.2857142857142858E-2</v>
      </c>
      <c r="AD7" s="780"/>
    </row>
    <row r="8" spans="1:30" x14ac:dyDescent="0.25">
      <c r="A8" s="517"/>
      <c r="B8" s="799"/>
      <c r="C8" s="534">
        <v>164</v>
      </c>
      <c r="D8" s="541" t="s">
        <v>177</v>
      </c>
      <c r="E8" s="509" t="s">
        <v>177</v>
      </c>
      <c r="F8" s="509" t="s">
        <v>177</v>
      </c>
      <c r="G8" s="509" t="s">
        <v>177</v>
      </c>
      <c r="H8" s="509" t="s">
        <v>177</v>
      </c>
      <c r="I8" s="509" t="s">
        <v>177</v>
      </c>
      <c r="J8" s="509" t="s">
        <v>177</v>
      </c>
      <c r="K8" s="509">
        <v>1</v>
      </c>
      <c r="L8" s="509" t="s">
        <v>177</v>
      </c>
      <c r="M8" s="570" t="s">
        <v>177</v>
      </c>
      <c r="N8" s="535">
        <v>1</v>
      </c>
      <c r="O8" s="780"/>
      <c r="Q8" s="783"/>
      <c r="R8" s="534">
        <v>164</v>
      </c>
      <c r="S8" s="551" t="str">
        <f t="shared" si="0"/>
        <v/>
      </c>
      <c r="T8" s="552" t="str">
        <f t="shared" si="1"/>
        <v/>
      </c>
      <c r="U8" s="552" t="str">
        <f t="shared" si="2"/>
        <v/>
      </c>
      <c r="V8" s="552" t="str">
        <f t="shared" si="3"/>
        <v/>
      </c>
      <c r="W8" s="552" t="str">
        <f t="shared" si="4"/>
        <v/>
      </c>
      <c r="X8" s="552" t="str">
        <f t="shared" si="5"/>
        <v/>
      </c>
      <c r="Y8" s="552" t="str">
        <f t="shared" si="6"/>
        <v/>
      </c>
      <c r="Z8" s="552">
        <f t="shared" si="7"/>
        <v>1.4285714285714285E-2</v>
      </c>
      <c r="AA8" s="552" t="str">
        <f t="shared" si="8"/>
        <v/>
      </c>
      <c r="AB8" s="564" t="str">
        <f t="shared" si="9"/>
        <v/>
      </c>
      <c r="AC8" s="547">
        <f t="shared" si="10"/>
        <v>1.4285714285714285E-2</v>
      </c>
      <c r="AD8" s="780"/>
    </row>
    <row r="9" spans="1:30" x14ac:dyDescent="0.25">
      <c r="A9" s="517"/>
      <c r="B9" s="799"/>
      <c r="C9" s="555">
        <v>165</v>
      </c>
      <c r="D9" s="556" t="s">
        <v>177</v>
      </c>
      <c r="E9" s="557" t="s">
        <v>177</v>
      </c>
      <c r="F9" s="557">
        <v>1</v>
      </c>
      <c r="G9" s="557">
        <v>2</v>
      </c>
      <c r="H9" s="557" t="s">
        <v>177</v>
      </c>
      <c r="I9" s="557" t="s">
        <v>177</v>
      </c>
      <c r="J9" s="557" t="s">
        <v>177</v>
      </c>
      <c r="K9" s="557" t="s">
        <v>177</v>
      </c>
      <c r="L9" s="557" t="s">
        <v>177</v>
      </c>
      <c r="M9" s="569" t="s">
        <v>177</v>
      </c>
      <c r="N9" s="558">
        <v>3</v>
      </c>
      <c r="O9" s="780"/>
      <c r="Q9" s="783"/>
      <c r="R9" s="555">
        <v>165</v>
      </c>
      <c r="S9" s="559" t="str">
        <f t="shared" si="0"/>
        <v/>
      </c>
      <c r="T9" s="560" t="str">
        <f t="shared" si="1"/>
        <v/>
      </c>
      <c r="U9" s="560">
        <f t="shared" si="2"/>
        <v>1.4285714285714285E-2</v>
      </c>
      <c r="V9" s="560">
        <f t="shared" si="3"/>
        <v>2.8571428571428571E-2</v>
      </c>
      <c r="W9" s="560" t="str">
        <f t="shared" si="4"/>
        <v/>
      </c>
      <c r="X9" s="560" t="str">
        <f t="shared" si="5"/>
        <v/>
      </c>
      <c r="Y9" s="560" t="str">
        <f t="shared" si="6"/>
        <v/>
      </c>
      <c r="Z9" s="560" t="str">
        <f t="shared" si="7"/>
        <v/>
      </c>
      <c r="AA9" s="560" t="str">
        <f t="shared" si="8"/>
        <v/>
      </c>
      <c r="AB9" s="563" t="str">
        <f t="shared" si="9"/>
        <v/>
      </c>
      <c r="AC9" s="561">
        <f t="shared" si="10"/>
        <v>4.2857142857142858E-2</v>
      </c>
      <c r="AD9" s="780"/>
    </row>
    <row r="10" spans="1:30" x14ac:dyDescent="0.25">
      <c r="A10" s="517"/>
      <c r="B10" s="799"/>
      <c r="C10" s="534">
        <v>168</v>
      </c>
      <c r="D10" s="541">
        <v>1</v>
      </c>
      <c r="E10" s="509" t="s">
        <v>177</v>
      </c>
      <c r="F10" s="509" t="s">
        <v>177</v>
      </c>
      <c r="G10" s="509" t="s">
        <v>177</v>
      </c>
      <c r="H10" s="509" t="s">
        <v>177</v>
      </c>
      <c r="I10" s="509" t="s">
        <v>177</v>
      </c>
      <c r="J10" s="509" t="s">
        <v>177</v>
      </c>
      <c r="K10" s="509" t="s">
        <v>177</v>
      </c>
      <c r="L10" s="509" t="s">
        <v>177</v>
      </c>
      <c r="M10" s="570" t="s">
        <v>177</v>
      </c>
      <c r="N10" s="535">
        <v>1</v>
      </c>
      <c r="O10" s="780"/>
      <c r="Q10" s="783"/>
      <c r="R10" s="534">
        <v>168</v>
      </c>
      <c r="S10" s="551">
        <f t="shared" si="0"/>
        <v>1.4285714285714285E-2</v>
      </c>
      <c r="T10" s="552" t="str">
        <f t="shared" si="1"/>
        <v/>
      </c>
      <c r="U10" s="552" t="str">
        <f t="shared" si="2"/>
        <v/>
      </c>
      <c r="V10" s="552" t="str">
        <f t="shared" si="3"/>
        <v/>
      </c>
      <c r="W10" s="552" t="str">
        <f t="shared" si="4"/>
        <v/>
      </c>
      <c r="X10" s="552" t="str">
        <f t="shared" si="5"/>
        <v/>
      </c>
      <c r="Y10" s="552" t="str">
        <f t="shared" si="6"/>
        <v/>
      </c>
      <c r="Z10" s="552" t="str">
        <f t="shared" si="7"/>
        <v/>
      </c>
      <c r="AA10" s="552" t="str">
        <f t="shared" si="8"/>
        <v/>
      </c>
      <c r="AB10" s="564" t="str">
        <f t="shared" si="9"/>
        <v/>
      </c>
      <c r="AC10" s="547">
        <f t="shared" si="10"/>
        <v>1.4285714285714285E-2</v>
      </c>
      <c r="AD10" s="780"/>
    </row>
    <row r="11" spans="1:30" x14ac:dyDescent="0.25">
      <c r="A11" s="517"/>
      <c r="B11" s="799"/>
      <c r="C11" s="555">
        <v>169</v>
      </c>
      <c r="D11" s="556" t="s">
        <v>177</v>
      </c>
      <c r="E11" s="557" t="s">
        <v>177</v>
      </c>
      <c r="F11" s="557" t="s">
        <v>177</v>
      </c>
      <c r="G11" s="557" t="s">
        <v>177</v>
      </c>
      <c r="H11" s="557" t="s">
        <v>177</v>
      </c>
      <c r="I11" s="557" t="s">
        <v>177</v>
      </c>
      <c r="J11" s="557" t="s">
        <v>177</v>
      </c>
      <c r="K11" s="557" t="s">
        <v>177</v>
      </c>
      <c r="L11" s="557" t="s">
        <v>177</v>
      </c>
      <c r="M11" s="569">
        <v>1</v>
      </c>
      <c r="N11" s="558">
        <v>1</v>
      </c>
      <c r="O11" s="780"/>
      <c r="Q11" s="783"/>
      <c r="R11" s="555">
        <v>169</v>
      </c>
      <c r="S11" s="559" t="str">
        <f t="shared" si="0"/>
        <v/>
      </c>
      <c r="T11" s="560" t="str">
        <f t="shared" si="1"/>
        <v/>
      </c>
      <c r="U11" s="560" t="str">
        <f t="shared" si="2"/>
        <v/>
      </c>
      <c r="V11" s="560" t="str">
        <f t="shared" si="3"/>
        <v/>
      </c>
      <c r="W11" s="560" t="str">
        <f t="shared" si="4"/>
        <v/>
      </c>
      <c r="X11" s="560" t="str">
        <f t="shared" si="5"/>
        <v/>
      </c>
      <c r="Y11" s="560" t="str">
        <f t="shared" si="6"/>
        <v/>
      </c>
      <c r="Z11" s="560" t="str">
        <f t="shared" si="7"/>
        <v/>
      </c>
      <c r="AA11" s="560" t="str">
        <f t="shared" si="8"/>
        <v/>
      </c>
      <c r="AB11" s="563">
        <f t="shared" si="9"/>
        <v>1.4285714285714285E-2</v>
      </c>
      <c r="AC11" s="561">
        <f t="shared" si="10"/>
        <v>1.4285714285714285E-2</v>
      </c>
      <c r="AD11" s="780"/>
    </row>
    <row r="12" spans="1:30" x14ac:dyDescent="0.25">
      <c r="A12" s="517"/>
      <c r="B12" s="799"/>
      <c r="C12" s="534">
        <v>170</v>
      </c>
      <c r="D12" s="541" t="s">
        <v>177</v>
      </c>
      <c r="E12" s="509">
        <v>1</v>
      </c>
      <c r="F12" s="509" t="s">
        <v>177</v>
      </c>
      <c r="G12" s="509">
        <v>3</v>
      </c>
      <c r="H12" s="509">
        <v>1</v>
      </c>
      <c r="I12" s="509">
        <v>1</v>
      </c>
      <c r="J12" s="509">
        <v>1</v>
      </c>
      <c r="K12" s="509" t="s">
        <v>177</v>
      </c>
      <c r="L12" s="509" t="s">
        <v>177</v>
      </c>
      <c r="M12" s="570" t="s">
        <v>177</v>
      </c>
      <c r="N12" s="535">
        <v>7</v>
      </c>
      <c r="O12" s="780"/>
      <c r="Q12" s="783"/>
      <c r="R12" s="534">
        <v>170</v>
      </c>
      <c r="S12" s="551" t="str">
        <f t="shared" si="0"/>
        <v/>
      </c>
      <c r="T12" s="552">
        <f t="shared" si="1"/>
        <v>1.4285714285714285E-2</v>
      </c>
      <c r="U12" s="552" t="str">
        <f t="shared" si="2"/>
        <v/>
      </c>
      <c r="V12" s="552">
        <f t="shared" si="3"/>
        <v>4.2857142857142858E-2</v>
      </c>
      <c r="W12" s="552">
        <f t="shared" si="4"/>
        <v>1.4285714285714285E-2</v>
      </c>
      <c r="X12" s="552">
        <f t="shared" si="5"/>
        <v>1.4285714285714285E-2</v>
      </c>
      <c r="Y12" s="552">
        <f t="shared" si="6"/>
        <v>1.4285714285714285E-2</v>
      </c>
      <c r="Z12" s="552" t="str">
        <f t="shared" si="7"/>
        <v/>
      </c>
      <c r="AA12" s="552" t="str">
        <f t="shared" si="8"/>
        <v/>
      </c>
      <c r="AB12" s="564" t="str">
        <f t="shared" si="9"/>
        <v/>
      </c>
      <c r="AC12" s="547">
        <f t="shared" si="10"/>
        <v>0.1</v>
      </c>
      <c r="AD12" s="780"/>
    </row>
    <row r="13" spans="1:30" x14ac:dyDescent="0.25">
      <c r="A13" s="517"/>
      <c r="B13" s="799"/>
      <c r="C13" s="555">
        <v>171</v>
      </c>
      <c r="D13" s="556" t="s">
        <v>177</v>
      </c>
      <c r="E13" s="557" t="s">
        <v>177</v>
      </c>
      <c r="F13" s="557" t="s">
        <v>177</v>
      </c>
      <c r="G13" s="557" t="s">
        <v>177</v>
      </c>
      <c r="H13" s="557" t="s">
        <v>177</v>
      </c>
      <c r="I13" s="557">
        <v>1</v>
      </c>
      <c r="J13" s="557" t="s">
        <v>177</v>
      </c>
      <c r="K13" s="557" t="s">
        <v>177</v>
      </c>
      <c r="L13" s="557" t="s">
        <v>177</v>
      </c>
      <c r="M13" s="569" t="s">
        <v>177</v>
      </c>
      <c r="N13" s="558">
        <v>1</v>
      </c>
      <c r="O13" s="780"/>
      <c r="Q13" s="783"/>
      <c r="R13" s="555">
        <v>171</v>
      </c>
      <c r="S13" s="559" t="str">
        <f t="shared" si="0"/>
        <v/>
      </c>
      <c r="T13" s="560" t="str">
        <f t="shared" si="1"/>
        <v/>
      </c>
      <c r="U13" s="560" t="str">
        <f t="shared" si="2"/>
        <v/>
      </c>
      <c r="V13" s="560" t="str">
        <f t="shared" si="3"/>
        <v/>
      </c>
      <c r="W13" s="560" t="str">
        <f t="shared" si="4"/>
        <v/>
      </c>
      <c r="X13" s="560">
        <f t="shared" si="5"/>
        <v>1.4285714285714285E-2</v>
      </c>
      <c r="Y13" s="560" t="str">
        <f t="shared" si="6"/>
        <v/>
      </c>
      <c r="Z13" s="560" t="str">
        <f t="shared" si="7"/>
        <v/>
      </c>
      <c r="AA13" s="560" t="str">
        <f t="shared" si="8"/>
        <v/>
      </c>
      <c r="AB13" s="563" t="str">
        <f t="shared" si="9"/>
        <v/>
      </c>
      <c r="AC13" s="561">
        <f t="shared" si="10"/>
        <v>1.4285714285714285E-2</v>
      </c>
      <c r="AD13" s="780"/>
    </row>
    <row r="14" spans="1:30" x14ac:dyDescent="0.25">
      <c r="A14" s="517"/>
      <c r="B14" s="799"/>
      <c r="C14" s="534">
        <v>172</v>
      </c>
      <c r="D14" s="541" t="s">
        <v>177</v>
      </c>
      <c r="E14" s="509" t="s">
        <v>177</v>
      </c>
      <c r="F14" s="509" t="s">
        <v>177</v>
      </c>
      <c r="G14" s="509" t="s">
        <v>177</v>
      </c>
      <c r="H14" s="509" t="s">
        <v>177</v>
      </c>
      <c r="I14" s="509" t="s">
        <v>177</v>
      </c>
      <c r="J14" s="509">
        <v>1</v>
      </c>
      <c r="K14" s="509" t="s">
        <v>177</v>
      </c>
      <c r="L14" s="509" t="s">
        <v>177</v>
      </c>
      <c r="M14" s="570" t="s">
        <v>177</v>
      </c>
      <c r="N14" s="535">
        <v>1</v>
      </c>
      <c r="O14" s="780"/>
      <c r="Q14" s="783"/>
      <c r="R14" s="534">
        <v>172</v>
      </c>
      <c r="S14" s="551" t="str">
        <f t="shared" si="0"/>
        <v/>
      </c>
      <c r="T14" s="552" t="str">
        <f t="shared" si="1"/>
        <v/>
      </c>
      <c r="U14" s="552" t="str">
        <f t="shared" si="2"/>
        <v/>
      </c>
      <c r="V14" s="552" t="str">
        <f t="shared" si="3"/>
        <v/>
      </c>
      <c r="W14" s="552" t="str">
        <f t="shared" si="4"/>
        <v/>
      </c>
      <c r="X14" s="552" t="str">
        <f t="shared" si="5"/>
        <v/>
      </c>
      <c r="Y14" s="552">
        <f t="shared" si="6"/>
        <v>1.4285714285714285E-2</v>
      </c>
      <c r="Z14" s="552" t="str">
        <f t="shared" si="7"/>
        <v/>
      </c>
      <c r="AA14" s="552" t="str">
        <f t="shared" si="8"/>
        <v/>
      </c>
      <c r="AB14" s="564" t="str">
        <f t="shared" si="9"/>
        <v/>
      </c>
      <c r="AC14" s="547">
        <f t="shared" si="10"/>
        <v>1.4285714285714285E-2</v>
      </c>
      <c r="AD14" s="780"/>
    </row>
    <row r="15" spans="1:30" x14ac:dyDescent="0.25">
      <c r="A15" s="517"/>
      <c r="B15" s="799"/>
      <c r="C15" s="555">
        <v>173</v>
      </c>
      <c r="D15" s="556" t="s">
        <v>177</v>
      </c>
      <c r="E15" s="557" t="s">
        <v>177</v>
      </c>
      <c r="F15" s="557">
        <v>1</v>
      </c>
      <c r="G15" s="557" t="s">
        <v>177</v>
      </c>
      <c r="H15" s="557" t="s">
        <v>177</v>
      </c>
      <c r="I15" s="557" t="s">
        <v>177</v>
      </c>
      <c r="J15" s="557" t="s">
        <v>177</v>
      </c>
      <c r="K15" s="557" t="s">
        <v>177</v>
      </c>
      <c r="L15" s="557" t="s">
        <v>177</v>
      </c>
      <c r="M15" s="569" t="s">
        <v>177</v>
      </c>
      <c r="N15" s="558">
        <v>1</v>
      </c>
      <c r="O15" s="780"/>
      <c r="Q15" s="783"/>
      <c r="R15" s="555">
        <v>173</v>
      </c>
      <c r="S15" s="559" t="str">
        <f t="shared" si="0"/>
        <v/>
      </c>
      <c r="T15" s="560" t="str">
        <f t="shared" si="1"/>
        <v/>
      </c>
      <c r="U15" s="560">
        <f t="shared" si="2"/>
        <v>1.4285714285714285E-2</v>
      </c>
      <c r="V15" s="560" t="str">
        <f t="shared" si="3"/>
        <v/>
      </c>
      <c r="W15" s="560" t="str">
        <f t="shared" si="4"/>
        <v/>
      </c>
      <c r="X15" s="560" t="str">
        <f t="shared" si="5"/>
        <v/>
      </c>
      <c r="Y15" s="560" t="str">
        <f t="shared" si="6"/>
        <v/>
      </c>
      <c r="Z15" s="560" t="str">
        <f t="shared" si="7"/>
        <v/>
      </c>
      <c r="AA15" s="560" t="str">
        <f t="shared" si="8"/>
        <v/>
      </c>
      <c r="AB15" s="563" t="str">
        <f t="shared" si="9"/>
        <v/>
      </c>
      <c r="AC15" s="561">
        <f t="shared" si="10"/>
        <v>1.4285714285714285E-2</v>
      </c>
      <c r="AD15" s="780"/>
    </row>
    <row r="16" spans="1:30" x14ac:dyDescent="0.25">
      <c r="A16" s="517"/>
      <c r="B16" s="799"/>
      <c r="C16" s="534">
        <v>174</v>
      </c>
      <c r="D16" s="541" t="s">
        <v>177</v>
      </c>
      <c r="E16" s="509">
        <v>1</v>
      </c>
      <c r="F16" s="509">
        <v>1</v>
      </c>
      <c r="G16" s="509">
        <v>1</v>
      </c>
      <c r="H16" s="509" t="s">
        <v>177</v>
      </c>
      <c r="I16" s="509" t="s">
        <v>177</v>
      </c>
      <c r="J16" s="509" t="s">
        <v>177</v>
      </c>
      <c r="K16" s="509" t="s">
        <v>177</v>
      </c>
      <c r="L16" s="509" t="s">
        <v>177</v>
      </c>
      <c r="M16" s="570" t="s">
        <v>177</v>
      </c>
      <c r="N16" s="535">
        <v>3</v>
      </c>
      <c r="O16" s="780"/>
      <c r="Q16" s="783"/>
      <c r="R16" s="534">
        <v>174</v>
      </c>
      <c r="S16" s="551" t="str">
        <f t="shared" si="0"/>
        <v/>
      </c>
      <c r="T16" s="552">
        <f t="shared" si="1"/>
        <v>1.4285714285714285E-2</v>
      </c>
      <c r="U16" s="552">
        <f t="shared" si="2"/>
        <v>1.4285714285714285E-2</v>
      </c>
      <c r="V16" s="552">
        <f t="shared" si="3"/>
        <v>1.4285714285714285E-2</v>
      </c>
      <c r="W16" s="552" t="str">
        <f t="shared" si="4"/>
        <v/>
      </c>
      <c r="X16" s="552" t="str">
        <f t="shared" si="5"/>
        <v/>
      </c>
      <c r="Y16" s="552" t="str">
        <f t="shared" si="6"/>
        <v/>
      </c>
      <c r="Z16" s="552" t="str">
        <f t="shared" si="7"/>
        <v/>
      </c>
      <c r="AA16" s="552" t="str">
        <f t="shared" si="8"/>
        <v/>
      </c>
      <c r="AB16" s="564" t="str">
        <f t="shared" si="9"/>
        <v/>
      </c>
      <c r="AC16" s="547">
        <f t="shared" si="10"/>
        <v>4.2857142857142858E-2</v>
      </c>
      <c r="AD16" s="780"/>
    </row>
    <row r="17" spans="1:30" x14ac:dyDescent="0.25">
      <c r="A17" s="517"/>
      <c r="B17" s="799"/>
      <c r="C17" s="555">
        <v>175</v>
      </c>
      <c r="D17" s="556" t="s">
        <v>177</v>
      </c>
      <c r="E17" s="557" t="s">
        <v>177</v>
      </c>
      <c r="F17" s="557" t="s">
        <v>177</v>
      </c>
      <c r="G17" s="557" t="s">
        <v>177</v>
      </c>
      <c r="H17" s="557" t="s">
        <v>177</v>
      </c>
      <c r="I17" s="557" t="s">
        <v>177</v>
      </c>
      <c r="J17" s="557" t="s">
        <v>177</v>
      </c>
      <c r="K17" s="557">
        <v>1</v>
      </c>
      <c r="L17" s="557" t="s">
        <v>177</v>
      </c>
      <c r="M17" s="569" t="s">
        <v>177</v>
      </c>
      <c r="N17" s="558">
        <v>1</v>
      </c>
      <c r="O17" s="780"/>
      <c r="Q17" s="783"/>
      <c r="R17" s="555">
        <v>175</v>
      </c>
      <c r="S17" s="559" t="str">
        <f t="shared" si="0"/>
        <v/>
      </c>
      <c r="T17" s="560" t="str">
        <f t="shared" si="1"/>
        <v/>
      </c>
      <c r="U17" s="560" t="str">
        <f t="shared" si="2"/>
        <v/>
      </c>
      <c r="V17" s="560" t="str">
        <f t="shared" si="3"/>
        <v/>
      </c>
      <c r="W17" s="560" t="str">
        <f t="shared" si="4"/>
        <v/>
      </c>
      <c r="X17" s="560" t="str">
        <f t="shared" si="5"/>
        <v/>
      </c>
      <c r="Y17" s="560" t="str">
        <f t="shared" si="6"/>
        <v/>
      </c>
      <c r="Z17" s="560">
        <f t="shared" si="7"/>
        <v>1.4285714285714285E-2</v>
      </c>
      <c r="AA17" s="560" t="str">
        <f t="shared" si="8"/>
        <v/>
      </c>
      <c r="AB17" s="563" t="str">
        <f t="shared" si="9"/>
        <v/>
      </c>
      <c r="AC17" s="561">
        <f t="shared" si="10"/>
        <v>1.4285714285714285E-2</v>
      </c>
      <c r="AD17" s="780"/>
    </row>
    <row r="18" spans="1:30" x14ac:dyDescent="0.25">
      <c r="A18" s="517"/>
      <c r="B18" s="799"/>
      <c r="C18" s="534">
        <v>176</v>
      </c>
      <c r="D18" s="541" t="s">
        <v>177</v>
      </c>
      <c r="E18" s="509" t="s">
        <v>177</v>
      </c>
      <c r="F18" s="509">
        <v>2</v>
      </c>
      <c r="G18" s="509" t="s">
        <v>177</v>
      </c>
      <c r="H18" s="509">
        <v>2</v>
      </c>
      <c r="I18" s="509" t="s">
        <v>177</v>
      </c>
      <c r="J18" s="509">
        <v>2</v>
      </c>
      <c r="K18" s="509" t="s">
        <v>177</v>
      </c>
      <c r="L18" s="509" t="s">
        <v>177</v>
      </c>
      <c r="M18" s="570" t="s">
        <v>177</v>
      </c>
      <c r="N18" s="535">
        <v>6</v>
      </c>
      <c r="O18" s="780"/>
      <c r="Q18" s="783"/>
      <c r="R18" s="534">
        <v>176</v>
      </c>
      <c r="S18" s="551" t="str">
        <f t="shared" si="0"/>
        <v/>
      </c>
      <c r="T18" s="552" t="str">
        <f t="shared" si="1"/>
        <v/>
      </c>
      <c r="U18" s="552">
        <f t="shared" si="2"/>
        <v>2.8571428571428571E-2</v>
      </c>
      <c r="V18" s="552" t="str">
        <f t="shared" si="3"/>
        <v/>
      </c>
      <c r="W18" s="552">
        <f t="shared" si="4"/>
        <v>2.8571428571428571E-2</v>
      </c>
      <c r="X18" s="552" t="str">
        <f t="shared" si="5"/>
        <v/>
      </c>
      <c r="Y18" s="552">
        <f t="shared" si="6"/>
        <v>2.8571428571428571E-2</v>
      </c>
      <c r="Z18" s="552" t="str">
        <f t="shared" si="7"/>
        <v/>
      </c>
      <c r="AA18" s="552" t="str">
        <f t="shared" si="8"/>
        <v/>
      </c>
      <c r="AB18" s="564" t="str">
        <f t="shared" si="9"/>
        <v/>
      </c>
      <c r="AC18" s="547">
        <f t="shared" si="10"/>
        <v>8.5714285714285715E-2</v>
      </c>
      <c r="AD18" s="780"/>
    </row>
    <row r="19" spans="1:30" x14ac:dyDescent="0.25">
      <c r="A19" s="517"/>
      <c r="B19" s="799"/>
      <c r="C19" s="555">
        <v>178</v>
      </c>
      <c r="D19" s="556" t="s">
        <v>177</v>
      </c>
      <c r="E19" s="557" t="s">
        <v>177</v>
      </c>
      <c r="F19" s="557">
        <v>1</v>
      </c>
      <c r="G19" s="557" t="s">
        <v>177</v>
      </c>
      <c r="H19" s="557">
        <v>1</v>
      </c>
      <c r="I19" s="557" t="s">
        <v>177</v>
      </c>
      <c r="J19" s="557">
        <v>1</v>
      </c>
      <c r="K19" s="557" t="s">
        <v>177</v>
      </c>
      <c r="L19" s="557" t="s">
        <v>177</v>
      </c>
      <c r="M19" s="569" t="s">
        <v>177</v>
      </c>
      <c r="N19" s="558">
        <v>3</v>
      </c>
      <c r="O19" s="780"/>
      <c r="Q19" s="783"/>
      <c r="R19" s="555">
        <v>178</v>
      </c>
      <c r="S19" s="559" t="str">
        <f t="shared" si="0"/>
        <v/>
      </c>
      <c r="T19" s="560" t="str">
        <f t="shared" si="1"/>
        <v/>
      </c>
      <c r="U19" s="560">
        <f t="shared" si="2"/>
        <v>1.4285714285714285E-2</v>
      </c>
      <c r="V19" s="560" t="str">
        <f t="shared" si="3"/>
        <v/>
      </c>
      <c r="W19" s="560">
        <f t="shared" si="4"/>
        <v>1.4285714285714285E-2</v>
      </c>
      <c r="X19" s="560" t="str">
        <f t="shared" si="5"/>
        <v/>
      </c>
      <c r="Y19" s="560">
        <f t="shared" si="6"/>
        <v>1.4285714285714285E-2</v>
      </c>
      <c r="Z19" s="560" t="str">
        <f t="shared" si="7"/>
        <v/>
      </c>
      <c r="AA19" s="560" t="str">
        <f t="shared" si="8"/>
        <v/>
      </c>
      <c r="AB19" s="563" t="str">
        <f t="shared" si="9"/>
        <v/>
      </c>
      <c r="AC19" s="561">
        <f t="shared" si="10"/>
        <v>4.2857142857142858E-2</v>
      </c>
      <c r="AD19" s="780"/>
    </row>
    <row r="20" spans="1:30" x14ac:dyDescent="0.25">
      <c r="A20" s="517"/>
      <c r="B20" s="799"/>
      <c r="C20" s="534">
        <v>180</v>
      </c>
      <c r="D20" s="541" t="s">
        <v>177</v>
      </c>
      <c r="E20" s="509">
        <v>1</v>
      </c>
      <c r="F20" s="509" t="s">
        <v>177</v>
      </c>
      <c r="G20" s="509">
        <v>2</v>
      </c>
      <c r="H20" s="509" t="s">
        <v>177</v>
      </c>
      <c r="I20" s="509" t="s">
        <v>177</v>
      </c>
      <c r="J20" s="509">
        <v>1</v>
      </c>
      <c r="K20" s="509" t="s">
        <v>177</v>
      </c>
      <c r="L20" s="509" t="s">
        <v>177</v>
      </c>
      <c r="M20" s="570" t="s">
        <v>177</v>
      </c>
      <c r="N20" s="535">
        <v>4</v>
      </c>
      <c r="O20" s="780"/>
      <c r="Q20" s="783"/>
      <c r="R20" s="534">
        <v>180</v>
      </c>
      <c r="S20" s="551" t="str">
        <f t="shared" si="0"/>
        <v/>
      </c>
      <c r="T20" s="552">
        <f t="shared" si="1"/>
        <v>1.4285714285714285E-2</v>
      </c>
      <c r="U20" s="552" t="str">
        <f t="shared" si="2"/>
        <v/>
      </c>
      <c r="V20" s="552">
        <f t="shared" si="3"/>
        <v>2.8571428571428571E-2</v>
      </c>
      <c r="W20" s="552" t="str">
        <f t="shared" si="4"/>
        <v/>
      </c>
      <c r="X20" s="552" t="str">
        <f t="shared" si="5"/>
        <v/>
      </c>
      <c r="Y20" s="552">
        <f t="shared" si="6"/>
        <v>1.4285714285714285E-2</v>
      </c>
      <c r="Z20" s="552" t="str">
        <f t="shared" si="7"/>
        <v/>
      </c>
      <c r="AA20" s="552" t="str">
        <f t="shared" si="8"/>
        <v/>
      </c>
      <c r="AB20" s="564" t="str">
        <f t="shared" si="9"/>
        <v/>
      </c>
      <c r="AC20" s="547">
        <f t="shared" si="10"/>
        <v>5.7142857142857141E-2</v>
      </c>
      <c r="AD20" s="780"/>
    </row>
    <row r="21" spans="1:30" x14ac:dyDescent="0.25">
      <c r="A21" s="517"/>
      <c r="B21" s="799"/>
      <c r="C21" s="555">
        <v>182</v>
      </c>
      <c r="D21" s="556">
        <v>1</v>
      </c>
      <c r="E21" s="557">
        <v>1</v>
      </c>
      <c r="F21" s="557" t="s">
        <v>177</v>
      </c>
      <c r="G21" s="557" t="s">
        <v>177</v>
      </c>
      <c r="H21" s="557" t="s">
        <v>177</v>
      </c>
      <c r="I21" s="557">
        <v>2</v>
      </c>
      <c r="J21" s="557" t="s">
        <v>177</v>
      </c>
      <c r="K21" s="557">
        <v>1</v>
      </c>
      <c r="L21" s="557" t="s">
        <v>177</v>
      </c>
      <c r="M21" s="569" t="s">
        <v>177</v>
      </c>
      <c r="N21" s="558">
        <v>5</v>
      </c>
      <c r="O21" s="780"/>
      <c r="Q21" s="783"/>
      <c r="R21" s="555">
        <v>182</v>
      </c>
      <c r="S21" s="559">
        <f t="shared" si="0"/>
        <v>1.4285714285714285E-2</v>
      </c>
      <c r="T21" s="560">
        <f t="shared" si="1"/>
        <v>1.4285714285714285E-2</v>
      </c>
      <c r="U21" s="560" t="str">
        <f t="shared" si="2"/>
        <v/>
      </c>
      <c r="V21" s="560" t="str">
        <f t="shared" si="3"/>
        <v/>
      </c>
      <c r="W21" s="560" t="str">
        <f t="shared" si="4"/>
        <v/>
      </c>
      <c r="X21" s="560">
        <f t="shared" si="5"/>
        <v>2.8571428571428571E-2</v>
      </c>
      <c r="Y21" s="560" t="str">
        <f t="shared" si="6"/>
        <v/>
      </c>
      <c r="Z21" s="560">
        <f t="shared" si="7"/>
        <v>1.4285714285714285E-2</v>
      </c>
      <c r="AA21" s="560" t="str">
        <f t="shared" si="8"/>
        <v/>
      </c>
      <c r="AB21" s="563" t="str">
        <f t="shared" si="9"/>
        <v/>
      </c>
      <c r="AC21" s="561">
        <f t="shared" si="10"/>
        <v>7.1428571428571425E-2</v>
      </c>
      <c r="AD21" s="780"/>
    </row>
    <row r="22" spans="1:30" x14ac:dyDescent="0.25">
      <c r="A22" s="517"/>
      <c r="B22" s="799"/>
      <c r="C22" s="534">
        <v>183</v>
      </c>
      <c r="D22" s="541" t="s">
        <v>177</v>
      </c>
      <c r="E22" s="509">
        <v>2</v>
      </c>
      <c r="F22" s="509" t="s">
        <v>177</v>
      </c>
      <c r="G22" s="509" t="s">
        <v>177</v>
      </c>
      <c r="H22" s="509" t="s">
        <v>177</v>
      </c>
      <c r="I22" s="509">
        <v>1</v>
      </c>
      <c r="J22" s="509">
        <v>1</v>
      </c>
      <c r="K22" s="509" t="s">
        <v>177</v>
      </c>
      <c r="L22" s="509" t="s">
        <v>177</v>
      </c>
      <c r="M22" s="570" t="s">
        <v>177</v>
      </c>
      <c r="N22" s="535">
        <v>4</v>
      </c>
      <c r="O22" s="780"/>
      <c r="Q22" s="783"/>
      <c r="R22" s="534">
        <v>183</v>
      </c>
      <c r="S22" s="551" t="str">
        <f t="shared" si="0"/>
        <v/>
      </c>
      <c r="T22" s="552">
        <f t="shared" si="1"/>
        <v>2.8571428571428571E-2</v>
      </c>
      <c r="U22" s="552" t="str">
        <f t="shared" si="2"/>
        <v/>
      </c>
      <c r="V22" s="552" t="str">
        <f t="shared" si="3"/>
        <v/>
      </c>
      <c r="W22" s="552" t="str">
        <f t="shared" si="4"/>
        <v/>
      </c>
      <c r="X22" s="552">
        <f t="shared" si="5"/>
        <v>1.4285714285714285E-2</v>
      </c>
      <c r="Y22" s="552">
        <f t="shared" si="6"/>
        <v>1.4285714285714285E-2</v>
      </c>
      <c r="Z22" s="552" t="str">
        <f t="shared" si="7"/>
        <v/>
      </c>
      <c r="AA22" s="552" t="str">
        <f t="shared" si="8"/>
        <v/>
      </c>
      <c r="AB22" s="564" t="str">
        <f t="shared" si="9"/>
        <v/>
      </c>
      <c r="AC22" s="547">
        <f t="shared" si="10"/>
        <v>5.7142857142857141E-2</v>
      </c>
      <c r="AD22" s="780"/>
    </row>
    <row r="23" spans="1:30" x14ac:dyDescent="0.2">
      <c r="B23" s="799"/>
      <c r="C23" s="555">
        <v>184</v>
      </c>
      <c r="D23" s="556" t="s">
        <v>177</v>
      </c>
      <c r="E23" s="557" t="s">
        <v>177</v>
      </c>
      <c r="F23" s="557">
        <v>1</v>
      </c>
      <c r="G23" s="557">
        <v>1</v>
      </c>
      <c r="H23" s="557" t="s">
        <v>177</v>
      </c>
      <c r="I23" s="557" t="s">
        <v>177</v>
      </c>
      <c r="J23" s="557" t="s">
        <v>177</v>
      </c>
      <c r="K23" s="557">
        <v>1</v>
      </c>
      <c r="L23" s="557" t="s">
        <v>177</v>
      </c>
      <c r="M23" s="569" t="s">
        <v>177</v>
      </c>
      <c r="N23" s="558">
        <v>3</v>
      </c>
      <c r="O23" s="780"/>
      <c r="Q23" s="783"/>
      <c r="R23" s="555">
        <v>184</v>
      </c>
      <c r="S23" s="559" t="str">
        <f t="shared" si="0"/>
        <v/>
      </c>
      <c r="T23" s="560" t="str">
        <f t="shared" si="1"/>
        <v/>
      </c>
      <c r="U23" s="560">
        <f t="shared" si="2"/>
        <v>1.4285714285714285E-2</v>
      </c>
      <c r="V23" s="560">
        <f t="shared" si="3"/>
        <v>1.4285714285714285E-2</v>
      </c>
      <c r="W23" s="560" t="str">
        <f t="shared" si="4"/>
        <v/>
      </c>
      <c r="X23" s="560" t="str">
        <f t="shared" si="5"/>
        <v/>
      </c>
      <c r="Y23" s="560" t="str">
        <f t="shared" si="6"/>
        <v/>
      </c>
      <c r="Z23" s="560">
        <f t="shared" si="7"/>
        <v>1.4285714285714285E-2</v>
      </c>
      <c r="AA23" s="560" t="str">
        <f t="shared" si="8"/>
        <v/>
      </c>
      <c r="AB23" s="563" t="str">
        <f t="shared" si="9"/>
        <v/>
      </c>
      <c r="AC23" s="561">
        <f t="shared" si="10"/>
        <v>4.2857142857142858E-2</v>
      </c>
      <c r="AD23" s="780"/>
    </row>
    <row r="24" spans="1:30" ht="15" customHeight="1" x14ac:dyDescent="0.2">
      <c r="B24" s="799"/>
      <c r="C24" s="534">
        <v>185</v>
      </c>
      <c r="D24" s="541" t="s">
        <v>177</v>
      </c>
      <c r="E24" s="509">
        <v>1</v>
      </c>
      <c r="F24" s="509">
        <v>2</v>
      </c>
      <c r="G24" s="509">
        <v>1</v>
      </c>
      <c r="H24" s="509">
        <v>1</v>
      </c>
      <c r="I24" s="509" t="s">
        <v>177</v>
      </c>
      <c r="J24" s="509" t="s">
        <v>177</v>
      </c>
      <c r="K24" s="509">
        <v>2</v>
      </c>
      <c r="L24" s="509" t="s">
        <v>177</v>
      </c>
      <c r="M24" s="570" t="s">
        <v>177</v>
      </c>
      <c r="N24" s="535">
        <v>7</v>
      </c>
      <c r="O24" s="780"/>
      <c r="Q24" s="783"/>
      <c r="R24" s="534">
        <v>185</v>
      </c>
      <c r="S24" s="551" t="str">
        <f t="shared" si="0"/>
        <v/>
      </c>
      <c r="T24" s="552">
        <f t="shared" si="1"/>
        <v>1.4285714285714285E-2</v>
      </c>
      <c r="U24" s="552">
        <f t="shared" si="2"/>
        <v>2.8571428571428571E-2</v>
      </c>
      <c r="V24" s="552">
        <f t="shared" si="3"/>
        <v>1.4285714285714285E-2</v>
      </c>
      <c r="W24" s="552">
        <f t="shared" si="4"/>
        <v>1.4285714285714285E-2</v>
      </c>
      <c r="X24" s="552" t="str">
        <f t="shared" si="5"/>
        <v/>
      </c>
      <c r="Y24" s="552" t="str">
        <f t="shared" si="6"/>
        <v/>
      </c>
      <c r="Z24" s="552">
        <f t="shared" si="7"/>
        <v>2.8571428571428571E-2</v>
      </c>
      <c r="AA24" s="552" t="str">
        <f t="shared" si="8"/>
        <v/>
      </c>
      <c r="AB24" s="564" t="str">
        <f t="shared" si="9"/>
        <v/>
      </c>
      <c r="AC24" s="547">
        <f t="shared" si="10"/>
        <v>9.9999999999999992E-2</v>
      </c>
      <c r="AD24" s="780"/>
    </row>
    <row r="25" spans="1:30" x14ac:dyDescent="0.2">
      <c r="B25" s="799"/>
      <c r="C25" s="555">
        <v>187</v>
      </c>
      <c r="D25" s="556" t="s">
        <v>177</v>
      </c>
      <c r="E25" s="557" t="s">
        <v>177</v>
      </c>
      <c r="F25" s="557" t="s">
        <v>177</v>
      </c>
      <c r="G25" s="557">
        <v>1</v>
      </c>
      <c r="H25" s="557" t="s">
        <v>177</v>
      </c>
      <c r="I25" s="557" t="s">
        <v>177</v>
      </c>
      <c r="J25" s="557">
        <v>1</v>
      </c>
      <c r="K25" s="557" t="s">
        <v>177</v>
      </c>
      <c r="L25" s="557" t="s">
        <v>177</v>
      </c>
      <c r="M25" s="569" t="s">
        <v>177</v>
      </c>
      <c r="N25" s="558">
        <v>2</v>
      </c>
      <c r="O25" s="780"/>
      <c r="Q25" s="783"/>
      <c r="R25" s="555">
        <v>187</v>
      </c>
      <c r="S25" s="559" t="str">
        <f t="shared" si="0"/>
        <v/>
      </c>
      <c r="T25" s="560" t="str">
        <f t="shared" si="1"/>
        <v/>
      </c>
      <c r="U25" s="560" t="str">
        <f t="shared" si="2"/>
        <v/>
      </c>
      <c r="V25" s="560">
        <f t="shared" si="3"/>
        <v>1.4285714285714285E-2</v>
      </c>
      <c r="W25" s="560" t="str">
        <f t="shared" si="4"/>
        <v/>
      </c>
      <c r="X25" s="560" t="str">
        <f t="shared" si="5"/>
        <v/>
      </c>
      <c r="Y25" s="560">
        <f t="shared" si="6"/>
        <v>1.4285714285714285E-2</v>
      </c>
      <c r="Z25" s="560" t="str">
        <f t="shared" si="7"/>
        <v/>
      </c>
      <c r="AA25" s="560" t="str">
        <f t="shared" si="8"/>
        <v/>
      </c>
      <c r="AB25" s="563" t="str">
        <f t="shared" si="9"/>
        <v/>
      </c>
      <c r="AC25" s="561">
        <f t="shared" si="10"/>
        <v>2.8571428571428571E-2</v>
      </c>
      <c r="AD25" s="780"/>
    </row>
    <row r="26" spans="1:30" x14ac:dyDescent="0.2">
      <c r="B26" s="799"/>
      <c r="C26" s="534">
        <v>188</v>
      </c>
      <c r="D26" s="541" t="s">
        <v>177</v>
      </c>
      <c r="E26" s="509" t="s">
        <v>177</v>
      </c>
      <c r="F26" s="509" t="s">
        <v>177</v>
      </c>
      <c r="G26" s="509">
        <v>1</v>
      </c>
      <c r="H26" s="509" t="s">
        <v>177</v>
      </c>
      <c r="I26" s="509" t="s">
        <v>177</v>
      </c>
      <c r="J26" s="509" t="s">
        <v>177</v>
      </c>
      <c r="K26" s="509" t="s">
        <v>177</v>
      </c>
      <c r="L26" s="509" t="s">
        <v>177</v>
      </c>
      <c r="M26" s="570" t="s">
        <v>177</v>
      </c>
      <c r="N26" s="535">
        <v>1</v>
      </c>
      <c r="O26" s="780"/>
      <c r="Q26" s="783"/>
      <c r="R26" s="534">
        <v>188</v>
      </c>
      <c r="S26" s="551" t="str">
        <f t="shared" si="0"/>
        <v/>
      </c>
      <c r="T26" s="552" t="str">
        <f t="shared" si="1"/>
        <v/>
      </c>
      <c r="U26" s="552" t="str">
        <f t="shared" si="2"/>
        <v/>
      </c>
      <c r="V26" s="552">
        <f t="shared" si="3"/>
        <v>1.4285714285714285E-2</v>
      </c>
      <c r="W26" s="552" t="str">
        <f t="shared" si="4"/>
        <v/>
      </c>
      <c r="X26" s="552" t="str">
        <f t="shared" si="5"/>
        <v/>
      </c>
      <c r="Y26" s="552" t="str">
        <f t="shared" si="6"/>
        <v/>
      </c>
      <c r="Z26" s="552" t="str">
        <f t="shared" si="7"/>
        <v/>
      </c>
      <c r="AA26" s="552" t="str">
        <f t="shared" si="8"/>
        <v/>
      </c>
      <c r="AB26" s="564" t="str">
        <f t="shared" si="9"/>
        <v/>
      </c>
      <c r="AC26" s="547">
        <f t="shared" si="10"/>
        <v>1.4285714285714285E-2</v>
      </c>
      <c r="AD26" s="780"/>
    </row>
    <row r="27" spans="1:30" x14ac:dyDescent="0.2">
      <c r="B27" s="799"/>
      <c r="C27" s="555">
        <v>189</v>
      </c>
      <c r="D27" s="556" t="s">
        <v>177</v>
      </c>
      <c r="E27" s="557" t="s">
        <v>177</v>
      </c>
      <c r="F27" s="557" t="s">
        <v>177</v>
      </c>
      <c r="G27" s="557" t="s">
        <v>177</v>
      </c>
      <c r="H27" s="557">
        <v>1</v>
      </c>
      <c r="I27" s="557" t="s">
        <v>177</v>
      </c>
      <c r="J27" s="557" t="s">
        <v>177</v>
      </c>
      <c r="K27" s="557" t="s">
        <v>177</v>
      </c>
      <c r="L27" s="557" t="s">
        <v>177</v>
      </c>
      <c r="M27" s="569" t="s">
        <v>177</v>
      </c>
      <c r="N27" s="558">
        <v>1</v>
      </c>
      <c r="O27" s="780"/>
      <c r="Q27" s="783"/>
      <c r="R27" s="555">
        <v>189</v>
      </c>
      <c r="S27" s="559" t="str">
        <f t="shared" si="0"/>
        <v/>
      </c>
      <c r="T27" s="560" t="str">
        <f t="shared" si="1"/>
        <v/>
      </c>
      <c r="U27" s="560" t="str">
        <f t="shared" si="2"/>
        <v/>
      </c>
      <c r="V27" s="560" t="str">
        <f t="shared" si="3"/>
        <v/>
      </c>
      <c r="W27" s="560">
        <f t="shared" si="4"/>
        <v>1.4285714285714285E-2</v>
      </c>
      <c r="X27" s="560" t="str">
        <f t="shared" si="5"/>
        <v/>
      </c>
      <c r="Y27" s="560" t="str">
        <f t="shared" si="6"/>
        <v/>
      </c>
      <c r="Z27" s="560" t="str">
        <f t="shared" si="7"/>
        <v/>
      </c>
      <c r="AA27" s="560" t="str">
        <f t="shared" si="8"/>
        <v/>
      </c>
      <c r="AB27" s="563" t="str">
        <f t="shared" si="9"/>
        <v/>
      </c>
      <c r="AC27" s="561">
        <f t="shared" si="10"/>
        <v>1.4285714285714285E-2</v>
      </c>
      <c r="AD27" s="780"/>
    </row>
    <row r="28" spans="1:30" x14ac:dyDescent="0.2">
      <c r="B28" s="799"/>
      <c r="C28" s="534">
        <v>190</v>
      </c>
      <c r="D28" s="541" t="s">
        <v>177</v>
      </c>
      <c r="E28" s="509" t="s">
        <v>177</v>
      </c>
      <c r="F28" s="509" t="s">
        <v>177</v>
      </c>
      <c r="G28" s="509" t="s">
        <v>177</v>
      </c>
      <c r="H28" s="509" t="s">
        <v>177</v>
      </c>
      <c r="I28" s="509" t="s">
        <v>177</v>
      </c>
      <c r="J28" s="509" t="s">
        <v>177</v>
      </c>
      <c r="K28" s="509" t="s">
        <v>177</v>
      </c>
      <c r="L28" s="509" t="s">
        <v>177</v>
      </c>
      <c r="M28" s="570">
        <v>1</v>
      </c>
      <c r="N28" s="535">
        <v>1</v>
      </c>
      <c r="O28" s="780"/>
      <c r="Q28" s="783"/>
      <c r="R28" s="534">
        <v>190</v>
      </c>
      <c r="S28" s="551" t="str">
        <f t="shared" si="0"/>
        <v/>
      </c>
      <c r="T28" s="552" t="str">
        <f t="shared" si="1"/>
        <v/>
      </c>
      <c r="U28" s="552" t="str">
        <f t="shared" si="2"/>
        <v/>
      </c>
      <c r="V28" s="552" t="str">
        <f t="shared" si="3"/>
        <v/>
      </c>
      <c r="W28" s="552" t="str">
        <f t="shared" si="4"/>
        <v/>
      </c>
      <c r="X28" s="552" t="str">
        <f t="shared" si="5"/>
        <v/>
      </c>
      <c r="Y28" s="552" t="str">
        <f t="shared" si="6"/>
        <v/>
      </c>
      <c r="Z28" s="552" t="str">
        <f t="shared" si="7"/>
        <v/>
      </c>
      <c r="AA28" s="552" t="str">
        <f t="shared" si="8"/>
        <v/>
      </c>
      <c r="AB28" s="564">
        <f t="shared" si="9"/>
        <v>1.4285714285714285E-2</v>
      </c>
      <c r="AC28" s="547">
        <f t="shared" si="10"/>
        <v>1.4285714285714285E-2</v>
      </c>
      <c r="AD28" s="780"/>
    </row>
    <row r="29" spans="1:30" ht="15" customHeight="1" x14ac:dyDescent="0.25">
      <c r="A29" s="518"/>
      <c r="B29" s="799"/>
      <c r="C29" s="555">
        <v>193</v>
      </c>
      <c r="D29" s="556" t="s">
        <v>177</v>
      </c>
      <c r="E29" s="557" t="s">
        <v>177</v>
      </c>
      <c r="F29" s="557" t="s">
        <v>177</v>
      </c>
      <c r="G29" s="557" t="s">
        <v>177</v>
      </c>
      <c r="H29" s="557">
        <v>1</v>
      </c>
      <c r="I29" s="557" t="s">
        <v>177</v>
      </c>
      <c r="J29" s="557" t="s">
        <v>177</v>
      </c>
      <c r="K29" s="557" t="s">
        <v>177</v>
      </c>
      <c r="L29" s="557">
        <v>1</v>
      </c>
      <c r="M29" s="569" t="s">
        <v>177</v>
      </c>
      <c r="N29" s="558">
        <v>2</v>
      </c>
      <c r="O29" s="780"/>
      <c r="Q29" s="783"/>
      <c r="R29" s="555">
        <v>193</v>
      </c>
      <c r="S29" s="559" t="str">
        <f t="shared" si="0"/>
        <v/>
      </c>
      <c r="T29" s="560" t="str">
        <f t="shared" si="1"/>
        <v/>
      </c>
      <c r="U29" s="560" t="str">
        <f t="shared" si="2"/>
        <v/>
      </c>
      <c r="V29" s="560" t="str">
        <f t="shared" si="3"/>
        <v/>
      </c>
      <c r="W29" s="560">
        <f t="shared" si="4"/>
        <v>1.4285714285714285E-2</v>
      </c>
      <c r="X29" s="560" t="str">
        <f t="shared" si="5"/>
        <v/>
      </c>
      <c r="Y29" s="560" t="str">
        <f t="shared" si="6"/>
        <v/>
      </c>
      <c r="Z29" s="560" t="str">
        <f t="shared" si="7"/>
        <v/>
      </c>
      <c r="AA29" s="560">
        <f t="shared" si="8"/>
        <v>1.4285714285714285E-2</v>
      </c>
      <c r="AB29" s="563" t="str">
        <f t="shared" si="9"/>
        <v/>
      </c>
      <c r="AC29" s="561">
        <f t="shared" si="10"/>
        <v>2.8571428571428571E-2</v>
      </c>
      <c r="AD29" s="780"/>
    </row>
    <row r="30" spans="1:30" ht="15" thickBot="1" x14ac:dyDescent="0.3">
      <c r="A30" s="517"/>
      <c r="B30" s="800"/>
      <c r="C30" s="530">
        <v>195</v>
      </c>
      <c r="D30" s="571" t="s">
        <v>177</v>
      </c>
      <c r="E30" s="572">
        <v>1</v>
      </c>
      <c r="F30" s="572" t="s">
        <v>177</v>
      </c>
      <c r="G30" s="572" t="s">
        <v>177</v>
      </c>
      <c r="H30" s="572" t="s">
        <v>177</v>
      </c>
      <c r="I30" s="572" t="s">
        <v>177</v>
      </c>
      <c r="J30" s="572" t="s">
        <v>177</v>
      </c>
      <c r="K30" s="572" t="s">
        <v>177</v>
      </c>
      <c r="L30" s="572" t="s">
        <v>177</v>
      </c>
      <c r="M30" s="573" t="s">
        <v>177</v>
      </c>
      <c r="N30" s="531">
        <v>1</v>
      </c>
      <c r="O30" s="781"/>
      <c r="Q30" s="784"/>
      <c r="R30" s="544">
        <v>195</v>
      </c>
      <c r="S30" s="565" t="str">
        <f t="shared" si="0"/>
        <v/>
      </c>
      <c r="T30" s="566">
        <f t="shared" si="1"/>
        <v>1.4285714285714285E-2</v>
      </c>
      <c r="U30" s="566" t="str">
        <f t="shared" si="2"/>
        <v/>
      </c>
      <c r="V30" s="566" t="str">
        <f t="shared" si="3"/>
        <v/>
      </c>
      <c r="W30" s="566" t="str">
        <f t="shared" si="4"/>
        <v/>
      </c>
      <c r="X30" s="566" t="str">
        <f t="shared" si="5"/>
        <v/>
      </c>
      <c r="Y30" s="566" t="str">
        <f t="shared" si="6"/>
        <v/>
      </c>
      <c r="Z30" s="566" t="str">
        <f t="shared" si="7"/>
        <v/>
      </c>
      <c r="AA30" s="566" t="str">
        <f t="shared" si="8"/>
        <v/>
      </c>
      <c r="AB30" s="567" t="str">
        <f t="shared" si="9"/>
        <v/>
      </c>
      <c r="AC30" s="545">
        <f t="shared" si="10"/>
        <v>1.4285714285714285E-2</v>
      </c>
      <c r="AD30" s="781"/>
    </row>
    <row r="31" spans="1:30" hidden="1" x14ac:dyDescent="0.2">
      <c r="D31" s="542">
        <v>3</v>
      </c>
      <c r="E31" s="543">
        <v>10</v>
      </c>
      <c r="F31" s="543">
        <v>11</v>
      </c>
      <c r="G31" s="543">
        <v>14</v>
      </c>
      <c r="H31" s="543">
        <v>9</v>
      </c>
      <c r="I31" s="543">
        <v>6</v>
      </c>
      <c r="J31" s="543">
        <v>8</v>
      </c>
      <c r="K31" s="543">
        <v>6</v>
      </c>
      <c r="L31" s="543">
        <v>1</v>
      </c>
      <c r="M31" s="536">
        <v>2</v>
      </c>
      <c r="N31" s="509">
        <f>SUM(D4:M30)</f>
        <v>70</v>
      </c>
      <c r="Q31" s="516"/>
      <c r="S31" s="553">
        <f t="shared" ref="S31:AB31" si="11">IF(SUM(S4:S30)&gt;0,SUM(S4:S30),"")</f>
        <v>4.2857142857142858E-2</v>
      </c>
      <c r="T31" s="554">
        <f t="shared" si="11"/>
        <v>0.14285714285714285</v>
      </c>
      <c r="U31" s="554">
        <f t="shared" si="11"/>
        <v>0.15714285714285714</v>
      </c>
      <c r="V31" s="554">
        <f t="shared" si="11"/>
        <v>0.20000000000000004</v>
      </c>
      <c r="W31" s="554">
        <f t="shared" si="11"/>
        <v>0.12857142857142859</v>
      </c>
      <c r="X31" s="554">
        <f t="shared" si="11"/>
        <v>8.5714285714285715E-2</v>
      </c>
      <c r="Y31" s="554">
        <f t="shared" si="11"/>
        <v>0.1142857142857143</v>
      </c>
      <c r="Z31" s="554">
        <f t="shared" si="11"/>
        <v>8.5714285714285715E-2</v>
      </c>
      <c r="AA31" s="554">
        <f t="shared" si="11"/>
        <v>1.4285714285714285E-2</v>
      </c>
      <c r="AB31" s="548">
        <f t="shared" si="11"/>
        <v>2.8571428571428571E-2</v>
      </c>
      <c r="AC31" s="510">
        <f>SUM(S4:AB30)</f>
        <v>0.99999999999999889</v>
      </c>
    </row>
    <row r="32" spans="1:30" ht="18" hidden="1" thickBot="1" x14ac:dyDescent="0.25">
      <c r="D32" s="785" t="s">
        <v>221</v>
      </c>
      <c r="E32" s="786"/>
      <c r="F32" s="786"/>
      <c r="G32" s="786"/>
      <c r="H32" s="786"/>
      <c r="I32" s="786"/>
      <c r="J32" s="786"/>
      <c r="K32" s="786"/>
      <c r="L32" s="786"/>
      <c r="M32" s="787"/>
      <c r="Q32" s="516"/>
      <c r="S32" s="785" t="s">
        <v>222</v>
      </c>
      <c r="T32" s="786"/>
      <c r="U32" s="786"/>
      <c r="V32" s="786"/>
      <c r="W32" s="786"/>
      <c r="X32" s="786"/>
      <c r="Y32" s="786"/>
      <c r="Z32" s="786"/>
      <c r="AA32" s="786"/>
      <c r="AB32" s="787"/>
      <c r="AC32" s="509"/>
    </row>
    <row r="38" spans="17:18" x14ac:dyDescent="0.2">
      <c r="Q38" s="519" t="s">
        <v>46</v>
      </c>
      <c r="R38" s="518">
        <f>SUMPRODUCT(R4:R30,AC4:AC30)</f>
        <v>176.07142857142856</v>
      </c>
    </row>
    <row r="55" spans="1:1" ht="15" customHeight="1" x14ac:dyDescent="0.2">
      <c r="A55" s="520"/>
    </row>
    <row r="56" spans="1:1" ht="15" customHeight="1" x14ac:dyDescent="0.2">
      <c r="A56" s="511"/>
    </row>
    <row r="58" spans="1:1" ht="15" customHeight="1" x14ac:dyDescent="0.2">
      <c r="A58" s="512"/>
    </row>
    <row r="69" spans="2:18" ht="15" thickBot="1" x14ac:dyDescent="0.25"/>
    <row r="70" spans="2:18" ht="15" customHeight="1" x14ac:dyDescent="0.2">
      <c r="B70" s="788" t="s">
        <v>217</v>
      </c>
      <c r="C70" s="789"/>
      <c r="D70" s="792" t="s">
        <v>39</v>
      </c>
      <c r="E70" s="792"/>
      <c r="F70" s="792"/>
      <c r="G70" s="792"/>
      <c r="H70" s="792"/>
      <c r="I70" s="792"/>
      <c r="J70" s="792"/>
      <c r="K70" s="792"/>
      <c r="L70" s="792"/>
      <c r="M70" s="792"/>
      <c r="N70" s="517"/>
      <c r="Q70" s="521" t="s">
        <v>42</v>
      </c>
      <c r="R70" s="522">
        <f>SUM(D72:M98)</f>
        <v>3992.971428571429</v>
      </c>
    </row>
    <row r="71" spans="2:18" ht="15" thickBot="1" x14ac:dyDescent="0.25">
      <c r="B71" s="790"/>
      <c r="C71" s="791"/>
      <c r="D71" s="506">
        <v>19</v>
      </c>
      <c r="E71" s="506">
        <v>20</v>
      </c>
      <c r="F71" s="506">
        <v>21</v>
      </c>
      <c r="G71" s="506">
        <v>22</v>
      </c>
      <c r="H71" s="506">
        <v>23</v>
      </c>
      <c r="I71" s="506">
        <v>24</v>
      </c>
      <c r="J71" s="506">
        <v>25</v>
      </c>
      <c r="K71" s="506">
        <v>26</v>
      </c>
      <c r="L71" s="506">
        <v>27</v>
      </c>
      <c r="M71" s="506">
        <v>28</v>
      </c>
      <c r="N71" s="517"/>
      <c r="Q71" s="523" t="s">
        <v>218</v>
      </c>
      <c r="R71" s="523" t="e">
        <f>-#REF!*R38</f>
        <v>#REF!</v>
      </c>
    </row>
    <row r="72" spans="2:18" x14ac:dyDescent="0.2">
      <c r="B72" s="782" t="s">
        <v>38</v>
      </c>
      <c r="C72" s="507">
        <v>155</v>
      </c>
      <c r="D72" s="513" t="str">
        <f t="shared" ref="D72:D98" si="12">IF(S4&lt;&gt;"",S4*D$71*$C72,"")</f>
        <v/>
      </c>
      <c r="E72" s="513" t="str">
        <f t="shared" ref="E72:E98" si="13">IF(T4&lt;&gt;"",T4*E$71*$C72,"")</f>
        <v/>
      </c>
      <c r="F72" s="513" t="str">
        <f t="shared" ref="F72:F98" si="14">IF(U4&lt;&gt;"",U4*F$71*$C72,"")</f>
        <v/>
      </c>
      <c r="G72" s="513" t="str">
        <f t="shared" ref="G72:G98" si="15">IF(V4&lt;&gt;"",V4*G$71*$C72,"")</f>
        <v/>
      </c>
      <c r="H72" s="513">
        <f t="shared" ref="H72:H98" si="16">IF(W4&lt;&gt;"",W4*H$71*$C72,"")</f>
        <v>50.928571428571431</v>
      </c>
      <c r="I72" s="513" t="str">
        <f t="shared" ref="I72:I98" si="17">IF(X4&lt;&gt;"",X4*I$71*$C72,"")</f>
        <v/>
      </c>
      <c r="J72" s="513" t="str">
        <f t="shared" ref="J72:J98" si="18">IF(Y4&lt;&gt;"",Y4*J$71*$C72,"")</f>
        <v/>
      </c>
      <c r="K72" s="513" t="str">
        <f t="shared" ref="K72:K98" si="19">IF(Z4&lt;&gt;"",Z4*K$71*$C72,"")</f>
        <v/>
      </c>
      <c r="L72" s="513" t="str">
        <f t="shared" ref="L72:L98" si="20">IF(AA4&lt;&gt;"",AA4*L$71*$C72,"")</f>
        <v/>
      </c>
      <c r="M72" s="513" t="str">
        <f t="shared" ref="M72:M98" si="21">IF(AB4&lt;&gt;"",AB4*M$71*$C72,"")</f>
        <v/>
      </c>
      <c r="N72" s="517"/>
      <c r="Q72" s="511" t="s">
        <v>219</v>
      </c>
      <c r="R72" s="514" t="e">
        <f>R70+R71</f>
        <v>#REF!</v>
      </c>
    </row>
    <row r="73" spans="2:18" x14ac:dyDescent="0.2">
      <c r="B73" s="783"/>
      <c r="C73" s="508">
        <v>160</v>
      </c>
      <c r="D73" s="513">
        <f t="shared" si="12"/>
        <v>43.428571428571423</v>
      </c>
      <c r="E73" s="513" t="str">
        <f t="shared" si="13"/>
        <v/>
      </c>
      <c r="F73" s="513">
        <f t="shared" si="14"/>
        <v>48</v>
      </c>
      <c r="G73" s="513">
        <f t="shared" si="15"/>
        <v>50.285714285714285</v>
      </c>
      <c r="H73" s="513">
        <f t="shared" si="16"/>
        <v>52.571428571428569</v>
      </c>
      <c r="I73" s="513">
        <f t="shared" si="17"/>
        <v>54.857142857142861</v>
      </c>
      <c r="J73" s="513" t="str">
        <f t="shared" si="18"/>
        <v/>
      </c>
      <c r="K73" s="513" t="str">
        <f t="shared" si="19"/>
        <v/>
      </c>
      <c r="L73" s="513" t="str">
        <f t="shared" si="20"/>
        <v/>
      </c>
      <c r="M73" s="513" t="str">
        <f t="shared" si="21"/>
        <v/>
      </c>
      <c r="N73" s="517"/>
    </row>
    <row r="74" spans="2:18" x14ac:dyDescent="0.2">
      <c r="B74" s="783"/>
      <c r="C74" s="508">
        <v>161</v>
      </c>
      <c r="D74" s="513" t="str">
        <f t="shared" si="12"/>
        <v/>
      </c>
      <c r="E74" s="513" t="str">
        <f t="shared" si="13"/>
        <v/>
      </c>
      <c r="F74" s="513" t="str">
        <f t="shared" si="14"/>
        <v/>
      </c>
      <c r="G74" s="513">
        <f t="shared" si="15"/>
        <v>50.6</v>
      </c>
      <c r="H74" s="513" t="str">
        <f t="shared" si="16"/>
        <v/>
      </c>
      <c r="I74" s="513" t="str">
        <f t="shared" si="17"/>
        <v/>
      </c>
      <c r="J74" s="513" t="str">
        <f t="shared" si="18"/>
        <v/>
      </c>
      <c r="K74" s="513" t="str">
        <f t="shared" si="19"/>
        <v/>
      </c>
      <c r="L74" s="513" t="str">
        <f t="shared" si="20"/>
        <v/>
      </c>
      <c r="M74" s="513" t="str">
        <f t="shared" si="21"/>
        <v/>
      </c>
      <c r="N74" s="517"/>
    </row>
    <row r="75" spans="2:18" x14ac:dyDescent="0.2">
      <c r="B75" s="783"/>
      <c r="C75" s="508">
        <v>163</v>
      </c>
      <c r="D75" s="513" t="str">
        <f t="shared" si="12"/>
        <v/>
      </c>
      <c r="E75" s="513">
        <f t="shared" si="13"/>
        <v>93.142857142857139</v>
      </c>
      <c r="F75" s="513">
        <f t="shared" si="14"/>
        <v>48.9</v>
      </c>
      <c r="G75" s="513" t="str">
        <f t="shared" si="15"/>
        <v/>
      </c>
      <c r="H75" s="513" t="str">
        <f t="shared" si="16"/>
        <v/>
      </c>
      <c r="I75" s="513" t="str">
        <f t="shared" si="17"/>
        <v/>
      </c>
      <c r="J75" s="513" t="str">
        <f t="shared" si="18"/>
        <v/>
      </c>
      <c r="K75" s="513" t="str">
        <f t="shared" si="19"/>
        <v/>
      </c>
      <c r="L75" s="513" t="str">
        <f t="shared" si="20"/>
        <v/>
      </c>
      <c r="M75" s="513" t="str">
        <f t="shared" si="21"/>
        <v/>
      </c>
      <c r="N75" s="517"/>
    </row>
    <row r="76" spans="2:18" x14ac:dyDescent="0.2">
      <c r="B76" s="783"/>
      <c r="C76" s="508">
        <v>164</v>
      </c>
      <c r="D76" s="513" t="str">
        <f t="shared" si="12"/>
        <v/>
      </c>
      <c r="E76" s="513" t="str">
        <f t="shared" si="13"/>
        <v/>
      </c>
      <c r="F76" s="513" t="str">
        <f t="shared" si="14"/>
        <v/>
      </c>
      <c r="G76" s="513" t="str">
        <f t="shared" si="15"/>
        <v/>
      </c>
      <c r="H76" s="513" t="str">
        <f t="shared" si="16"/>
        <v/>
      </c>
      <c r="I76" s="513" t="str">
        <f t="shared" si="17"/>
        <v/>
      </c>
      <c r="J76" s="513" t="str">
        <f t="shared" si="18"/>
        <v/>
      </c>
      <c r="K76" s="513">
        <f t="shared" si="19"/>
        <v>60.914285714285718</v>
      </c>
      <c r="L76" s="513" t="str">
        <f t="shared" si="20"/>
        <v/>
      </c>
      <c r="M76" s="513" t="str">
        <f t="shared" si="21"/>
        <v/>
      </c>
      <c r="N76" s="517"/>
    </row>
    <row r="77" spans="2:18" x14ac:dyDescent="0.2">
      <c r="B77" s="783"/>
      <c r="C77" s="508">
        <v>165</v>
      </c>
      <c r="D77" s="513" t="str">
        <f t="shared" si="12"/>
        <v/>
      </c>
      <c r="E77" s="513" t="str">
        <f t="shared" si="13"/>
        <v/>
      </c>
      <c r="F77" s="513">
        <f t="shared" si="14"/>
        <v>49.5</v>
      </c>
      <c r="G77" s="513">
        <f t="shared" si="15"/>
        <v>103.71428571428571</v>
      </c>
      <c r="H77" s="513" t="str">
        <f t="shared" si="16"/>
        <v/>
      </c>
      <c r="I77" s="513" t="str">
        <f t="shared" si="17"/>
        <v/>
      </c>
      <c r="J77" s="513" t="str">
        <f t="shared" si="18"/>
        <v/>
      </c>
      <c r="K77" s="513" t="str">
        <f t="shared" si="19"/>
        <v/>
      </c>
      <c r="L77" s="513" t="str">
        <f t="shared" si="20"/>
        <v/>
      </c>
      <c r="M77" s="513" t="str">
        <f t="shared" si="21"/>
        <v/>
      </c>
      <c r="N77" s="517"/>
    </row>
    <row r="78" spans="2:18" x14ac:dyDescent="0.2">
      <c r="B78" s="783"/>
      <c r="C78" s="508">
        <v>168</v>
      </c>
      <c r="D78" s="513">
        <f t="shared" si="12"/>
        <v>45.599999999999994</v>
      </c>
      <c r="E78" s="513" t="str">
        <f t="shared" si="13"/>
        <v/>
      </c>
      <c r="F78" s="513" t="str">
        <f t="shared" si="14"/>
        <v/>
      </c>
      <c r="G78" s="513" t="str">
        <f t="shared" si="15"/>
        <v/>
      </c>
      <c r="H78" s="513" t="str">
        <f t="shared" si="16"/>
        <v/>
      </c>
      <c r="I78" s="513" t="str">
        <f t="shared" si="17"/>
        <v/>
      </c>
      <c r="J78" s="513" t="str">
        <f t="shared" si="18"/>
        <v/>
      </c>
      <c r="K78" s="513" t="str">
        <f t="shared" si="19"/>
        <v/>
      </c>
      <c r="L78" s="513" t="str">
        <f t="shared" si="20"/>
        <v/>
      </c>
      <c r="M78" s="513" t="str">
        <f t="shared" si="21"/>
        <v/>
      </c>
      <c r="N78" s="517"/>
    </row>
    <row r="79" spans="2:18" x14ac:dyDescent="0.2">
      <c r="B79" s="783"/>
      <c r="C79" s="508">
        <v>169</v>
      </c>
      <c r="D79" s="513" t="str">
        <f t="shared" si="12"/>
        <v/>
      </c>
      <c r="E79" s="513" t="str">
        <f t="shared" si="13"/>
        <v/>
      </c>
      <c r="F79" s="513" t="str">
        <f t="shared" si="14"/>
        <v/>
      </c>
      <c r="G79" s="513" t="str">
        <f t="shared" si="15"/>
        <v/>
      </c>
      <c r="H79" s="513" t="str">
        <f t="shared" si="16"/>
        <v/>
      </c>
      <c r="I79" s="513" t="str">
        <f t="shared" si="17"/>
        <v/>
      </c>
      <c r="J79" s="513" t="str">
        <f t="shared" si="18"/>
        <v/>
      </c>
      <c r="K79" s="513" t="str">
        <f t="shared" si="19"/>
        <v/>
      </c>
      <c r="L79" s="513" t="str">
        <f t="shared" si="20"/>
        <v/>
      </c>
      <c r="M79" s="513">
        <f t="shared" si="21"/>
        <v>67.599999999999994</v>
      </c>
      <c r="N79" s="517"/>
    </row>
    <row r="80" spans="2:18" x14ac:dyDescent="0.2">
      <c r="B80" s="783"/>
      <c r="C80" s="508">
        <v>170</v>
      </c>
      <c r="D80" s="513" t="str">
        <f t="shared" si="12"/>
        <v/>
      </c>
      <c r="E80" s="513">
        <f t="shared" si="13"/>
        <v>48.571428571428569</v>
      </c>
      <c r="F80" s="513" t="str">
        <f t="shared" si="14"/>
        <v/>
      </c>
      <c r="G80" s="513">
        <f t="shared" si="15"/>
        <v>160.28571428571428</v>
      </c>
      <c r="H80" s="513">
        <f t="shared" si="16"/>
        <v>55.857142857142854</v>
      </c>
      <c r="I80" s="513">
        <f t="shared" si="17"/>
        <v>58.285714285714285</v>
      </c>
      <c r="J80" s="513">
        <f t="shared" si="18"/>
        <v>60.714285714285715</v>
      </c>
      <c r="K80" s="513" t="str">
        <f t="shared" si="19"/>
        <v/>
      </c>
      <c r="L80" s="513" t="str">
        <f t="shared" si="20"/>
        <v/>
      </c>
      <c r="M80" s="513" t="str">
        <f t="shared" si="21"/>
        <v/>
      </c>
      <c r="N80" s="517"/>
    </row>
    <row r="81" spans="2:14" x14ac:dyDescent="0.2">
      <c r="B81" s="783"/>
      <c r="C81" s="508">
        <v>171</v>
      </c>
      <c r="D81" s="513" t="str">
        <f t="shared" si="12"/>
        <v/>
      </c>
      <c r="E81" s="513" t="str">
        <f t="shared" si="13"/>
        <v/>
      </c>
      <c r="F81" s="513" t="str">
        <f t="shared" si="14"/>
        <v/>
      </c>
      <c r="G81" s="513" t="str">
        <f t="shared" si="15"/>
        <v/>
      </c>
      <c r="H81" s="513" t="str">
        <f t="shared" si="16"/>
        <v/>
      </c>
      <c r="I81" s="513">
        <f t="shared" si="17"/>
        <v>58.628571428571426</v>
      </c>
      <c r="J81" s="513" t="str">
        <f t="shared" si="18"/>
        <v/>
      </c>
      <c r="K81" s="513" t="str">
        <f t="shared" si="19"/>
        <v/>
      </c>
      <c r="L81" s="513" t="str">
        <f t="shared" si="20"/>
        <v/>
      </c>
      <c r="M81" s="513" t="str">
        <f t="shared" si="21"/>
        <v/>
      </c>
      <c r="N81" s="517"/>
    </row>
    <row r="82" spans="2:14" x14ac:dyDescent="0.2">
      <c r="B82" s="783"/>
      <c r="C82" s="508">
        <v>172</v>
      </c>
      <c r="D82" s="513" t="str">
        <f t="shared" si="12"/>
        <v/>
      </c>
      <c r="E82" s="513" t="str">
        <f t="shared" si="13"/>
        <v/>
      </c>
      <c r="F82" s="513" t="str">
        <f t="shared" si="14"/>
        <v/>
      </c>
      <c r="G82" s="513" t="str">
        <f t="shared" si="15"/>
        <v/>
      </c>
      <c r="H82" s="513" t="str">
        <f t="shared" si="16"/>
        <v/>
      </c>
      <c r="I82" s="513" t="str">
        <f t="shared" si="17"/>
        <v/>
      </c>
      <c r="J82" s="513">
        <f t="shared" si="18"/>
        <v>61.428571428571431</v>
      </c>
      <c r="K82" s="513" t="str">
        <f t="shared" si="19"/>
        <v/>
      </c>
      <c r="L82" s="513" t="str">
        <f t="shared" si="20"/>
        <v/>
      </c>
      <c r="M82" s="513" t="str">
        <f t="shared" si="21"/>
        <v/>
      </c>
      <c r="N82" s="517"/>
    </row>
    <row r="83" spans="2:14" x14ac:dyDescent="0.2">
      <c r="B83" s="783"/>
      <c r="C83" s="508">
        <v>173</v>
      </c>
      <c r="D83" s="513" t="str">
        <f t="shared" si="12"/>
        <v/>
      </c>
      <c r="E83" s="513" t="str">
        <f t="shared" si="13"/>
        <v/>
      </c>
      <c r="F83" s="513">
        <f t="shared" si="14"/>
        <v>51.9</v>
      </c>
      <c r="G83" s="513" t="str">
        <f t="shared" si="15"/>
        <v/>
      </c>
      <c r="H83" s="513" t="str">
        <f t="shared" si="16"/>
        <v/>
      </c>
      <c r="I83" s="513" t="str">
        <f t="shared" si="17"/>
        <v/>
      </c>
      <c r="J83" s="513" t="str">
        <f t="shared" si="18"/>
        <v/>
      </c>
      <c r="K83" s="513" t="str">
        <f t="shared" si="19"/>
        <v/>
      </c>
      <c r="L83" s="513" t="str">
        <f t="shared" si="20"/>
        <v/>
      </c>
      <c r="M83" s="513" t="str">
        <f t="shared" si="21"/>
        <v/>
      </c>
      <c r="N83" s="517"/>
    </row>
    <row r="84" spans="2:14" x14ac:dyDescent="0.2">
      <c r="B84" s="783"/>
      <c r="C84" s="508">
        <v>174</v>
      </c>
      <c r="D84" s="513" t="str">
        <f t="shared" si="12"/>
        <v/>
      </c>
      <c r="E84" s="513">
        <f t="shared" si="13"/>
        <v>49.714285714285708</v>
      </c>
      <c r="F84" s="513">
        <f t="shared" si="14"/>
        <v>52.199999999999996</v>
      </c>
      <c r="G84" s="513">
        <f t="shared" si="15"/>
        <v>54.685714285714283</v>
      </c>
      <c r="H84" s="513" t="str">
        <f t="shared" si="16"/>
        <v/>
      </c>
      <c r="I84" s="513" t="str">
        <f t="shared" si="17"/>
        <v/>
      </c>
      <c r="J84" s="513" t="str">
        <f t="shared" si="18"/>
        <v/>
      </c>
      <c r="K84" s="513" t="str">
        <f t="shared" si="19"/>
        <v/>
      </c>
      <c r="L84" s="513" t="str">
        <f t="shared" si="20"/>
        <v/>
      </c>
      <c r="M84" s="513" t="str">
        <f t="shared" si="21"/>
        <v/>
      </c>
      <c r="N84" s="517"/>
    </row>
    <row r="85" spans="2:14" x14ac:dyDescent="0.2">
      <c r="B85" s="783"/>
      <c r="C85" s="508">
        <v>175</v>
      </c>
      <c r="D85" s="513" t="str">
        <f t="shared" si="12"/>
        <v/>
      </c>
      <c r="E85" s="513" t="str">
        <f t="shared" si="13"/>
        <v/>
      </c>
      <c r="F85" s="513" t="str">
        <f t="shared" si="14"/>
        <v/>
      </c>
      <c r="G85" s="513" t="str">
        <f t="shared" si="15"/>
        <v/>
      </c>
      <c r="H85" s="513" t="str">
        <f t="shared" si="16"/>
        <v/>
      </c>
      <c r="I85" s="513" t="str">
        <f t="shared" si="17"/>
        <v/>
      </c>
      <c r="J85" s="513" t="str">
        <f t="shared" si="18"/>
        <v/>
      </c>
      <c r="K85" s="513">
        <f t="shared" si="19"/>
        <v>65</v>
      </c>
      <c r="L85" s="513" t="str">
        <f t="shared" si="20"/>
        <v/>
      </c>
      <c r="M85" s="513" t="str">
        <f t="shared" si="21"/>
        <v/>
      </c>
      <c r="N85" s="517"/>
    </row>
    <row r="86" spans="2:14" x14ac:dyDescent="0.2">
      <c r="B86" s="783"/>
      <c r="C86" s="508">
        <v>176</v>
      </c>
      <c r="D86" s="513" t="str">
        <f t="shared" si="12"/>
        <v/>
      </c>
      <c r="E86" s="513" t="str">
        <f t="shared" si="13"/>
        <v/>
      </c>
      <c r="F86" s="513">
        <f t="shared" si="14"/>
        <v>105.6</v>
      </c>
      <c r="G86" s="513" t="str">
        <f t="shared" si="15"/>
        <v/>
      </c>
      <c r="H86" s="513">
        <f t="shared" si="16"/>
        <v>115.65714285714286</v>
      </c>
      <c r="I86" s="513" t="str">
        <f t="shared" si="17"/>
        <v/>
      </c>
      <c r="J86" s="513">
        <f t="shared" si="18"/>
        <v>125.71428571428572</v>
      </c>
      <c r="K86" s="513" t="str">
        <f t="shared" si="19"/>
        <v/>
      </c>
      <c r="L86" s="513" t="str">
        <f t="shared" si="20"/>
        <v/>
      </c>
      <c r="M86" s="513" t="str">
        <f t="shared" si="21"/>
        <v/>
      </c>
      <c r="N86" s="517"/>
    </row>
    <row r="87" spans="2:14" x14ac:dyDescent="0.2">
      <c r="B87" s="783"/>
      <c r="C87" s="508">
        <v>178</v>
      </c>
      <c r="D87" s="513" t="str">
        <f t="shared" si="12"/>
        <v/>
      </c>
      <c r="E87" s="513" t="str">
        <f t="shared" si="13"/>
        <v/>
      </c>
      <c r="F87" s="513">
        <f t="shared" si="14"/>
        <v>53.4</v>
      </c>
      <c r="G87" s="513" t="str">
        <f t="shared" si="15"/>
        <v/>
      </c>
      <c r="H87" s="513">
        <f t="shared" si="16"/>
        <v>58.485714285714288</v>
      </c>
      <c r="I87" s="513" t="str">
        <f t="shared" si="17"/>
        <v/>
      </c>
      <c r="J87" s="513">
        <f t="shared" si="18"/>
        <v>63.571428571428569</v>
      </c>
      <c r="K87" s="513" t="str">
        <f t="shared" si="19"/>
        <v/>
      </c>
      <c r="L87" s="513" t="str">
        <f t="shared" si="20"/>
        <v/>
      </c>
      <c r="M87" s="513" t="str">
        <f t="shared" si="21"/>
        <v/>
      </c>
      <c r="N87" s="517"/>
    </row>
    <row r="88" spans="2:14" x14ac:dyDescent="0.2">
      <c r="B88" s="783"/>
      <c r="C88" s="508">
        <v>180</v>
      </c>
      <c r="D88" s="513" t="str">
        <f t="shared" si="12"/>
        <v/>
      </c>
      <c r="E88" s="513">
        <f t="shared" si="13"/>
        <v>51.428571428571423</v>
      </c>
      <c r="F88" s="513" t="str">
        <f t="shared" si="14"/>
        <v/>
      </c>
      <c r="G88" s="513">
        <f t="shared" si="15"/>
        <v>113.14285714285714</v>
      </c>
      <c r="H88" s="513" t="str">
        <f t="shared" si="16"/>
        <v/>
      </c>
      <c r="I88" s="513" t="str">
        <f t="shared" si="17"/>
        <v/>
      </c>
      <c r="J88" s="513">
        <f t="shared" si="18"/>
        <v>64.285714285714292</v>
      </c>
      <c r="K88" s="513" t="str">
        <f t="shared" si="19"/>
        <v/>
      </c>
      <c r="L88" s="513" t="str">
        <f t="shared" si="20"/>
        <v/>
      </c>
      <c r="M88" s="513" t="str">
        <f t="shared" si="21"/>
        <v/>
      </c>
      <c r="N88" s="517"/>
    </row>
    <row r="89" spans="2:14" x14ac:dyDescent="0.2">
      <c r="B89" s="783"/>
      <c r="C89" s="508">
        <v>182</v>
      </c>
      <c r="D89" s="513">
        <f t="shared" si="12"/>
        <v>49.4</v>
      </c>
      <c r="E89" s="513">
        <f t="shared" si="13"/>
        <v>52</v>
      </c>
      <c r="F89" s="513" t="str">
        <f t="shared" si="14"/>
        <v/>
      </c>
      <c r="G89" s="513" t="str">
        <f t="shared" si="15"/>
        <v/>
      </c>
      <c r="H89" s="513" t="str">
        <f t="shared" si="16"/>
        <v/>
      </c>
      <c r="I89" s="513">
        <f t="shared" si="17"/>
        <v>124.8</v>
      </c>
      <c r="J89" s="513" t="str">
        <f t="shared" si="18"/>
        <v/>
      </c>
      <c r="K89" s="513">
        <f t="shared" si="19"/>
        <v>67.600000000000009</v>
      </c>
      <c r="L89" s="513" t="str">
        <f t="shared" si="20"/>
        <v/>
      </c>
      <c r="M89" s="513" t="str">
        <f t="shared" si="21"/>
        <v/>
      </c>
      <c r="N89" s="517"/>
    </row>
    <row r="90" spans="2:14" x14ac:dyDescent="0.2">
      <c r="B90" s="783"/>
      <c r="C90" s="508">
        <v>183</v>
      </c>
      <c r="D90" s="513" t="str">
        <f t="shared" si="12"/>
        <v/>
      </c>
      <c r="E90" s="513">
        <f t="shared" si="13"/>
        <v>104.57142857142857</v>
      </c>
      <c r="F90" s="513" t="str">
        <f t="shared" si="14"/>
        <v/>
      </c>
      <c r="G90" s="513" t="str">
        <f t="shared" si="15"/>
        <v/>
      </c>
      <c r="H90" s="513" t="str">
        <f t="shared" si="16"/>
        <v/>
      </c>
      <c r="I90" s="513">
        <f t="shared" si="17"/>
        <v>62.74285714285714</v>
      </c>
      <c r="J90" s="513">
        <f t="shared" si="18"/>
        <v>65.357142857142861</v>
      </c>
      <c r="K90" s="513" t="str">
        <f t="shared" si="19"/>
        <v/>
      </c>
      <c r="L90" s="513" t="str">
        <f t="shared" si="20"/>
        <v/>
      </c>
      <c r="M90" s="513" t="str">
        <f t="shared" si="21"/>
        <v/>
      </c>
      <c r="N90" s="517"/>
    </row>
    <row r="91" spans="2:14" x14ac:dyDescent="0.2">
      <c r="B91" s="783"/>
      <c r="C91" s="508">
        <v>184</v>
      </c>
      <c r="D91" s="513" t="str">
        <f t="shared" si="12"/>
        <v/>
      </c>
      <c r="E91" s="513" t="str">
        <f t="shared" si="13"/>
        <v/>
      </c>
      <c r="F91" s="513">
        <f t="shared" si="14"/>
        <v>55.199999999999996</v>
      </c>
      <c r="G91" s="513">
        <f t="shared" si="15"/>
        <v>57.828571428571429</v>
      </c>
      <c r="H91" s="513" t="str">
        <f t="shared" si="16"/>
        <v/>
      </c>
      <c r="I91" s="513" t="str">
        <f t="shared" si="17"/>
        <v/>
      </c>
      <c r="J91" s="513" t="str">
        <f t="shared" si="18"/>
        <v/>
      </c>
      <c r="K91" s="513">
        <f t="shared" si="19"/>
        <v>68.342857142857142</v>
      </c>
      <c r="L91" s="513" t="str">
        <f t="shared" si="20"/>
        <v/>
      </c>
      <c r="M91" s="513" t="str">
        <f t="shared" si="21"/>
        <v/>
      </c>
      <c r="N91" s="517"/>
    </row>
    <row r="92" spans="2:14" x14ac:dyDescent="0.2">
      <c r="B92" s="783"/>
      <c r="C92" s="508">
        <v>185</v>
      </c>
      <c r="D92" s="513" t="str">
        <f t="shared" si="12"/>
        <v/>
      </c>
      <c r="E92" s="513">
        <f t="shared" si="13"/>
        <v>52.857142857142854</v>
      </c>
      <c r="F92" s="513">
        <f t="shared" si="14"/>
        <v>111</v>
      </c>
      <c r="G92" s="513">
        <f t="shared" si="15"/>
        <v>58.142857142857139</v>
      </c>
      <c r="H92" s="513">
        <f t="shared" si="16"/>
        <v>60.785714285714285</v>
      </c>
      <c r="I92" s="513" t="str">
        <f t="shared" si="17"/>
        <v/>
      </c>
      <c r="J92" s="513" t="str">
        <f t="shared" si="18"/>
        <v/>
      </c>
      <c r="K92" s="513">
        <f t="shared" si="19"/>
        <v>137.42857142857144</v>
      </c>
      <c r="L92" s="513" t="str">
        <f t="shared" si="20"/>
        <v/>
      </c>
      <c r="M92" s="513" t="str">
        <f t="shared" si="21"/>
        <v/>
      </c>
      <c r="N92" s="517"/>
    </row>
    <row r="93" spans="2:14" x14ac:dyDescent="0.2">
      <c r="B93" s="783"/>
      <c r="C93" s="508">
        <v>187</v>
      </c>
      <c r="D93" s="513" t="str">
        <f t="shared" si="12"/>
        <v/>
      </c>
      <c r="E93" s="513" t="str">
        <f t="shared" si="13"/>
        <v/>
      </c>
      <c r="F93" s="513" t="str">
        <f t="shared" si="14"/>
        <v/>
      </c>
      <c r="G93" s="513">
        <f t="shared" si="15"/>
        <v>58.771428571428572</v>
      </c>
      <c r="H93" s="513" t="str">
        <f t="shared" si="16"/>
        <v/>
      </c>
      <c r="I93" s="513" t="str">
        <f t="shared" si="17"/>
        <v/>
      </c>
      <c r="J93" s="513">
        <f t="shared" si="18"/>
        <v>66.785714285714292</v>
      </c>
      <c r="K93" s="513" t="str">
        <f t="shared" si="19"/>
        <v/>
      </c>
      <c r="L93" s="513" t="str">
        <f t="shared" si="20"/>
        <v/>
      </c>
      <c r="M93" s="513" t="str">
        <f t="shared" si="21"/>
        <v/>
      </c>
      <c r="N93" s="517"/>
    </row>
    <row r="94" spans="2:14" x14ac:dyDescent="0.2">
      <c r="B94" s="783"/>
      <c r="C94" s="508">
        <v>188</v>
      </c>
      <c r="D94" s="513" t="str">
        <f t="shared" si="12"/>
        <v/>
      </c>
      <c r="E94" s="513" t="str">
        <f t="shared" si="13"/>
        <v/>
      </c>
      <c r="F94" s="513" t="str">
        <f t="shared" si="14"/>
        <v/>
      </c>
      <c r="G94" s="513">
        <f t="shared" si="15"/>
        <v>59.085714285714282</v>
      </c>
      <c r="H94" s="513" t="str">
        <f t="shared" si="16"/>
        <v/>
      </c>
      <c r="I94" s="513" t="str">
        <f t="shared" si="17"/>
        <v/>
      </c>
      <c r="J94" s="513" t="str">
        <f t="shared" si="18"/>
        <v/>
      </c>
      <c r="K94" s="513" t="str">
        <f t="shared" si="19"/>
        <v/>
      </c>
      <c r="L94" s="513" t="str">
        <f t="shared" si="20"/>
        <v/>
      </c>
      <c r="M94" s="513" t="str">
        <f t="shared" si="21"/>
        <v/>
      </c>
      <c r="N94" s="517"/>
    </row>
    <row r="95" spans="2:14" x14ac:dyDescent="0.2">
      <c r="B95" s="783"/>
      <c r="C95" s="508">
        <v>189</v>
      </c>
      <c r="D95" s="513" t="str">
        <f t="shared" si="12"/>
        <v/>
      </c>
      <c r="E95" s="513" t="str">
        <f t="shared" si="13"/>
        <v/>
      </c>
      <c r="F95" s="513" t="str">
        <f t="shared" si="14"/>
        <v/>
      </c>
      <c r="G95" s="513" t="str">
        <f t="shared" si="15"/>
        <v/>
      </c>
      <c r="H95" s="513">
        <f t="shared" si="16"/>
        <v>62.1</v>
      </c>
      <c r="I95" s="513" t="str">
        <f t="shared" si="17"/>
        <v/>
      </c>
      <c r="J95" s="513" t="str">
        <f t="shared" si="18"/>
        <v/>
      </c>
      <c r="K95" s="513" t="str">
        <f t="shared" si="19"/>
        <v/>
      </c>
      <c r="L95" s="513" t="str">
        <f t="shared" si="20"/>
        <v/>
      </c>
      <c r="M95" s="513" t="str">
        <f t="shared" si="21"/>
        <v/>
      </c>
      <c r="N95" s="517"/>
    </row>
    <row r="96" spans="2:14" x14ac:dyDescent="0.2">
      <c r="B96" s="783"/>
      <c r="C96" s="508">
        <v>190</v>
      </c>
      <c r="D96" s="513" t="str">
        <f t="shared" si="12"/>
        <v/>
      </c>
      <c r="E96" s="513" t="str">
        <f t="shared" si="13"/>
        <v/>
      </c>
      <c r="F96" s="513" t="str">
        <f t="shared" si="14"/>
        <v/>
      </c>
      <c r="G96" s="513" t="str">
        <f t="shared" si="15"/>
        <v/>
      </c>
      <c r="H96" s="513" t="str">
        <f t="shared" si="16"/>
        <v/>
      </c>
      <c r="I96" s="513" t="str">
        <f t="shared" si="17"/>
        <v/>
      </c>
      <c r="J96" s="513" t="str">
        <f t="shared" si="18"/>
        <v/>
      </c>
      <c r="K96" s="513" t="str">
        <f t="shared" si="19"/>
        <v/>
      </c>
      <c r="L96" s="513" t="str">
        <f t="shared" si="20"/>
        <v/>
      </c>
      <c r="M96" s="513">
        <f t="shared" si="21"/>
        <v>76</v>
      </c>
      <c r="N96" s="517"/>
    </row>
    <row r="97" spans="2:14" x14ac:dyDescent="0.2">
      <c r="B97" s="783"/>
      <c r="C97" s="508">
        <v>193</v>
      </c>
      <c r="D97" s="513" t="str">
        <f t="shared" si="12"/>
        <v/>
      </c>
      <c r="E97" s="513" t="str">
        <f t="shared" si="13"/>
        <v/>
      </c>
      <c r="F97" s="513" t="str">
        <f t="shared" si="14"/>
        <v/>
      </c>
      <c r="G97" s="513" t="str">
        <f t="shared" si="15"/>
        <v/>
      </c>
      <c r="H97" s="513">
        <f t="shared" si="16"/>
        <v>63.414285714285711</v>
      </c>
      <c r="I97" s="513" t="str">
        <f t="shared" si="17"/>
        <v/>
      </c>
      <c r="J97" s="513" t="str">
        <f t="shared" si="18"/>
        <v/>
      </c>
      <c r="K97" s="513" t="str">
        <f t="shared" si="19"/>
        <v/>
      </c>
      <c r="L97" s="513">
        <f t="shared" si="20"/>
        <v>74.442857142857136</v>
      </c>
      <c r="M97" s="513" t="str">
        <f t="shared" si="21"/>
        <v/>
      </c>
      <c r="N97" s="517"/>
    </row>
    <row r="98" spans="2:14" x14ac:dyDescent="0.2">
      <c r="B98" s="783"/>
      <c r="C98" s="508">
        <v>195</v>
      </c>
      <c r="D98" s="513" t="str">
        <f t="shared" si="12"/>
        <v/>
      </c>
      <c r="E98" s="513">
        <f t="shared" si="13"/>
        <v>55.714285714285708</v>
      </c>
      <c r="F98" s="513" t="str">
        <f t="shared" si="14"/>
        <v/>
      </c>
      <c r="G98" s="513" t="str">
        <f t="shared" si="15"/>
        <v/>
      </c>
      <c r="H98" s="513" t="str">
        <f t="shared" si="16"/>
        <v/>
      </c>
      <c r="I98" s="513" t="str">
        <f t="shared" si="17"/>
        <v/>
      </c>
      <c r="J98" s="513" t="str">
        <f t="shared" si="18"/>
        <v/>
      </c>
      <c r="K98" s="513" t="str">
        <f t="shared" si="19"/>
        <v/>
      </c>
      <c r="L98" s="513" t="str">
        <f t="shared" si="20"/>
        <v/>
      </c>
      <c r="M98" s="513" t="str">
        <f t="shared" si="21"/>
        <v/>
      </c>
      <c r="N98" s="517"/>
    </row>
  </sheetData>
  <mergeCells count="13">
    <mergeCell ref="Q2:R3"/>
    <mergeCell ref="S2:AB2"/>
    <mergeCell ref="B72:B98"/>
    <mergeCell ref="B2:C3"/>
    <mergeCell ref="D2:M2"/>
    <mergeCell ref="B4:B30"/>
    <mergeCell ref="O4:O30"/>
    <mergeCell ref="D32:M32"/>
    <mergeCell ref="AD4:AD30"/>
    <mergeCell ref="Q4:Q30"/>
    <mergeCell ref="S32:AB32"/>
    <mergeCell ref="B70:C71"/>
    <mergeCell ref="D70:M70"/>
  </mergeCells>
  <pageMargins left="0" right="0" top="0" bottom="0" header="0" footer="0"/>
  <pageSetup paperSize="9" scale="8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O36"/>
  <sheetViews>
    <sheetView topLeftCell="BL1" workbookViewId="0">
      <selection activeCell="BM3" sqref="BM3:CB30"/>
    </sheetView>
  </sheetViews>
  <sheetFormatPr baseColWidth="10" defaultColWidth="11.42578125" defaultRowHeight="14.25" x14ac:dyDescent="0.2"/>
  <cols>
    <col min="1" max="1" width="14.5703125" style="515" customWidth="1"/>
    <col min="2" max="2" width="6.7109375" style="516" customWidth="1"/>
    <col min="3" max="3" width="6.7109375" style="517" customWidth="1"/>
    <col min="4" max="14" width="6.7109375" style="509" customWidth="1"/>
    <col min="15" max="15" width="6.7109375" style="517" customWidth="1"/>
    <col min="16" max="16" width="10.7109375" style="517" customWidth="1"/>
    <col min="17" max="30" width="6.7109375" style="517" customWidth="1"/>
    <col min="31" max="31" width="11.42578125" style="517"/>
    <col min="32" max="32" width="6.7109375" style="517" customWidth="1"/>
    <col min="33" max="33" width="8" style="517" customWidth="1"/>
    <col min="34" max="60" width="4.7109375" style="517" customWidth="1"/>
    <col min="61" max="61" width="5.7109375" style="605" customWidth="1"/>
    <col min="62" max="62" width="4.7109375" style="517" customWidth="1"/>
    <col min="63" max="63" width="11.42578125" style="517"/>
    <col min="64" max="64" width="50.140625" style="517" customWidth="1"/>
    <col min="65" max="66" width="6.7109375" style="517" customWidth="1"/>
    <col min="67" max="93" width="8.7109375" style="509" customWidth="1"/>
    <col min="94" max="16384" width="11.42578125" style="517"/>
  </cols>
  <sheetData>
    <row r="1" spans="1:93" ht="15" thickBot="1" x14ac:dyDescent="0.25"/>
    <row r="2" spans="1:93" ht="15" customHeight="1" thickBot="1" x14ac:dyDescent="0.3">
      <c r="B2" s="782" t="s">
        <v>224</v>
      </c>
      <c r="C2" s="793"/>
      <c r="D2" s="796" t="s">
        <v>39</v>
      </c>
      <c r="E2" s="792"/>
      <c r="F2" s="792"/>
      <c r="G2" s="792"/>
      <c r="H2" s="792"/>
      <c r="I2" s="792"/>
      <c r="J2" s="792"/>
      <c r="K2" s="792"/>
      <c r="L2" s="792"/>
      <c r="M2" s="797"/>
      <c r="Q2" s="782" t="s">
        <v>225</v>
      </c>
      <c r="R2" s="793"/>
      <c r="S2" s="796" t="s">
        <v>39</v>
      </c>
      <c r="T2" s="792"/>
      <c r="U2" s="792"/>
      <c r="V2" s="792"/>
      <c r="W2" s="792"/>
      <c r="X2" s="792"/>
      <c r="Y2" s="792"/>
      <c r="Z2" s="792"/>
      <c r="AA2" s="792"/>
      <c r="AB2" s="797"/>
      <c r="AC2" s="509"/>
      <c r="AF2" s="801" t="s">
        <v>226</v>
      </c>
      <c r="AG2" s="802"/>
      <c r="AH2" s="801" t="s">
        <v>38</v>
      </c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  <c r="AV2" s="805"/>
      <c r="AW2" s="805"/>
      <c r="AX2" s="805"/>
      <c r="AY2" s="805"/>
      <c r="AZ2" s="805"/>
      <c r="BA2" s="805"/>
      <c r="BB2" s="805"/>
      <c r="BC2" s="805"/>
      <c r="BD2" s="805"/>
      <c r="BE2" s="805"/>
      <c r="BF2" s="805"/>
      <c r="BG2" s="805"/>
      <c r="BH2" s="806"/>
      <c r="BI2" s="606"/>
      <c r="BJ2" s="504"/>
    </row>
    <row r="3" spans="1:93" s="509" customFormat="1" ht="15.75" thickBot="1" x14ac:dyDescent="0.3">
      <c r="B3" s="794"/>
      <c r="C3" s="795"/>
      <c r="D3" s="537">
        <v>19</v>
      </c>
      <c r="E3" s="538">
        <v>20</v>
      </c>
      <c r="F3" s="538">
        <v>21</v>
      </c>
      <c r="G3" s="538">
        <v>22</v>
      </c>
      <c r="H3" s="538">
        <v>23</v>
      </c>
      <c r="I3" s="538">
        <v>24</v>
      </c>
      <c r="J3" s="538">
        <v>25</v>
      </c>
      <c r="K3" s="538">
        <v>26</v>
      </c>
      <c r="L3" s="538">
        <v>27</v>
      </c>
      <c r="M3" s="530">
        <v>28</v>
      </c>
      <c r="Q3" s="794"/>
      <c r="R3" s="795"/>
      <c r="S3" s="537">
        <v>19</v>
      </c>
      <c r="T3" s="538">
        <v>20</v>
      </c>
      <c r="U3" s="538">
        <v>21</v>
      </c>
      <c r="V3" s="538">
        <v>22</v>
      </c>
      <c r="W3" s="538">
        <v>23</v>
      </c>
      <c r="X3" s="538">
        <v>24</v>
      </c>
      <c r="Y3" s="538">
        <v>25</v>
      </c>
      <c r="Z3" s="538">
        <v>26</v>
      </c>
      <c r="AA3" s="538">
        <v>27</v>
      </c>
      <c r="AB3" s="530">
        <v>28</v>
      </c>
      <c r="AF3" s="803"/>
      <c r="AG3" s="804"/>
      <c r="AH3" s="587">
        <v>155</v>
      </c>
      <c r="AI3" s="588">
        <v>160</v>
      </c>
      <c r="AJ3" s="588">
        <v>161</v>
      </c>
      <c r="AK3" s="588">
        <v>163</v>
      </c>
      <c r="AL3" s="588">
        <v>164</v>
      </c>
      <c r="AM3" s="588">
        <v>165</v>
      </c>
      <c r="AN3" s="588">
        <v>168</v>
      </c>
      <c r="AO3" s="588">
        <v>169</v>
      </c>
      <c r="AP3" s="588">
        <v>170</v>
      </c>
      <c r="AQ3" s="588">
        <v>171</v>
      </c>
      <c r="AR3" s="588">
        <v>172</v>
      </c>
      <c r="AS3" s="588">
        <v>173</v>
      </c>
      <c r="AT3" s="588">
        <v>174</v>
      </c>
      <c r="AU3" s="588">
        <v>175</v>
      </c>
      <c r="AV3" s="588">
        <v>176</v>
      </c>
      <c r="AW3" s="588">
        <v>178</v>
      </c>
      <c r="AX3" s="588">
        <v>180</v>
      </c>
      <c r="AY3" s="588">
        <v>182</v>
      </c>
      <c r="AZ3" s="588">
        <v>183</v>
      </c>
      <c r="BA3" s="588">
        <v>184</v>
      </c>
      <c r="BB3" s="588">
        <v>185</v>
      </c>
      <c r="BC3" s="588">
        <v>187</v>
      </c>
      <c r="BD3" s="588">
        <v>188</v>
      </c>
      <c r="BE3" s="588">
        <v>189</v>
      </c>
      <c r="BF3" s="588">
        <v>190</v>
      </c>
      <c r="BG3" s="588">
        <v>193</v>
      </c>
      <c r="BH3" s="580">
        <v>195</v>
      </c>
      <c r="BI3" s="607"/>
      <c r="BJ3" s="505"/>
      <c r="BM3" s="811" t="s">
        <v>236</v>
      </c>
      <c r="BN3" s="802"/>
      <c r="BO3" s="801" t="s">
        <v>38</v>
      </c>
      <c r="BP3" s="816"/>
      <c r="BQ3" s="816"/>
      <c r="BR3" s="816"/>
      <c r="BS3" s="816"/>
      <c r="BT3" s="816"/>
      <c r="BU3" s="816"/>
      <c r="BV3" s="816"/>
      <c r="BW3" s="816"/>
      <c r="BX3" s="816"/>
      <c r="BY3" s="816"/>
      <c r="BZ3" s="816"/>
      <c r="CA3" s="816"/>
      <c r="CB3" s="817"/>
      <c r="CC3" s="740"/>
      <c r="CD3" s="740"/>
      <c r="CE3" s="740"/>
      <c r="CF3" s="740"/>
      <c r="CG3" s="740"/>
      <c r="CH3" s="740"/>
      <c r="CI3" s="740"/>
      <c r="CJ3" s="740"/>
      <c r="CK3" s="740"/>
      <c r="CL3" s="740"/>
      <c r="CM3" s="740"/>
      <c r="CN3" s="740"/>
      <c r="CO3" s="740"/>
    </row>
    <row r="4" spans="1:93" ht="15" customHeight="1" thickBot="1" x14ac:dyDescent="0.3">
      <c r="A4" s="517"/>
      <c r="B4" s="798" t="s">
        <v>38</v>
      </c>
      <c r="C4" s="532">
        <v>155</v>
      </c>
      <c r="D4" s="539" t="s">
        <v>177</v>
      </c>
      <c r="E4" s="540" t="s">
        <v>177</v>
      </c>
      <c r="F4" s="540" t="s">
        <v>177</v>
      </c>
      <c r="G4" s="540" t="s">
        <v>177</v>
      </c>
      <c r="H4" s="540">
        <v>1</v>
      </c>
      <c r="I4" s="540" t="s">
        <v>177</v>
      </c>
      <c r="J4" s="540" t="s">
        <v>177</v>
      </c>
      <c r="K4" s="540" t="s">
        <v>177</v>
      </c>
      <c r="L4" s="540" t="s">
        <v>177</v>
      </c>
      <c r="M4" s="568" t="s">
        <v>177</v>
      </c>
      <c r="N4" s="533">
        <v>1</v>
      </c>
      <c r="O4" s="779" t="s">
        <v>220</v>
      </c>
      <c r="Q4" s="782" t="s">
        <v>38</v>
      </c>
      <c r="R4" s="532">
        <v>155</v>
      </c>
      <c r="S4" s="549" t="str">
        <f t="shared" ref="S4:S30" si="0">IF(D4&lt;&gt;"",D4/$N$31,"")</f>
        <v/>
      </c>
      <c r="T4" s="550" t="str">
        <f t="shared" ref="T4:T30" si="1">IF(E4&lt;&gt;"",E4/$N$31,"")</f>
        <v/>
      </c>
      <c r="U4" s="550" t="str">
        <f t="shared" ref="U4:U30" si="2">IF(F4&lt;&gt;"",F4/$N$31,"")</f>
        <v/>
      </c>
      <c r="V4" s="550" t="str">
        <f t="shared" ref="V4:V30" si="3">IF(G4&lt;&gt;"",G4/$N$31,"")</f>
        <v/>
      </c>
      <c r="W4" s="550">
        <f t="shared" ref="W4:W30" si="4">IF(H4&lt;&gt;"",H4/$N$31,"")</f>
        <v>1.4285714285714285E-2</v>
      </c>
      <c r="X4" s="550" t="str">
        <f t="shared" ref="X4:X30" si="5">IF(I4&lt;&gt;"",I4/$N$31,"")</f>
        <v/>
      </c>
      <c r="Y4" s="550" t="str">
        <f t="shared" ref="Y4:Y30" si="6">IF(J4&lt;&gt;"",J4/$N$31,"")</f>
        <v/>
      </c>
      <c r="Z4" s="550" t="str">
        <f t="shared" ref="Z4:Z30" si="7">IF(K4&lt;&gt;"",K4/$N$31,"")</f>
        <v/>
      </c>
      <c r="AA4" s="550" t="str">
        <f t="shared" ref="AA4:AA30" si="8">IF(L4&lt;&gt;"",L4/$N$31,"")</f>
        <v/>
      </c>
      <c r="AB4" s="562" t="str">
        <f t="shared" ref="AB4:AB30" si="9">IF(M4&lt;&gt;"",M4/$N$31,"")</f>
        <v/>
      </c>
      <c r="AC4" s="546">
        <f t="shared" ref="AC4:AC30" si="10">IF(SUM(S4:AB4)&gt;0,SUM(S4:AB4),"")</f>
        <v>1.4285714285714285E-2</v>
      </c>
      <c r="AD4" s="779" t="s">
        <v>223</v>
      </c>
      <c r="AF4" s="801" t="s">
        <v>39</v>
      </c>
      <c r="AG4" s="581">
        <v>19</v>
      </c>
      <c r="AH4" s="589" t="s">
        <v>177</v>
      </c>
      <c r="AI4" s="590">
        <v>1</v>
      </c>
      <c r="AJ4" s="590" t="s">
        <v>177</v>
      </c>
      <c r="AK4" s="590" t="s">
        <v>177</v>
      </c>
      <c r="AL4" s="590" t="s">
        <v>177</v>
      </c>
      <c r="AM4" s="590" t="s">
        <v>177</v>
      </c>
      <c r="AN4" s="590">
        <v>1</v>
      </c>
      <c r="AO4" s="590" t="s">
        <v>177</v>
      </c>
      <c r="AP4" s="590" t="s">
        <v>177</v>
      </c>
      <c r="AQ4" s="590" t="s">
        <v>177</v>
      </c>
      <c r="AR4" s="590" t="s">
        <v>177</v>
      </c>
      <c r="AS4" s="590" t="s">
        <v>177</v>
      </c>
      <c r="AT4" s="590" t="s">
        <v>177</v>
      </c>
      <c r="AU4" s="590" t="s">
        <v>177</v>
      </c>
      <c r="AV4" s="590" t="s">
        <v>177</v>
      </c>
      <c r="AW4" s="590" t="s">
        <v>177</v>
      </c>
      <c r="AX4" s="590" t="s">
        <v>177</v>
      </c>
      <c r="AY4" s="590">
        <v>1</v>
      </c>
      <c r="AZ4" s="590" t="s">
        <v>177</v>
      </c>
      <c r="BA4" s="590" t="s">
        <v>177</v>
      </c>
      <c r="BB4" s="590" t="s">
        <v>177</v>
      </c>
      <c r="BC4" s="590" t="s">
        <v>177</v>
      </c>
      <c r="BD4" s="590" t="s">
        <v>177</v>
      </c>
      <c r="BE4" s="590" t="s">
        <v>177</v>
      </c>
      <c r="BF4" s="590" t="s">
        <v>177</v>
      </c>
      <c r="BG4" s="590" t="s">
        <v>177</v>
      </c>
      <c r="BH4" s="574" t="s">
        <v>177</v>
      </c>
      <c r="BI4" s="608">
        <v>3</v>
      </c>
      <c r="BJ4" s="813" t="s">
        <v>227</v>
      </c>
      <c r="BM4" s="803"/>
      <c r="BN4" s="804"/>
      <c r="BO4" s="587">
        <v>155</v>
      </c>
      <c r="BP4" s="588">
        <v>160</v>
      </c>
      <c r="BQ4" s="588">
        <v>161</v>
      </c>
      <c r="BR4" s="588">
        <v>163</v>
      </c>
      <c r="BS4" s="588">
        <v>164</v>
      </c>
      <c r="BT4" s="588">
        <v>165</v>
      </c>
      <c r="BU4" s="588">
        <v>168</v>
      </c>
      <c r="BV4" s="588">
        <v>169</v>
      </c>
      <c r="BW4" s="588">
        <v>170</v>
      </c>
      <c r="BX4" s="588">
        <v>171</v>
      </c>
      <c r="BY4" s="588">
        <v>172</v>
      </c>
      <c r="BZ4" s="588">
        <v>173</v>
      </c>
      <c r="CA4" s="588">
        <v>174</v>
      </c>
      <c r="CB4" s="744">
        <v>175</v>
      </c>
      <c r="CC4" s="517"/>
      <c r="CD4" s="517"/>
      <c r="CE4" s="517"/>
      <c r="CF4" s="517"/>
      <c r="CG4" s="517"/>
      <c r="CH4" s="517"/>
      <c r="CI4" s="517"/>
      <c r="CJ4" s="517"/>
      <c r="CK4" s="517"/>
      <c r="CL4" s="517"/>
      <c r="CM4" s="517"/>
      <c r="CN4" s="517"/>
      <c r="CO4" s="517"/>
    </row>
    <row r="5" spans="1:93" ht="15" x14ac:dyDescent="0.25">
      <c r="A5" s="517"/>
      <c r="B5" s="799"/>
      <c r="C5" s="555">
        <v>160</v>
      </c>
      <c r="D5" s="556">
        <v>1</v>
      </c>
      <c r="E5" s="557" t="s">
        <v>177</v>
      </c>
      <c r="F5" s="557">
        <v>1</v>
      </c>
      <c r="G5" s="557">
        <v>1</v>
      </c>
      <c r="H5" s="557">
        <v>1</v>
      </c>
      <c r="I5" s="557">
        <v>1</v>
      </c>
      <c r="J5" s="557" t="s">
        <v>177</v>
      </c>
      <c r="K5" s="557" t="s">
        <v>177</v>
      </c>
      <c r="L5" s="557" t="s">
        <v>177</v>
      </c>
      <c r="M5" s="569" t="s">
        <v>177</v>
      </c>
      <c r="N5" s="558">
        <v>5</v>
      </c>
      <c r="O5" s="780"/>
      <c r="Q5" s="783"/>
      <c r="R5" s="555">
        <v>160</v>
      </c>
      <c r="S5" s="559">
        <f t="shared" si="0"/>
        <v>1.4285714285714285E-2</v>
      </c>
      <c r="T5" s="560" t="str">
        <f t="shared" si="1"/>
        <v/>
      </c>
      <c r="U5" s="560">
        <f t="shared" si="2"/>
        <v>1.4285714285714285E-2</v>
      </c>
      <c r="V5" s="560">
        <f t="shared" si="3"/>
        <v>1.4285714285714285E-2</v>
      </c>
      <c r="W5" s="560">
        <f t="shared" si="4"/>
        <v>1.4285714285714285E-2</v>
      </c>
      <c r="X5" s="560">
        <f t="shared" si="5"/>
        <v>1.4285714285714285E-2</v>
      </c>
      <c r="Y5" s="560" t="str">
        <f t="shared" si="6"/>
        <v/>
      </c>
      <c r="Z5" s="560" t="str">
        <f t="shared" si="7"/>
        <v/>
      </c>
      <c r="AA5" s="560" t="str">
        <f t="shared" si="8"/>
        <v/>
      </c>
      <c r="AB5" s="563" t="str">
        <f t="shared" si="9"/>
        <v/>
      </c>
      <c r="AC5" s="561">
        <f t="shared" si="10"/>
        <v>7.1428571428571425E-2</v>
      </c>
      <c r="AD5" s="780"/>
      <c r="AF5" s="807"/>
      <c r="AG5" s="582">
        <v>20</v>
      </c>
      <c r="AH5" s="591" t="s">
        <v>177</v>
      </c>
      <c r="AI5" s="592" t="s">
        <v>177</v>
      </c>
      <c r="AJ5" s="592" t="s">
        <v>177</v>
      </c>
      <c r="AK5" s="592">
        <v>2</v>
      </c>
      <c r="AL5" s="592" t="s">
        <v>177</v>
      </c>
      <c r="AM5" s="592" t="s">
        <v>177</v>
      </c>
      <c r="AN5" s="592" t="s">
        <v>177</v>
      </c>
      <c r="AO5" s="592" t="s">
        <v>177</v>
      </c>
      <c r="AP5" s="592">
        <v>1</v>
      </c>
      <c r="AQ5" s="592" t="s">
        <v>177</v>
      </c>
      <c r="AR5" s="592" t="s">
        <v>177</v>
      </c>
      <c r="AS5" s="592" t="s">
        <v>177</v>
      </c>
      <c r="AT5" s="592">
        <v>1</v>
      </c>
      <c r="AU5" s="592" t="s">
        <v>177</v>
      </c>
      <c r="AV5" s="592" t="s">
        <v>177</v>
      </c>
      <c r="AW5" s="592" t="s">
        <v>177</v>
      </c>
      <c r="AX5" s="592">
        <v>1</v>
      </c>
      <c r="AY5" s="592">
        <v>1</v>
      </c>
      <c r="AZ5" s="592">
        <v>2</v>
      </c>
      <c r="BA5" s="592" t="s">
        <v>177</v>
      </c>
      <c r="BB5" s="592">
        <v>1</v>
      </c>
      <c r="BC5" s="592" t="s">
        <v>177</v>
      </c>
      <c r="BD5" s="592" t="s">
        <v>177</v>
      </c>
      <c r="BE5" s="592" t="s">
        <v>177</v>
      </c>
      <c r="BF5" s="592" t="s">
        <v>177</v>
      </c>
      <c r="BG5" s="592" t="s">
        <v>177</v>
      </c>
      <c r="BH5" s="575">
        <v>1</v>
      </c>
      <c r="BI5" s="609">
        <v>10</v>
      </c>
      <c r="BJ5" s="814"/>
      <c r="BM5" s="801" t="s">
        <v>39</v>
      </c>
      <c r="BN5" s="581">
        <v>19</v>
      </c>
      <c r="BO5" s="745" t="str">
        <f>IF(AH19&lt;&gt;"",AH19*BO$4*$BN5,"")</f>
        <v/>
      </c>
      <c r="BP5" s="746">
        <f t="shared" ref="BP5:CB5" si="11">IF(AI19&lt;&gt;"",AI19*BP$4*$BN5,"")</f>
        <v>43.428571428571423</v>
      </c>
      <c r="BQ5" s="746" t="str">
        <f t="shared" si="11"/>
        <v/>
      </c>
      <c r="BR5" s="746" t="str">
        <f t="shared" si="11"/>
        <v/>
      </c>
      <c r="BS5" s="746" t="str">
        <f t="shared" si="11"/>
        <v/>
      </c>
      <c r="BT5" s="746" t="str">
        <f t="shared" si="11"/>
        <v/>
      </c>
      <c r="BU5" s="746">
        <f t="shared" si="11"/>
        <v>45.6</v>
      </c>
      <c r="BV5" s="746" t="str">
        <f t="shared" si="11"/>
        <v/>
      </c>
      <c r="BW5" s="746" t="str">
        <f t="shared" si="11"/>
        <v/>
      </c>
      <c r="BX5" s="746" t="str">
        <f t="shared" si="11"/>
        <v/>
      </c>
      <c r="BY5" s="746" t="str">
        <f t="shared" si="11"/>
        <v/>
      </c>
      <c r="BZ5" s="746" t="str">
        <f t="shared" si="11"/>
        <v/>
      </c>
      <c r="CA5" s="746" t="str">
        <f t="shared" si="11"/>
        <v/>
      </c>
      <c r="CB5" s="577" t="str">
        <f t="shared" si="11"/>
        <v/>
      </c>
      <c r="CC5" s="517"/>
      <c r="CD5" s="517"/>
      <c r="CE5" s="517"/>
      <c r="CF5" s="517"/>
      <c r="CG5" s="517"/>
      <c r="CH5" s="517"/>
      <c r="CI5" s="517"/>
      <c r="CJ5" s="517"/>
      <c r="CK5" s="517"/>
      <c r="CL5" s="517"/>
      <c r="CM5" s="517"/>
      <c r="CN5" s="517"/>
      <c r="CO5" s="517"/>
    </row>
    <row r="6" spans="1:93" ht="15" x14ac:dyDescent="0.25">
      <c r="A6" s="517"/>
      <c r="B6" s="799"/>
      <c r="C6" s="534">
        <v>161</v>
      </c>
      <c r="D6" s="541" t="s">
        <v>177</v>
      </c>
      <c r="E6" s="509" t="s">
        <v>177</v>
      </c>
      <c r="F6" s="509" t="s">
        <v>177</v>
      </c>
      <c r="G6" s="509">
        <v>1</v>
      </c>
      <c r="H6" s="509" t="s">
        <v>177</v>
      </c>
      <c r="I6" s="509" t="s">
        <v>177</v>
      </c>
      <c r="J6" s="509" t="s">
        <v>177</v>
      </c>
      <c r="K6" s="509" t="s">
        <v>177</v>
      </c>
      <c r="L6" s="509" t="s">
        <v>177</v>
      </c>
      <c r="M6" s="570" t="s">
        <v>177</v>
      </c>
      <c r="N6" s="535">
        <v>1</v>
      </c>
      <c r="O6" s="780"/>
      <c r="Q6" s="783"/>
      <c r="R6" s="534">
        <v>161</v>
      </c>
      <c r="S6" s="551" t="str">
        <f t="shared" si="0"/>
        <v/>
      </c>
      <c r="T6" s="552" t="str">
        <f t="shared" si="1"/>
        <v/>
      </c>
      <c r="U6" s="552" t="str">
        <f t="shared" si="2"/>
        <v/>
      </c>
      <c r="V6" s="552">
        <f t="shared" si="3"/>
        <v>1.4285714285714285E-2</v>
      </c>
      <c r="W6" s="552" t="str">
        <f t="shared" si="4"/>
        <v/>
      </c>
      <c r="X6" s="552" t="str">
        <f t="shared" si="5"/>
        <v/>
      </c>
      <c r="Y6" s="552" t="str">
        <f t="shared" si="6"/>
        <v/>
      </c>
      <c r="Z6" s="552" t="str">
        <f t="shared" si="7"/>
        <v/>
      </c>
      <c r="AA6" s="552" t="str">
        <f t="shared" si="8"/>
        <v/>
      </c>
      <c r="AB6" s="564" t="str">
        <f t="shared" si="9"/>
        <v/>
      </c>
      <c r="AC6" s="547">
        <f t="shared" si="10"/>
        <v>1.4285714285714285E-2</v>
      </c>
      <c r="AD6" s="780"/>
      <c r="AF6" s="807"/>
      <c r="AG6" s="583">
        <v>21</v>
      </c>
      <c r="AH6" s="589" t="s">
        <v>177</v>
      </c>
      <c r="AI6" s="590">
        <v>1</v>
      </c>
      <c r="AJ6" s="590" t="s">
        <v>177</v>
      </c>
      <c r="AK6" s="590">
        <v>1</v>
      </c>
      <c r="AL6" s="590" t="s">
        <v>177</v>
      </c>
      <c r="AM6" s="590">
        <v>1</v>
      </c>
      <c r="AN6" s="590" t="s">
        <v>177</v>
      </c>
      <c r="AO6" s="590" t="s">
        <v>177</v>
      </c>
      <c r="AP6" s="590" t="s">
        <v>177</v>
      </c>
      <c r="AQ6" s="590" t="s">
        <v>177</v>
      </c>
      <c r="AR6" s="590" t="s">
        <v>177</v>
      </c>
      <c r="AS6" s="590">
        <v>1</v>
      </c>
      <c r="AT6" s="590">
        <v>1</v>
      </c>
      <c r="AU6" s="590" t="s">
        <v>177</v>
      </c>
      <c r="AV6" s="590">
        <v>2</v>
      </c>
      <c r="AW6" s="590">
        <v>1</v>
      </c>
      <c r="AX6" s="590" t="s">
        <v>177</v>
      </c>
      <c r="AY6" s="590" t="s">
        <v>177</v>
      </c>
      <c r="AZ6" s="590" t="s">
        <v>177</v>
      </c>
      <c r="BA6" s="590">
        <v>1</v>
      </c>
      <c r="BB6" s="590">
        <v>2</v>
      </c>
      <c r="BC6" s="590" t="s">
        <v>177</v>
      </c>
      <c r="BD6" s="590" t="s">
        <v>177</v>
      </c>
      <c r="BE6" s="590" t="s">
        <v>177</v>
      </c>
      <c r="BF6" s="590" t="s">
        <v>177</v>
      </c>
      <c r="BG6" s="590" t="s">
        <v>177</v>
      </c>
      <c r="BH6" s="574" t="s">
        <v>177</v>
      </c>
      <c r="BI6" s="610">
        <v>11</v>
      </c>
      <c r="BJ6" s="814"/>
      <c r="BM6" s="807"/>
      <c r="BN6" s="582">
        <v>20</v>
      </c>
      <c r="BO6" s="599" t="str">
        <f t="shared" ref="BO6:BO14" si="12">IF(AH20&lt;&gt;"",AH20*BO$4*$BN6,"")</f>
        <v/>
      </c>
      <c r="BP6" s="600" t="str">
        <f t="shared" ref="BP6:BP14" si="13">IF(AI20&lt;&gt;"",AI20*BP$4*$BN6,"")</f>
        <v/>
      </c>
      <c r="BQ6" s="600" t="str">
        <f t="shared" ref="BQ6:BQ14" si="14">IF(AJ20&lt;&gt;"",AJ20*BQ$4*$BN6,"")</f>
        <v/>
      </c>
      <c r="BR6" s="600">
        <f t="shared" ref="BR6:BR14" si="15">IF(AK20&lt;&gt;"",AK20*BR$4*$BN6,"")</f>
        <v>93.142857142857139</v>
      </c>
      <c r="BS6" s="600" t="str">
        <f t="shared" ref="BS6:BS14" si="16">IF(AL20&lt;&gt;"",AL20*BS$4*$BN6,"")</f>
        <v/>
      </c>
      <c r="BT6" s="600" t="str">
        <f t="shared" ref="BT6:BT14" si="17">IF(AM20&lt;&gt;"",AM20*BT$4*$BN6,"")</f>
        <v/>
      </c>
      <c r="BU6" s="600" t="str">
        <f t="shared" ref="BU6:BU14" si="18">IF(AN20&lt;&gt;"",AN20*BU$4*$BN6,"")</f>
        <v/>
      </c>
      <c r="BV6" s="600" t="str">
        <f t="shared" ref="BV6:BV14" si="19">IF(AO20&lt;&gt;"",AO20*BV$4*$BN6,"")</f>
        <v/>
      </c>
      <c r="BW6" s="600">
        <f t="shared" ref="BW6:BW14" si="20">IF(AP20&lt;&gt;"",AP20*BW$4*$BN6,"")</f>
        <v>48.571428571428569</v>
      </c>
      <c r="BX6" s="600" t="str">
        <f t="shared" ref="BX6:BX14" si="21">IF(AQ20&lt;&gt;"",AQ20*BX$4*$BN6,"")</f>
        <v/>
      </c>
      <c r="BY6" s="600" t="str">
        <f t="shared" ref="BY6:BY14" si="22">IF(AR20&lt;&gt;"",AR20*BY$4*$BN6,"")</f>
        <v/>
      </c>
      <c r="BZ6" s="600" t="str">
        <f t="shared" ref="BZ6:BZ14" si="23">IF(AS20&lt;&gt;"",AS20*BZ$4*$BN6,"")</f>
        <v/>
      </c>
      <c r="CA6" s="600">
        <f t="shared" ref="CA6:CA14" si="24">IF(AT20&lt;&gt;"",AT20*CA$4*$BN6,"")</f>
        <v>49.714285714285715</v>
      </c>
      <c r="CB6" s="578" t="str">
        <f t="shared" ref="CB6:CB14" si="25">IF(AU20&lt;&gt;"",AU20*CB$4*$BN6,"")</f>
        <v/>
      </c>
      <c r="CC6" s="517"/>
      <c r="CD6" s="517"/>
      <c r="CE6" s="517"/>
      <c r="CF6" s="517"/>
      <c r="CG6" s="517"/>
      <c r="CH6" s="517"/>
      <c r="CI6" s="517"/>
      <c r="CJ6" s="517"/>
      <c r="CK6" s="517"/>
      <c r="CL6" s="517"/>
      <c r="CM6" s="517"/>
      <c r="CN6" s="517"/>
      <c r="CO6" s="517"/>
    </row>
    <row r="7" spans="1:93" ht="15" x14ac:dyDescent="0.25">
      <c r="A7" s="517"/>
      <c r="B7" s="799"/>
      <c r="C7" s="555">
        <v>163</v>
      </c>
      <c r="D7" s="556" t="s">
        <v>177</v>
      </c>
      <c r="E7" s="557">
        <v>2</v>
      </c>
      <c r="F7" s="557">
        <v>1</v>
      </c>
      <c r="G7" s="557" t="s">
        <v>177</v>
      </c>
      <c r="H7" s="557" t="s">
        <v>177</v>
      </c>
      <c r="I7" s="557" t="s">
        <v>177</v>
      </c>
      <c r="J7" s="557" t="s">
        <v>177</v>
      </c>
      <c r="K7" s="557" t="s">
        <v>177</v>
      </c>
      <c r="L7" s="557" t="s">
        <v>177</v>
      </c>
      <c r="M7" s="569" t="s">
        <v>177</v>
      </c>
      <c r="N7" s="558">
        <v>3</v>
      </c>
      <c r="O7" s="780"/>
      <c r="Q7" s="783"/>
      <c r="R7" s="555">
        <v>163</v>
      </c>
      <c r="S7" s="559" t="str">
        <f t="shared" si="0"/>
        <v/>
      </c>
      <c r="T7" s="560">
        <f t="shared" si="1"/>
        <v>2.8571428571428571E-2</v>
      </c>
      <c r="U7" s="560">
        <f t="shared" si="2"/>
        <v>1.4285714285714285E-2</v>
      </c>
      <c r="V7" s="560" t="str">
        <f t="shared" si="3"/>
        <v/>
      </c>
      <c r="W7" s="560" t="str">
        <f t="shared" si="4"/>
        <v/>
      </c>
      <c r="X7" s="560" t="str">
        <f t="shared" si="5"/>
        <v/>
      </c>
      <c r="Y7" s="560" t="str">
        <f t="shared" si="6"/>
        <v/>
      </c>
      <c r="Z7" s="560" t="str">
        <f t="shared" si="7"/>
        <v/>
      </c>
      <c r="AA7" s="560" t="str">
        <f t="shared" si="8"/>
        <v/>
      </c>
      <c r="AB7" s="563" t="str">
        <f t="shared" si="9"/>
        <v/>
      </c>
      <c r="AC7" s="561">
        <f t="shared" si="10"/>
        <v>4.2857142857142858E-2</v>
      </c>
      <c r="AD7" s="780"/>
      <c r="AF7" s="807"/>
      <c r="AG7" s="582">
        <v>22</v>
      </c>
      <c r="AH7" s="591" t="s">
        <v>177</v>
      </c>
      <c r="AI7" s="592">
        <v>1</v>
      </c>
      <c r="AJ7" s="592">
        <v>1</v>
      </c>
      <c r="AK7" s="592" t="s">
        <v>177</v>
      </c>
      <c r="AL7" s="592" t="s">
        <v>177</v>
      </c>
      <c r="AM7" s="592">
        <v>2</v>
      </c>
      <c r="AN7" s="592" t="s">
        <v>177</v>
      </c>
      <c r="AO7" s="592" t="s">
        <v>177</v>
      </c>
      <c r="AP7" s="592">
        <v>3</v>
      </c>
      <c r="AQ7" s="592" t="s">
        <v>177</v>
      </c>
      <c r="AR7" s="592" t="s">
        <v>177</v>
      </c>
      <c r="AS7" s="592" t="s">
        <v>177</v>
      </c>
      <c r="AT7" s="592">
        <v>1</v>
      </c>
      <c r="AU7" s="592" t="s">
        <v>177</v>
      </c>
      <c r="AV7" s="592" t="s">
        <v>177</v>
      </c>
      <c r="AW7" s="592" t="s">
        <v>177</v>
      </c>
      <c r="AX7" s="592">
        <v>2</v>
      </c>
      <c r="AY7" s="592" t="s">
        <v>177</v>
      </c>
      <c r="AZ7" s="592" t="s">
        <v>177</v>
      </c>
      <c r="BA7" s="592">
        <v>1</v>
      </c>
      <c r="BB7" s="592">
        <v>1</v>
      </c>
      <c r="BC7" s="592">
        <v>1</v>
      </c>
      <c r="BD7" s="592">
        <v>1</v>
      </c>
      <c r="BE7" s="592" t="s">
        <v>177</v>
      </c>
      <c r="BF7" s="592" t="s">
        <v>177</v>
      </c>
      <c r="BG7" s="592" t="s">
        <v>177</v>
      </c>
      <c r="BH7" s="575" t="s">
        <v>177</v>
      </c>
      <c r="BI7" s="609">
        <v>14</v>
      </c>
      <c r="BJ7" s="814"/>
      <c r="BM7" s="807"/>
      <c r="BN7" s="583">
        <v>21</v>
      </c>
      <c r="BO7" s="597" t="str">
        <f t="shared" si="12"/>
        <v/>
      </c>
      <c r="BP7" s="598">
        <f t="shared" si="13"/>
        <v>48</v>
      </c>
      <c r="BQ7" s="598" t="str">
        <f t="shared" si="14"/>
        <v/>
      </c>
      <c r="BR7" s="598">
        <f t="shared" si="15"/>
        <v>48.899999999999991</v>
      </c>
      <c r="BS7" s="598" t="str">
        <f t="shared" si="16"/>
        <v/>
      </c>
      <c r="BT7" s="598">
        <f t="shared" si="17"/>
        <v>49.5</v>
      </c>
      <c r="BU7" s="598" t="str">
        <f t="shared" si="18"/>
        <v/>
      </c>
      <c r="BV7" s="598" t="str">
        <f t="shared" si="19"/>
        <v/>
      </c>
      <c r="BW7" s="598" t="str">
        <f t="shared" si="20"/>
        <v/>
      </c>
      <c r="BX7" s="598" t="str">
        <f t="shared" si="21"/>
        <v/>
      </c>
      <c r="BY7" s="598" t="str">
        <f t="shared" si="22"/>
        <v/>
      </c>
      <c r="BZ7" s="598">
        <f t="shared" si="23"/>
        <v>51.900000000000006</v>
      </c>
      <c r="CA7" s="598">
        <f t="shared" si="24"/>
        <v>52.2</v>
      </c>
      <c r="CB7" s="577" t="str">
        <f t="shared" si="25"/>
        <v/>
      </c>
      <c r="CC7" s="517"/>
      <c r="CD7" s="517"/>
      <c r="CE7" s="517"/>
      <c r="CF7" s="517"/>
      <c r="CG7" s="517"/>
      <c r="CH7" s="517"/>
      <c r="CI7" s="517"/>
      <c r="CJ7" s="517"/>
      <c r="CK7" s="517"/>
      <c r="CL7" s="517"/>
      <c r="CM7" s="517"/>
      <c r="CN7" s="517"/>
      <c r="CO7" s="517"/>
    </row>
    <row r="8" spans="1:93" ht="15" x14ac:dyDescent="0.25">
      <c r="A8" s="517"/>
      <c r="B8" s="799"/>
      <c r="C8" s="534">
        <v>164</v>
      </c>
      <c r="D8" s="541" t="s">
        <v>177</v>
      </c>
      <c r="E8" s="509" t="s">
        <v>177</v>
      </c>
      <c r="F8" s="509" t="s">
        <v>177</v>
      </c>
      <c r="G8" s="509" t="s">
        <v>177</v>
      </c>
      <c r="H8" s="509" t="s">
        <v>177</v>
      </c>
      <c r="I8" s="509" t="s">
        <v>177</v>
      </c>
      <c r="J8" s="509" t="s">
        <v>177</v>
      </c>
      <c r="K8" s="509">
        <v>1</v>
      </c>
      <c r="L8" s="509" t="s">
        <v>177</v>
      </c>
      <c r="M8" s="570" t="s">
        <v>177</v>
      </c>
      <c r="N8" s="535">
        <v>1</v>
      </c>
      <c r="O8" s="780"/>
      <c r="Q8" s="783"/>
      <c r="R8" s="534">
        <v>164</v>
      </c>
      <c r="S8" s="551" t="str">
        <f t="shared" si="0"/>
        <v/>
      </c>
      <c r="T8" s="552" t="str">
        <f t="shared" si="1"/>
        <v/>
      </c>
      <c r="U8" s="552" t="str">
        <f t="shared" si="2"/>
        <v/>
      </c>
      <c r="V8" s="552" t="str">
        <f t="shared" si="3"/>
        <v/>
      </c>
      <c r="W8" s="552" t="str">
        <f t="shared" si="4"/>
        <v/>
      </c>
      <c r="X8" s="552" t="str">
        <f t="shared" si="5"/>
        <v/>
      </c>
      <c r="Y8" s="552" t="str">
        <f t="shared" si="6"/>
        <v/>
      </c>
      <c r="Z8" s="552">
        <f t="shared" si="7"/>
        <v>1.4285714285714285E-2</v>
      </c>
      <c r="AA8" s="552" t="str">
        <f t="shared" si="8"/>
        <v/>
      </c>
      <c r="AB8" s="564" t="str">
        <f t="shared" si="9"/>
        <v/>
      </c>
      <c r="AC8" s="547">
        <f t="shared" si="10"/>
        <v>1.4285714285714285E-2</v>
      </c>
      <c r="AD8" s="780"/>
      <c r="AF8" s="807"/>
      <c r="AG8" s="583">
        <v>23</v>
      </c>
      <c r="AH8" s="589">
        <v>1</v>
      </c>
      <c r="AI8" s="590">
        <v>1</v>
      </c>
      <c r="AJ8" s="590" t="s">
        <v>177</v>
      </c>
      <c r="AK8" s="590" t="s">
        <v>177</v>
      </c>
      <c r="AL8" s="590" t="s">
        <v>177</v>
      </c>
      <c r="AM8" s="590" t="s">
        <v>177</v>
      </c>
      <c r="AN8" s="590" t="s">
        <v>177</v>
      </c>
      <c r="AO8" s="590" t="s">
        <v>177</v>
      </c>
      <c r="AP8" s="590">
        <v>1</v>
      </c>
      <c r="AQ8" s="590" t="s">
        <v>177</v>
      </c>
      <c r="AR8" s="590" t="s">
        <v>177</v>
      </c>
      <c r="AS8" s="590" t="s">
        <v>177</v>
      </c>
      <c r="AT8" s="590" t="s">
        <v>177</v>
      </c>
      <c r="AU8" s="590" t="s">
        <v>177</v>
      </c>
      <c r="AV8" s="590">
        <v>2</v>
      </c>
      <c r="AW8" s="590">
        <v>1</v>
      </c>
      <c r="AX8" s="590" t="s">
        <v>177</v>
      </c>
      <c r="AY8" s="590" t="s">
        <v>177</v>
      </c>
      <c r="AZ8" s="590" t="s">
        <v>177</v>
      </c>
      <c r="BA8" s="590" t="s">
        <v>177</v>
      </c>
      <c r="BB8" s="590">
        <v>1</v>
      </c>
      <c r="BC8" s="590" t="s">
        <v>177</v>
      </c>
      <c r="BD8" s="590" t="s">
        <v>177</v>
      </c>
      <c r="BE8" s="590">
        <v>1</v>
      </c>
      <c r="BF8" s="590" t="s">
        <v>177</v>
      </c>
      <c r="BG8" s="590">
        <v>1</v>
      </c>
      <c r="BH8" s="574" t="s">
        <v>177</v>
      </c>
      <c r="BI8" s="610">
        <v>9</v>
      </c>
      <c r="BJ8" s="814"/>
      <c r="BM8" s="807"/>
      <c r="BN8" s="582">
        <v>22</v>
      </c>
      <c r="BO8" s="599" t="str">
        <f t="shared" si="12"/>
        <v/>
      </c>
      <c r="BP8" s="600">
        <f t="shared" si="13"/>
        <v>50.285714285714285</v>
      </c>
      <c r="BQ8" s="600">
        <f t="shared" si="14"/>
        <v>50.599999999999994</v>
      </c>
      <c r="BR8" s="600" t="str">
        <f t="shared" si="15"/>
        <v/>
      </c>
      <c r="BS8" s="600" t="str">
        <f t="shared" si="16"/>
        <v/>
      </c>
      <c r="BT8" s="600">
        <f t="shared" si="17"/>
        <v>103.71428571428572</v>
      </c>
      <c r="BU8" s="600" t="str">
        <f t="shared" si="18"/>
        <v/>
      </c>
      <c r="BV8" s="600" t="str">
        <f t="shared" si="19"/>
        <v/>
      </c>
      <c r="BW8" s="600">
        <f t="shared" si="20"/>
        <v>160.28571428571428</v>
      </c>
      <c r="BX8" s="600" t="str">
        <f t="shared" si="21"/>
        <v/>
      </c>
      <c r="BY8" s="600" t="str">
        <f t="shared" si="22"/>
        <v/>
      </c>
      <c r="BZ8" s="600" t="str">
        <f t="shared" si="23"/>
        <v/>
      </c>
      <c r="CA8" s="600">
        <f t="shared" si="24"/>
        <v>54.685714285714283</v>
      </c>
      <c r="CB8" s="578" t="str">
        <f t="shared" si="25"/>
        <v/>
      </c>
      <c r="CC8" s="517"/>
      <c r="CD8" s="517"/>
      <c r="CE8" s="517"/>
      <c r="CF8" s="517"/>
      <c r="CG8" s="517"/>
      <c r="CH8" s="517"/>
      <c r="CI8" s="517"/>
      <c r="CJ8" s="517"/>
      <c r="CK8" s="517"/>
      <c r="CL8" s="517"/>
      <c r="CM8" s="517"/>
      <c r="CN8" s="517"/>
      <c r="CO8" s="517"/>
    </row>
    <row r="9" spans="1:93" ht="15" x14ac:dyDescent="0.25">
      <c r="A9" s="517"/>
      <c r="B9" s="799"/>
      <c r="C9" s="555">
        <v>165</v>
      </c>
      <c r="D9" s="556" t="s">
        <v>177</v>
      </c>
      <c r="E9" s="557" t="s">
        <v>177</v>
      </c>
      <c r="F9" s="557">
        <v>1</v>
      </c>
      <c r="G9" s="557">
        <v>2</v>
      </c>
      <c r="H9" s="557" t="s">
        <v>177</v>
      </c>
      <c r="I9" s="557" t="s">
        <v>177</v>
      </c>
      <c r="J9" s="557" t="s">
        <v>177</v>
      </c>
      <c r="K9" s="557" t="s">
        <v>177</v>
      </c>
      <c r="L9" s="557" t="s">
        <v>177</v>
      </c>
      <c r="M9" s="569" t="s">
        <v>177</v>
      </c>
      <c r="N9" s="558">
        <v>3</v>
      </c>
      <c r="O9" s="780"/>
      <c r="Q9" s="783"/>
      <c r="R9" s="555">
        <v>165</v>
      </c>
      <c r="S9" s="559" t="str">
        <f t="shared" si="0"/>
        <v/>
      </c>
      <c r="T9" s="560" t="str">
        <f t="shared" si="1"/>
        <v/>
      </c>
      <c r="U9" s="560">
        <f t="shared" si="2"/>
        <v>1.4285714285714285E-2</v>
      </c>
      <c r="V9" s="560">
        <f t="shared" si="3"/>
        <v>2.8571428571428571E-2</v>
      </c>
      <c r="W9" s="560" t="str">
        <f t="shared" si="4"/>
        <v/>
      </c>
      <c r="X9" s="560" t="str">
        <f t="shared" si="5"/>
        <v/>
      </c>
      <c r="Y9" s="560" t="str">
        <f t="shared" si="6"/>
        <v/>
      </c>
      <c r="Z9" s="560" t="str">
        <f t="shared" si="7"/>
        <v/>
      </c>
      <c r="AA9" s="560" t="str">
        <f t="shared" si="8"/>
        <v/>
      </c>
      <c r="AB9" s="563" t="str">
        <f t="shared" si="9"/>
        <v/>
      </c>
      <c r="AC9" s="561">
        <f t="shared" si="10"/>
        <v>4.2857142857142858E-2</v>
      </c>
      <c r="AD9" s="780"/>
      <c r="AF9" s="807"/>
      <c r="AG9" s="582">
        <v>24</v>
      </c>
      <c r="AH9" s="591" t="s">
        <v>177</v>
      </c>
      <c r="AI9" s="592">
        <v>1</v>
      </c>
      <c r="AJ9" s="592" t="s">
        <v>177</v>
      </c>
      <c r="AK9" s="592" t="s">
        <v>177</v>
      </c>
      <c r="AL9" s="592" t="s">
        <v>177</v>
      </c>
      <c r="AM9" s="592" t="s">
        <v>177</v>
      </c>
      <c r="AN9" s="592" t="s">
        <v>177</v>
      </c>
      <c r="AO9" s="592" t="s">
        <v>177</v>
      </c>
      <c r="AP9" s="592">
        <v>1</v>
      </c>
      <c r="AQ9" s="592">
        <v>1</v>
      </c>
      <c r="AR9" s="592" t="s">
        <v>177</v>
      </c>
      <c r="AS9" s="592" t="s">
        <v>177</v>
      </c>
      <c r="AT9" s="592" t="s">
        <v>177</v>
      </c>
      <c r="AU9" s="592" t="s">
        <v>177</v>
      </c>
      <c r="AV9" s="592" t="s">
        <v>177</v>
      </c>
      <c r="AW9" s="592" t="s">
        <v>177</v>
      </c>
      <c r="AX9" s="592" t="s">
        <v>177</v>
      </c>
      <c r="AY9" s="592">
        <v>2</v>
      </c>
      <c r="AZ9" s="592">
        <v>1</v>
      </c>
      <c r="BA9" s="592" t="s">
        <v>177</v>
      </c>
      <c r="BB9" s="592" t="s">
        <v>177</v>
      </c>
      <c r="BC9" s="592" t="s">
        <v>177</v>
      </c>
      <c r="BD9" s="592" t="s">
        <v>177</v>
      </c>
      <c r="BE9" s="592" t="s">
        <v>177</v>
      </c>
      <c r="BF9" s="592" t="s">
        <v>177</v>
      </c>
      <c r="BG9" s="592" t="s">
        <v>177</v>
      </c>
      <c r="BH9" s="575" t="s">
        <v>177</v>
      </c>
      <c r="BI9" s="609">
        <v>6</v>
      </c>
      <c r="BJ9" s="814"/>
      <c r="BM9" s="807"/>
      <c r="BN9" s="583">
        <v>23</v>
      </c>
      <c r="BO9" s="597">
        <f t="shared" si="12"/>
        <v>50.928571428571431</v>
      </c>
      <c r="BP9" s="598">
        <f t="shared" si="13"/>
        <v>52.571428571428569</v>
      </c>
      <c r="BQ9" s="598" t="str">
        <f t="shared" si="14"/>
        <v/>
      </c>
      <c r="BR9" s="598" t="str">
        <f t="shared" si="15"/>
        <v/>
      </c>
      <c r="BS9" s="598" t="str">
        <f t="shared" si="16"/>
        <v/>
      </c>
      <c r="BT9" s="598" t="str">
        <f t="shared" si="17"/>
        <v/>
      </c>
      <c r="BU9" s="598" t="str">
        <f t="shared" si="18"/>
        <v/>
      </c>
      <c r="BV9" s="598" t="str">
        <f t="shared" si="19"/>
        <v/>
      </c>
      <c r="BW9" s="598">
        <f t="shared" si="20"/>
        <v>55.857142857142854</v>
      </c>
      <c r="BX9" s="598" t="str">
        <f t="shared" si="21"/>
        <v/>
      </c>
      <c r="BY9" s="598" t="str">
        <f t="shared" si="22"/>
        <v/>
      </c>
      <c r="BZ9" s="598" t="str">
        <f t="shared" si="23"/>
        <v/>
      </c>
      <c r="CA9" s="598" t="str">
        <f t="shared" si="24"/>
        <v/>
      </c>
      <c r="CB9" s="577" t="str">
        <f t="shared" si="25"/>
        <v/>
      </c>
      <c r="CC9" s="517"/>
      <c r="CD9" s="517"/>
      <c r="CE9" s="517"/>
      <c r="CF9" s="517"/>
      <c r="CG9" s="517"/>
      <c r="CH9" s="517"/>
      <c r="CI9" s="517"/>
      <c r="CJ9" s="517"/>
      <c r="CK9" s="517"/>
      <c r="CL9" s="517"/>
      <c r="CM9" s="517"/>
      <c r="CN9" s="517"/>
      <c r="CO9" s="517"/>
    </row>
    <row r="10" spans="1:93" ht="15" x14ac:dyDescent="0.25">
      <c r="A10" s="517"/>
      <c r="B10" s="799"/>
      <c r="C10" s="534">
        <v>168</v>
      </c>
      <c r="D10" s="541">
        <v>1</v>
      </c>
      <c r="E10" s="509" t="s">
        <v>177</v>
      </c>
      <c r="F10" s="509" t="s">
        <v>177</v>
      </c>
      <c r="G10" s="509" t="s">
        <v>177</v>
      </c>
      <c r="H10" s="509" t="s">
        <v>177</v>
      </c>
      <c r="I10" s="509" t="s">
        <v>177</v>
      </c>
      <c r="J10" s="509" t="s">
        <v>177</v>
      </c>
      <c r="K10" s="509" t="s">
        <v>177</v>
      </c>
      <c r="L10" s="509" t="s">
        <v>177</v>
      </c>
      <c r="M10" s="570" t="s">
        <v>177</v>
      </c>
      <c r="N10" s="535">
        <v>1</v>
      </c>
      <c r="O10" s="780"/>
      <c r="Q10" s="783"/>
      <c r="R10" s="534">
        <v>168</v>
      </c>
      <c r="S10" s="551">
        <f t="shared" si="0"/>
        <v>1.4285714285714285E-2</v>
      </c>
      <c r="T10" s="552" t="str">
        <f t="shared" si="1"/>
        <v/>
      </c>
      <c r="U10" s="552" t="str">
        <f t="shared" si="2"/>
        <v/>
      </c>
      <c r="V10" s="552" t="str">
        <f t="shared" si="3"/>
        <v/>
      </c>
      <c r="W10" s="552" t="str">
        <f t="shared" si="4"/>
        <v/>
      </c>
      <c r="X10" s="552" t="str">
        <f t="shared" si="5"/>
        <v/>
      </c>
      <c r="Y10" s="552" t="str">
        <f t="shared" si="6"/>
        <v/>
      </c>
      <c r="Z10" s="552" t="str">
        <f t="shared" si="7"/>
        <v/>
      </c>
      <c r="AA10" s="552" t="str">
        <f t="shared" si="8"/>
        <v/>
      </c>
      <c r="AB10" s="564" t="str">
        <f t="shared" si="9"/>
        <v/>
      </c>
      <c r="AC10" s="547">
        <f t="shared" si="10"/>
        <v>1.4285714285714285E-2</v>
      </c>
      <c r="AD10" s="780"/>
      <c r="AF10" s="807"/>
      <c r="AG10" s="583">
        <v>25</v>
      </c>
      <c r="AH10" s="589" t="s">
        <v>177</v>
      </c>
      <c r="AI10" s="590" t="s">
        <v>177</v>
      </c>
      <c r="AJ10" s="590" t="s">
        <v>177</v>
      </c>
      <c r="AK10" s="590" t="s">
        <v>177</v>
      </c>
      <c r="AL10" s="590" t="s">
        <v>177</v>
      </c>
      <c r="AM10" s="590" t="s">
        <v>177</v>
      </c>
      <c r="AN10" s="590" t="s">
        <v>177</v>
      </c>
      <c r="AO10" s="590" t="s">
        <v>177</v>
      </c>
      <c r="AP10" s="590">
        <v>1</v>
      </c>
      <c r="AQ10" s="590" t="s">
        <v>177</v>
      </c>
      <c r="AR10" s="590">
        <v>1</v>
      </c>
      <c r="AS10" s="590" t="s">
        <v>177</v>
      </c>
      <c r="AT10" s="590" t="s">
        <v>177</v>
      </c>
      <c r="AU10" s="590" t="s">
        <v>177</v>
      </c>
      <c r="AV10" s="590">
        <v>2</v>
      </c>
      <c r="AW10" s="590">
        <v>1</v>
      </c>
      <c r="AX10" s="590">
        <v>1</v>
      </c>
      <c r="AY10" s="590" t="s">
        <v>177</v>
      </c>
      <c r="AZ10" s="590">
        <v>1</v>
      </c>
      <c r="BA10" s="590" t="s">
        <v>177</v>
      </c>
      <c r="BB10" s="590" t="s">
        <v>177</v>
      </c>
      <c r="BC10" s="590">
        <v>1</v>
      </c>
      <c r="BD10" s="590" t="s">
        <v>177</v>
      </c>
      <c r="BE10" s="590" t="s">
        <v>177</v>
      </c>
      <c r="BF10" s="590" t="s">
        <v>177</v>
      </c>
      <c r="BG10" s="590" t="s">
        <v>177</v>
      </c>
      <c r="BH10" s="574" t="s">
        <v>177</v>
      </c>
      <c r="BI10" s="610">
        <v>8</v>
      </c>
      <c r="BJ10" s="814"/>
      <c r="BM10" s="807"/>
      <c r="BN10" s="582">
        <v>24</v>
      </c>
      <c r="BO10" s="599" t="str">
        <f t="shared" si="12"/>
        <v/>
      </c>
      <c r="BP10" s="600">
        <f t="shared" si="13"/>
        <v>54.857142857142854</v>
      </c>
      <c r="BQ10" s="600" t="str">
        <f t="shared" si="14"/>
        <v/>
      </c>
      <c r="BR10" s="600" t="str">
        <f t="shared" si="15"/>
        <v/>
      </c>
      <c r="BS10" s="600" t="str">
        <f t="shared" si="16"/>
        <v/>
      </c>
      <c r="BT10" s="600" t="str">
        <f t="shared" si="17"/>
        <v/>
      </c>
      <c r="BU10" s="600" t="str">
        <f t="shared" si="18"/>
        <v/>
      </c>
      <c r="BV10" s="600" t="str">
        <f t="shared" si="19"/>
        <v/>
      </c>
      <c r="BW10" s="600">
        <f t="shared" si="20"/>
        <v>58.285714285714278</v>
      </c>
      <c r="BX10" s="600">
        <f t="shared" si="21"/>
        <v>58.628571428571419</v>
      </c>
      <c r="BY10" s="600" t="str">
        <f t="shared" si="22"/>
        <v/>
      </c>
      <c r="BZ10" s="600" t="str">
        <f t="shared" si="23"/>
        <v/>
      </c>
      <c r="CA10" s="600" t="str">
        <f t="shared" si="24"/>
        <v/>
      </c>
      <c r="CB10" s="578" t="str">
        <f t="shared" si="25"/>
        <v/>
      </c>
      <c r="CC10" s="517"/>
      <c r="CD10" s="517"/>
      <c r="CE10" s="517"/>
      <c r="CF10" s="517"/>
      <c r="CG10" s="517"/>
      <c r="CH10" s="517"/>
      <c r="CI10" s="517"/>
      <c r="CJ10" s="517"/>
      <c r="CK10" s="517"/>
      <c r="CL10" s="517"/>
      <c r="CM10" s="517"/>
      <c r="CN10" s="517"/>
      <c r="CO10" s="517"/>
    </row>
    <row r="11" spans="1:93" ht="15" x14ac:dyDescent="0.25">
      <c r="A11" s="517"/>
      <c r="B11" s="799"/>
      <c r="C11" s="555">
        <v>169</v>
      </c>
      <c r="D11" s="556" t="s">
        <v>177</v>
      </c>
      <c r="E11" s="557" t="s">
        <v>177</v>
      </c>
      <c r="F11" s="557" t="s">
        <v>177</v>
      </c>
      <c r="G11" s="557" t="s">
        <v>177</v>
      </c>
      <c r="H11" s="557" t="s">
        <v>177</v>
      </c>
      <c r="I11" s="557" t="s">
        <v>177</v>
      </c>
      <c r="J11" s="557" t="s">
        <v>177</v>
      </c>
      <c r="K11" s="557" t="s">
        <v>177</v>
      </c>
      <c r="L11" s="557" t="s">
        <v>177</v>
      </c>
      <c r="M11" s="569">
        <v>1</v>
      </c>
      <c r="N11" s="558">
        <v>1</v>
      </c>
      <c r="O11" s="780"/>
      <c r="Q11" s="783"/>
      <c r="R11" s="555">
        <v>169</v>
      </c>
      <c r="S11" s="559" t="str">
        <f t="shared" si="0"/>
        <v/>
      </c>
      <c r="T11" s="560" t="str">
        <f t="shared" si="1"/>
        <v/>
      </c>
      <c r="U11" s="560" t="str">
        <f t="shared" si="2"/>
        <v/>
      </c>
      <c r="V11" s="560" t="str">
        <f t="shared" si="3"/>
        <v/>
      </c>
      <c r="W11" s="560" t="str">
        <f t="shared" si="4"/>
        <v/>
      </c>
      <c r="X11" s="560" t="str">
        <f t="shared" si="5"/>
        <v/>
      </c>
      <c r="Y11" s="560" t="str">
        <f t="shared" si="6"/>
        <v/>
      </c>
      <c r="Z11" s="560" t="str">
        <f t="shared" si="7"/>
        <v/>
      </c>
      <c r="AA11" s="560" t="str">
        <f t="shared" si="8"/>
        <v/>
      </c>
      <c r="AB11" s="563">
        <f t="shared" si="9"/>
        <v>1.4285714285714285E-2</v>
      </c>
      <c r="AC11" s="561">
        <f t="shared" si="10"/>
        <v>1.4285714285714285E-2</v>
      </c>
      <c r="AD11" s="780"/>
      <c r="AF11" s="807"/>
      <c r="AG11" s="582">
        <v>26</v>
      </c>
      <c r="AH11" s="591" t="s">
        <v>177</v>
      </c>
      <c r="AI11" s="592" t="s">
        <v>177</v>
      </c>
      <c r="AJ11" s="592" t="s">
        <v>177</v>
      </c>
      <c r="AK11" s="592" t="s">
        <v>177</v>
      </c>
      <c r="AL11" s="592">
        <v>1</v>
      </c>
      <c r="AM11" s="592" t="s">
        <v>177</v>
      </c>
      <c r="AN11" s="592" t="s">
        <v>177</v>
      </c>
      <c r="AO11" s="592" t="s">
        <v>177</v>
      </c>
      <c r="AP11" s="592" t="s">
        <v>177</v>
      </c>
      <c r="AQ11" s="592" t="s">
        <v>177</v>
      </c>
      <c r="AR11" s="592" t="s">
        <v>177</v>
      </c>
      <c r="AS11" s="592" t="s">
        <v>177</v>
      </c>
      <c r="AT11" s="592" t="s">
        <v>177</v>
      </c>
      <c r="AU11" s="592">
        <v>1</v>
      </c>
      <c r="AV11" s="592" t="s">
        <v>177</v>
      </c>
      <c r="AW11" s="592" t="s">
        <v>177</v>
      </c>
      <c r="AX11" s="592" t="s">
        <v>177</v>
      </c>
      <c r="AY11" s="592">
        <v>1</v>
      </c>
      <c r="AZ11" s="592" t="s">
        <v>177</v>
      </c>
      <c r="BA11" s="592">
        <v>1</v>
      </c>
      <c r="BB11" s="592">
        <v>2</v>
      </c>
      <c r="BC11" s="592" t="s">
        <v>177</v>
      </c>
      <c r="BD11" s="592" t="s">
        <v>177</v>
      </c>
      <c r="BE11" s="592" t="s">
        <v>177</v>
      </c>
      <c r="BF11" s="592" t="s">
        <v>177</v>
      </c>
      <c r="BG11" s="592" t="s">
        <v>177</v>
      </c>
      <c r="BH11" s="575" t="s">
        <v>177</v>
      </c>
      <c r="BI11" s="609">
        <v>6</v>
      </c>
      <c r="BJ11" s="814"/>
      <c r="BM11" s="807"/>
      <c r="BN11" s="583">
        <v>25</v>
      </c>
      <c r="BO11" s="597" t="str">
        <f t="shared" si="12"/>
        <v/>
      </c>
      <c r="BP11" s="598" t="str">
        <f t="shared" si="13"/>
        <v/>
      </c>
      <c r="BQ11" s="598" t="str">
        <f t="shared" si="14"/>
        <v/>
      </c>
      <c r="BR11" s="598" t="str">
        <f t="shared" si="15"/>
        <v/>
      </c>
      <c r="BS11" s="598" t="str">
        <f t="shared" si="16"/>
        <v/>
      </c>
      <c r="BT11" s="598" t="str">
        <f t="shared" si="17"/>
        <v/>
      </c>
      <c r="BU11" s="598" t="str">
        <f t="shared" si="18"/>
        <v/>
      </c>
      <c r="BV11" s="598" t="str">
        <f t="shared" si="19"/>
        <v/>
      </c>
      <c r="BW11" s="598">
        <f t="shared" si="20"/>
        <v>60.714285714285708</v>
      </c>
      <c r="BX11" s="598" t="str">
        <f t="shared" si="21"/>
        <v/>
      </c>
      <c r="BY11" s="598">
        <f t="shared" si="22"/>
        <v>61.428571428571423</v>
      </c>
      <c r="BZ11" s="598" t="str">
        <f t="shared" si="23"/>
        <v/>
      </c>
      <c r="CA11" s="598" t="str">
        <f t="shared" si="24"/>
        <v/>
      </c>
      <c r="CB11" s="577" t="str">
        <f t="shared" si="25"/>
        <v/>
      </c>
      <c r="CC11" s="517"/>
      <c r="CD11" s="517"/>
      <c r="CE11" s="517"/>
      <c r="CF11" s="517"/>
      <c r="CG11" s="517"/>
      <c r="CH11" s="517"/>
      <c r="CI11" s="517"/>
      <c r="CJ11" s="517"/>
      <c r="CK11" s="517"/>
      <c r="CL11" s="517"/>
      <c r="CM11" s="517"/>
      <c r="CN11" s="517"/>
      <c r="CO11" s="517"/>
    </row>
    <row r="12" spans="1:93" ht="15" x14ac:dyDescent="0.25">
      <c r="A12" s="517"/>
      <c r="B12" s="799"/>
      <c r="C12" s="534">
        <v>170</v>
      </c>
      <c r="D12" s="541" t="s">
        <v>177</v>
      </c>
      <c r="E12" s="509">
        <v>1</v>
      </c>
      <c r="F12" s="509" t="s">
        <v>177</v>
      </c>
      <c r="G12" s="509">
        <v>3</v>
      </c>
      <c r="H12" s="509">
        <v>1</v>
      </c>
      <c r="I12" s="509">
        <v>1</v>
      </c>
      <c r="J12" s="509">
        <v>1</v>
      </c>
      <c r="K12" s="509" t="s">
        <v>177</v>
      </c>
      <c r="L12" s="509" t="s">
        <v>177</v>
      </c>
      <c r="M12" s="570" t="s">
        <v>177</v>
      </c>
      <c r="N12" s="535">
        <v>7</v>
      </c>
      <c r="O12" s="780"/>
      <c r="Q12" s="783"/>
      <c r="R12" s="534">
        <v>170</v>
      </c>
      <c r="S12" s="551" t="str">
        <f t="shared" si="0"/>
        <v/>
      </c>
      <c r="T12" s="552">
        <f t="shared" si="1"/>
        <v>1.4285714285714285E-2</v>
      </c>
      <c r="U12" s="552" t="str">
        <f t="shared" si="2"/>
        <v/>
      </c>
      <c r="V12" s="552">
        <f t="shared" si="3"/>
        <v>4.2857142857142858E-2</v>
      </c>
      <c r="W12" s="552">
        <f t="shared" si="4"/>
        <v>1.4285714285714285E-2</v>
      </c>
      <c r="X12" s="552">
        <f t="shared" si="5"/>
        <v>1.4285714285714285E-2</v>
      </c>
      <c r="Y12" s="552">
        <f t="shared" si="6"/>
        <v>1.4285714285714285E-2</v>
      </c>
      <c r="Z12" s="552" t="str">
        <f t="shared" si="7"/>
        <v/>
      </c>
      <c r="AA12" s="552" t="str">
        <f t="shared" si="8"/>
        <v/>
      </c>
      <c r="AB12" s="564" t="str">
        <f t="shared" si="9"/>
        <v/>
      </c>
      <c r="AC12" s="547">
        <f t="shared" si="10"/>
        <v>0.1</v>
      </c>
      <c r="AD12" s="780"/>
      <c r="AF12" s="807"/>
      <c r="AG12" s="583">
        <v>27</v>
      </c>
      <c r="AH12" s="589" t="s">
        <v>177</v>
      </c>
      <c r="AI12" s="590" t="s">
        <v>177</v>
      </c>
      <c r="AJ12" s="590" t="s">
        <v>177</v>
      </c>
      <c r="AK12" s="590" t="s">
        <v>177</v>
      </c>
      <c r="AL12" s="590" t="s">
        <v>177</v>
      </c>
      <c r="AM12" s="590" t="s">
        <v>177</v>
      </c>
      <c r="AN12" s="590" t="s">
        <v>177</v>
      </c>
      <c r="AO12" s="590" t="s">
        <v>177</v>
      </c>
      <c r="AP12" s="590" t="s">
        <v>177</v>
      </c>
      <c r="AQ12" s="590" t="s">
        <v>177</v>
      </c>
      <c r="AR12" s="590" t="s">
        <v>177</v>
      </c>
      <c r="AS12" s="590" t="s">
        <v>177</v>
      </c>
      <c r="AT12" s="590" t="s">
        <v>177</v>
      </c>
      <c r="AU12" s="590" t="s">
        <v>177</v>
      </c>
      <c r="AV12" s="590" t="s">
        <v>177</v>
      </c>
      <c r="AW12" s="590" t="s">
        <v>177</v>
      </c>
      <c r="AX12" s="590" t="s">
        <v>177</v>
      </c>
      <c r="AY12" s="590" t="s">
        <v>177</v>
      </c>
      <c r="AZ12" s="590" t="s">
        <v>177</v>
      </c>
      <c r="BA12" s="590" t="s">
        <v>177</v>
      </c>
      <c r="BB12" s="590" t="s">
        <v>177</v>
      </c>
      <c r="BC12" s="590" t="s">
        <v>177</v>
      </c>
      <c r="BD12" s="590" t="s">
        <v>177</v>
      </c>
      <c r="BE12" s="590" t="s">
        <v>177</v>
      </c>
      <c r="BF12" s="590" t="s">
        <v>177</v>
      </c>
      <c r="BG12" s="590">
        <v>1</v>
      </c>
      <c r="BH12" s="574" t="s">
        <v>177</v>
      </c>
      <c r="BI12" s="610">
        <v>1</v>
      </c>
      <c r="BJ12" s="814"/>
      <c r="BM12" s="807"/>
      <c r="BN12" s="582">
        <v>26</v>
      </c>
      <c r="BO12" s="599" t="str">
        <f t="shared" si="12"/>
        <v/>
      </c>
      <c r="BP12" s="600" t="str">
        <f t="shared" si="13"/>
        <v/>
      </c>
      <c r="BQ12" s="600" t="str">
        <f t="shared" si="14"/>
        <v/>
      </c>
      <c r="BR12" s="600" t="str">
        <f t="shared" si="15"/>
        <v/>
      </c>
      <c r="BS12" s="600">
        <f t="shared" si="16"/>
        <v>60.914285714285718</v>
      </c>
      <c r="BT12" s="600" t="str">
        <f t="shared" si="17"/>
        <v/>
      </c>
      <c r="BU12" s="600" t="str">
        <f t="shared" si="18"/>
        <v/>
      </c>
      <c r="BV12" s="600" t="str">
        <f t="shared" si="19"/>
        <v/>
      </c>
      <c r="BW12" s="600" t="str">
        <f t="shared" si="20"/>
        <v/>
      </c>
      <c r="BX12" s="600" t="str">
        <f t="shared" si="21"/>
        <v/>
      </c>
      <c r="BY12" s="600" t="str">
        <f t="shared" si="22"/>
        <v/>
      </c>
      <c r="BZ12" s="600" t="str">
        <f t="shared" si="23"/>
        <v/>
      </c>
      <c r="CA12" s="600" t="str">
        <f t="shared" si="24"/>
        <v/>
      </c>
      <c r="CB12" s="578">
        <f t="shared" si="25"/>
        <v>65</v>
      </c>
      <c r="CC12" s="517"/>
      <c r="CD12" s="517"/>
      <c r="CE12" s="517"/>
      <c r="CF12" s="517"/>
      <c r="CG12" s="517"/>
      <c r="CH12" s="517"/>
      <c r="CI12" s="517"/>
      <c r="CJ12" s="517"/>
      <c r="CK12" s="517"/>
      <c r="CL12" s="517"/>
      <c r="CM12" s="517"/>
      <c r="CN12" s="517"/>
      <c r="CO12" s="517"/>
    </row>
    <row r="13" spans="1:93" ht="15.75" thickBot="1" x14ac:dyDescent="0.3">
      <c r="A13" s="517"/>
      <c r="B13" s="799"/>
      <c r="C13" s="555">
        <v>171</v>
      </c>
      <c r="D13" s="556" t="s">
        <v>177</v>
      </c>
      <c r="E13" s="557" t="s">
        <v>177</v>
      </c>
      <c r="F13" s="557" t="s">
        <v>177</v>
      </c>
      <c r="G13" s="557" t="s">
        <v>177</v>
      </c>
      <c r="H13" s="557" t="s">
        <v>177</v>
      </c>
      <c r="I13" s="557">
        <v>1</v>
      </c>
      <c r="J13" s="557" t="s">
        <v>177</v>
      </c>
      <c r="K13" s="557" t="s">
        <v>177</v>
      </c>
      <c r="L13" s="557" t="s">
        <v>177</v>
      </c>
      <c r="M13" s="569" t="s">
        <v>177</v>
      </c>
      <c r="N13" s="558">
        <v>1</v>
      </c>
      <c r="O13" s="780"/>
      <c r="Q13" s="783"/>
      <c r="R13" s="555">
        <v>171</v>
      </c>
      <c r="S13" s="559" t="str">
        <f t="shared" si="0"/>
        <v/>
      </c>
      <c r="T13" s="560" t="str">
        <f t="shared" si="1"/>
        <v/>
      </c>
      <c r="U13" s="560" t="str">
        <f t="shared" si="2"/>
        <v/>
      </c>
      <c r="V13" s="560" t="str">
        <f t="shared" si="3"/>
        <v/>
      </c>
      <c r="W13" s="560" t="str">
        <f t="shared" si="4"/>
        <v/>
      </c>
      <c r="X13" s="560">
        <f t="shared" si="5"/>
        <v>1.4285714285714285E-2</v>
      </c>
      <c r="Y13" s="560" t="str">
        <f t="shared" si="6"/>
        <v/>
      </c>
      <c r="Z13" s="560" t="str">
        <f t="shared" si="7"/>
        <v/>
      </c>
      <c r="AA13" s="560" t="str">
        <f t="shared" si="8"/>
        <v/>
      </c>
      <c r="AB13" s="563" t="str">
        <f t="shared" si="9"/>
        <v/>
      </c>
      <c r="AC13" s="561">
        <f t="shared" si="10"/>
        <v>1.4285714285714285E-2</v>
      </c>
      <c r="AD13" s="780"/>
      <c r="AF13" s="803"/>
      <c r="AG13" s="584">
        <v>28</v>
      </c>
      <c r="AH13" s="593" t="s">
        <v>177</v>
      </c>
      <c r="AI13" s="594" t="s">
        <v>177</v>
      </c>
      <c r="AJ13" s="594" t="s">
        <v>177</v>
      </c>
      <c r="AK13" s="594" t="s">
        <v>177</v>
      </c>
      <c r="AL13" s="594" t="s">
        <v>177</v>
      </c>
      <c r="AM13" s="594" t="s">
        <v>177</v>
      </c>
      <c r="AN13" s="594" t="s">
        <v>177</v>
      </c>
      <c r="AO13" s="594">
        <v>1</v>
      </c>
      <c r="AP13" s="594" t="s">
        <v>177</v>
      </c>
      <c r="AQ13" s="594" t="s">
        <v>177</v>
      </c>
      <c r="AR13" s="594" t="s">
        <v>177</v>
      </c>
      <c r="AS13" s="594" t="s">
        <v>177</v>
      </c>
      <c r="AT13" s="594" t="s">
        <v>177</v>
      </c>
      <c r="AU13" s="594" t="s">
        <v>177</v>
      </c>
      <c r="AV13" s="594" t="s">
        <v>177</v>
      </c>
      <c r="AW13" s="594" t="s">
        <v>177</v>
      </c>
      <c r="AX13" s="594" t="s">
        <v>177</v>
      </c>
      <c r="AY13" s="594" t="s">
        <v>177</v>
      </c>
      <c r="AZ13" s="594" t="s">
        <v>177</v>
      </c>
      <c r="BA13" s="594" t="s">
        <v>177</v>
      </c>
      <c r="BB13" s="594" t="s">
        <v>177</v>
      </c>
      <c r="BC13" s="594" t="s">
        <v>177</v>
      </c>
      <c r="BD13" s="594" t="s">
        <v>177</v>
      </c>
      <c r="BE13" s="594" t="s">
        <v>177</v>
      </c>
      <c r="BF13" s="594">
        <v>1</v>
      </c>
      <c r="BG13" s="594" t="s">
        <v>177</v>
      </c>
      <c r="BH13" s="576" t="s">
        <v>177</v>
      </c>
      <c r="BI13" s="611">
        <v>2</v>
      </c>
      <c r="BJ13" s="815"/>
      <c r="BM13" s="807"/>
      <c r="BN13" s="583">
        <v>27</v>
      </c>
      <c r="BO13" s="597" t="str">
        <f t="shared" si="12"/>
        <v/>
      </c>
      <c r="BP13" s="598" t="str">
        <f t="shared" si="13"/>
        <v/>
      </c>
      <c r="BQ13" s="598" t="str">
        <f t="shared" si="14"/>
        <v/>
      </c>
      <c r="BR13" s="598" t="str">
        <f t="shared" si="15"/>
        <v/>
      </c>
      <c r="BS13" s="598" t="str">
        <f t="shared" si="16"/>
        <v/>
      </c>
      <c r="BT13" s="598" t="str">
        <f t="shared" si="17"/>
        <v/>
      </c>
      <c r="BU13" s="598" t="str">
        <f t="shared" si="18"/>
        <v/>
      </c>
      <c r="BV13" s="598" t="str">
        <f t="shared" si="19"/>
        <v/>
      </c>
      <c r="BW13" s="598" t="str">
        <f t="shared" si="20"/>
        <v/>
      </c>
      <c r="BX13" s="598" t="str">
        <f t="shared" si="21"/>
        <v/>
      </c>
      <c r="BY13" s="598" t="str">
        <f t="shared" si="22"/>
        <v/>
      </c>
      <c r="BZ13" s="598" t="str">
        <f t="shared" si="23"/>
        <v/>
      </c>
      <c r="CA13" s="598" t="str">
        <f t="shared" si="24"/>
        <v/>
      </c>
      <c r="CB13" s="577" t="str">
        <f t="shared" si="25"/>
        <v/>
      </c>
      <c r="CC13" s="517"/>
      <c r="CD13" s="517"/>
      <c r="CE13" s="517"/>
      <c r="CF13" s="517"/>
      <c r="CG13" s="517"/>
      <c r="CH13" s="517"/>
      <c r="CI13" s="517"/>
      <c r="CJ13" s="517"/>
      <c r="CK13" s="517"/>
      <c r="CL13" s="517"/>
      <c r="CM13" s="517"/>
      <c r="CN13" s="517"/>
      <c r="CO13" s="517"/>
    </row>
    <row r="14" spans="1:93" ht="15.75" thickBot="1" x14ac:dyDescent="0.3">
      <c r="A14" s="517"/>
      <c r="B14" s="799"/>
      <c r="C14" s="534">
        <v>172</v>
      </c>
      <c r="D14" s="541" t="s">
        <v>177</v>
      </c>
      <c r="E14" s="509" t="s">
        <v>177</v>
      </c>
      <c r="F14" s="509" t="s">
        <v>177</v>
      </c>
      <c r="G14" s="509" t="s">
        <v>177</v>
      </c>
      <c r="H14" s="509" t="s">
        <v>177</v>
      </c>
      <c r="I14" s="509" t="s">
        <v>177</v>
      </c>
      <c r="J14" s="509">
        <v>1</v>
      </c>
      <c r="K14" s="509" t="s">
        <v>177</v>
      </c>
      <c r="L14" s="509" t="s">
        <v>177</v>
      </c>
      <c r="M14" s="570" t="s">
        <v>177</v>
      </c>
      <c r="N14" s="535">
        <v>1</v>
      </c>
      <c r="O14" s="780"/>
      <c r="Q14" s="783"/>
      <c r="R14" s="534">
        <v>172</v>
      </c>
      <c r="S14" s="551" t="str">
        <f t="shared" si="0"/>
        <v/>
      </c>
      <c r="T14" s="552" t="str">
        <f t="shared" si="1"/>
        <v/>
      </c>
      <c r="U14" s="552" t="str">
        <f t="shared" si="2"/>
        <v/>
      </c>
      <c r="V14" s="552" t="str">
        <f t="shared" si="3"/>
        <v/>
      </c>
      <c r="W14" s="552" t="str">
        <f t="shared" si="4"/>
        <v/>
      </c>
      <c r="X14" s="552" t="str">
        <f t="shared" si="5"/>
        <v/>
      </c>
      <c r="Y14" s="552">
        <f t="shared" si="6"/>
        <v>1.4285714285714285E-2</v>
      </c>
      <c r="Z14" s="552" t="str">
        <f t="shared" si="7"/>
        <v/>
      </c>
      <c r="AA14" s="552" t="str">
        <f t="shared" si="8"/>
        <v/>
      </c>
      <c r="AB14" s="564" t="str">
        <f t="shared" si="9"/>
        <v/>
      </c>
      <c r="AC14" s="547">
        <f t="shared" si="10"/>
        <v>1.4285714285714285E-2</v>
      </c>
      <c r="AD14" s="780"/>
      <c r="AF14" s="505"/>
      <c r="AG14" s="505"/>
      <c r="AH14" s="595">
        <v>1</v>
      </c>
      <c r="AI14" s="596">
        <v>5</v>
      </c>
      <c r="AJ14" s="596">
        <v>1</v>
      </c>
      <c r="AK14" s="596">
        <v>3</v>
      </c>
      <c r="AL14" s="596">
        <v>1</v>
      </c>
      <c r="AM14" s="596">
        <v>3</v>
      </c>
      <c r="AN14" s="596">
        <v>1</v>
      </c>
      <c r="AO14" s="596">
        <v>1</v>
      </c>
      <c r="AP14" s="596">
        <v>7</v>
      </c>
      <c r="AQ14" s="596">
        <v>1</v>
      </c>
      <c r="AR14" s="596">
        <v>1</v>
      </c>
      <c r="AS14" s="596">
        <v>1</v>
      </c>
      <c r="AT14" s="596">
        <v>3</v>
      </c>
      <c r="AU14" s="596">
        <v>1</v>
      </c>
      <c r="AV14" s="596">
        <v>6</v>
      </c>
      <c r="AW14" s="596">
        <v>3</v>
      </c>
      <c r="AX14" s="596">
        <v>4</v>
      </c>
      <c r="AY14" s="596">
        <v>5</v>
      </c>
      <c r="AZ14" s="596">
        <v>4</v>
      </c>
      <c r="BA14" s="596">
        <v>3</v>
      </c>
      <c r="BB14" s="596">
        <v>7</v>
      </c>
      <c r="BC14" s="596">
        <v>2</v>
      </c>
      <c r="BD14" s="596">
        <v>1</v>
      </c>
      <c r="BE14" s="596">
        <v>1</v>
      </c>
      <c r="BF14" s="596">
        <v>1</v>
      </c>
      <c r="BG14" s="596">
        <v>2</v>
      </c>
      <c r="BH14" s="585">
        <v>1</v>
      </c>
      <c r="BI14" s="607">
        <f>SUM(AH4:BH13)</f>
        <v>70</v>
      </c>
      <c r="BJ14" s="504"/>
      <c r="BM14" s="803"/>
      <c r="BN14" s="584">
        <v>28</v>
      </c>
      <c r="BO14" s="601" t="str">
        <f t="shared" si="12"/>
        <v/>
      </c>
      <c r="BP14" s="602" t="str">
        <f t="shared" si="13"/>
        <v/>
      </c>
      <c r="BQ14" s="602" t="str">
        <f t="shared" si="14"/>
        <v/>
      </c>
      <c r="BR14" s="602" t="str">
        <f t="shared" si="15"/>
        <v/>
      </c>
      <c r="BS14" s="602" t="str">
        <f t="shared" si="16"/>
        <v/>
      </c>
      <c r="BT14" s="602" t="str">
        <f t="shared" si="17"/>
        <v/>
      </c>
      <c r="BU14" s="602" t="str">
        <f t="shared" si="18"/>
        <v/>
      </c>
      <c r="BV14" s="602">
        <f t="shared" si="19"/>
        <v>67.599999999999994</v>
      </c>
      <c r="BW14" s="602" t="str">
        <f t="shared" si="20"/>
        <v/>
      </c>
      <c r="BX14" s="602" t="str">
        <f t="shared" si="21"/>
        <v/>
      </c>
      <c r="BY14" s="602" t="str">
        <f t="shared" si="22"/>
        <v/>
      </c>
      <c r="BZ14" s="602" t="str">
        <f t="shared" si="23"/>
        <v/>
      </c>
      <c r="CA14" s="602" t="str">
        <f t="shared" si="24"/>
        <v/>
      </c>
      <c r="CB14" s="579" t="str">
        <f t="shared" si="25"/>
        <v/>
      </c>
      <c r="CC14" s="517"/>
      <c r="CD14" s="517"/>
      <c r="CE14" s="517"/>
      <c r="CF14" s="517"/>
      <c r="CG14" s="517"/>
      <c r="CH14" s="517"/>
      <c r="CI14" s="517"/>
      <c r="CJ14" s="517"/>
      <c r="CK14" s="517"/>
      <c r="CL14" s="517"/>
      <c r="CM14" s="517"/>
      <c r="CN14" s="517"/>
      <c r="CO14" s="517"/>
    </row>
    <row r="15" spans="1:93" ht="17.25" hidden="1" thickBot="1" x14ac:dyDescent="0.3">
      <c r="A15" s="517"/>
      <c r="B15" s="799"/>
      <c r="C15" s="555">
        <v>173</v>
      </c>
      <c r="D15" s="556" t="s">
        <v>177</v>
      </c>
      <c r="E15" s="557" t="s">
        <v>177</v>
      </c>
      <c r="F15" s="557">
        <v>1</v>
      </c>
      <c r="G15" s="557" t="s">
        <v>177</v>
      </c>
      <c r="H15" s="557" t="s">
        <v>177</v>
      </c>
      <c r="I15" s="557" t="s">
        <v>177</v>
      </c>
      <c r="J15" s="557" t="s">
        <v>177</v>
      </c>
      <c r="K15" s="557" t="s">
        <v>177</v>
      </c>
      <c r="L15" s="557" t="s">
        <v>177</v>
      </c>
      <c r="M15" s="569" t="s">
        <v>177</v>
      </c>
      <c r="N15" s="558">
        <v>1</v>
      </c>
      <c r="O15" s="780"/>
      <c r="Q15" s="783"/>
      <c r="R15" s="555">
        <v>173</v>
      </c>
      <c r="S15" s="559" t="str">
        <f t="shared" si="0"/>
        <v/>
      </c>
      <c r="T15" s="560" t="str">
        <f t="shared" si="1"/>
        <v/>
      </c>
      <c r="U15" s="560">
        <f t="shared" si="2"/>
        <v>1.4285714285714285E-2</v>
      </c>
      <c r="V15" s="560" t="str">
        <f t="shared" si="3"/>
        <v/>
      </c>
      <c r="W15" s="560" t="str">
        <f t="shared" si="4"/>
        <v/>
      </c>
      <c r="X15" s="560" t="str">
        <f t="shared" si="5"/>
        <v/>
      </c>
      <c r="Y15" s="560" t="str">
        <f t="shared" si="6"/>
        <v/>
      </c>
      <c r="Z15" s="560" t="str">
        <f t="shared" si="7"/>
        <v/>
      </c>
      <c r="AA15" s="560" t="str">
        <f t="shared" si="8"/>
        <v/>
      </c>
      <c r="AB15" s="563" t="str">
        <f t="shared" si="9"/>
        <v/>
      </c>
      <c r="AC15" s="561">
        <f t="shared" si="10"/>
        <v>1.4285714285714285E-2</v>
      </c>
      <c r="AD15" s="780"/>
      <c r="AF15" s="504"/>
      <c r="AG15" s="504"/>
      <c r="AH15" s="808" t="s">
        <v>228</v>
      </c>
      <c r="AI15" s="809"/>
      <c r="AJ15" s="809"/>
      <c r="AK15" s="809"/>
      <c r="AL15" s="809"/>
      <c r="AM15" s="809"/>
      <c r="AN15" s="809"/>
      <c r="AO15" s="809"/>
      <c r="AP15" s="809"/>
      <c r="AQ15" s="809"/>
      <c r="AR15" s="809"/>
      <c r="AS15" s="809"/>
      <c r="AT15" s="809"/>
      <c r="AU15" s="809"/>
      <c r="AV15" s="809"/>
      <c r="AW15" s="809"/>
      <c r="AX15" s="809"/>
      <c r="AY15" s="809"/>
      <c r="AZ15" s="809"/>
      <c r="BA15" s="809"/>
      <c r="BB15" s="809"/>
      <c r="BC15" s="809"/>
      <c r="BD15" s="809"/>
      <c r="BE15" s="809"/>
      <c r="BF15" s="809"/>
      <c r="BG15" s="809"/>
      <c r="BH15" s="810"/>
      <c r="BI15" s="607"/>
      <c r="BJ15" s="504"/>
    </row>
    <row r="16" spans="1:93" ht="15.75" hidden="1" thickBot="1" x14ac:dyDescent="0.3">
      <c r="A16" s="517"/>
      <c r="B16" s="799"/>
      <c r="C16" s="534">
        <v>174</v>
      </c>
      <c r="D16" s="541" t="s">
        <v>177</v>
      </c>
      <c r="E16" s="509">
        <v>1</v>
      </c>
      <c r="F16" s="509">
        <v>1</v>
      </c>
      <c r="G16" s="509">
        <v>1</v>
      </c>
      <c r="H16" s="509" t="s">
        <v>177</v>
      </c>
      <c r="I16" s="509" t="s">
        <v>177</v>
      </c>
      <c r="J16" s="509" t="s">
        <v>177</v>
      </c>
      <c r="K16" s="509" t="s">
        <v>177</v>
      </c>
      <c r="L16" s="509" t="s">
        <v>177</v>
      </c>
      <c r="M16" s="570" t="s">
        <v>177</v>
      </c>
      <c r="N16" s="535">
        <v>3</v>
      </c>
      <c r="O16" s="780"/>
      <c r="Q16" s="783"/>
      <c r="R16" s="534">
        <v>174</v>
      </c>
      <c r="S16" s="551" t="str">
        <f t="shared" si="0"/>
        <v/>
      </c>
      <c r="T16" s="552">
        <f t="shared" si="1"/>
        <v>1.4285714285714285E-2</v>
      </c>
      <c r="U16" s="552">
        <f t="shared" si="2"/>
        <v>1.4285714285714285E-2</v>
      </c>
      <c r="V16" s="552">
        <f t="shared" si="3"/>
        <v>1.4285714285714285E-2</v>
      </c>
      <c r="W16" s="552" t="str">
        <f t="shared" si="4"/>
        <v/>
      </c>
      <c r="X16" s="552" t="str">
        <f t="shared" si="5"/>
        <v/>
      </c>
      <c r="Y16" s="552" t="str">
        <f t="shared" si="6"/>
        <v/>
      </c>
      <c r="Z16" s="552" t="str">
        <f t="shared" si="7"/>
        <v/>
      </c>
      <c r="AA16" s="552" t="str">
        <f t="shared" si="8"/>
        <v/>
      </c>
      <c r="AB16" s="564" t="str">
        <f t="shared" si="9"/>
        <v/>
      </c>
      <c r="AC16" s="547">
        <f t="shared" si="10"/>
        <v>4.2857142857142858E-2</v>
      </c>
      <c r="AD16" s="780"/>
      <c r="AF16" s="504"/>
      <c r="AG16" s="504"/>
      <c r="AH16" s="504"/>
      <c r="AI16" s="504"/>
      <c r="AJ16" s="504"/>
      <c r="AK16" s="504"/>
      <c r="AL16" s="504"/>
      <c r="AM16" s="504"/>
      <c r="AN16" s="504"/>
      <c r="AO16" s="504"/>
      <c r="AP16" s="504"/>
      <c r="AQ16" s="504"/>
      <c r="AR16" s="504"/>
      <c r="AS16" s="504"/>
      <c r="AT16" s="504"/>
      <c r="AU16" s="504"/>
      <c r="AV16" s="504"/>
      <c r="AW16" s="504"/>
      <c r="AX16" s="504"/>
      <c r="AY16" s="504"/>
      <c r="AZ16" s="504"/>
      <c r="BA16" s="504"/>
      <c r="BB16" s="504"/>
      <c r="BC16" s="504"/>
      <c r="BD16" s="504"/>
      <c r="BE16" s="504"/>
      <c r="BF16" s="504"/>
      <c r="BG16" s="504"/>
      <c r="BH16" s="504"/>
      <c r="BI16" s="607"/>
      <c r="BJ16" s="504"/>
    </row>
    <row r="17" spans="1:93" ht="15" hidden="1" x14ac:dyDescent="0.25">
      <c r="A17" s="517"/>
      <c r="B17" s="799"/>
      <c r="C17" s="555">
        <v>175</v>
      </c>
      <c r="D17" s="556" t="s">
        <v>177</v>
      </c>
      <c r="E17" s="557" t="s">
        <v>177</v>
      </c>
      <c r="F17" s="557" t="s">
        <v>177</v>
      </c>
      <c r="G17" s="557" t="s">
        <v>177</v>
      </c>
      <c r="H17" s="557" t="s">
        <v>177</v>
      </c>
      <c r="I17" s="557" t="s">
        <v>177</v>
      </c>
      <c r="J17" s="557" t="s">
        <v>177</v>
      </c>
      <c r="K17" s="557">
        <v>1</v>
      </c>
      <c r="L17" s="557" t="s">
        <v>177</v>
      </c>
      <c r="M17" s="569" t="s">
        <v>177</v>
      </c>
      <c r="N17" s="558">
        <v>1</v>
      </c>
      <c r="O17" s="780"/>
      <c r="Q17" s="783"/>
      <c r="R17" s="555">
        <v>175</v>
      </c>
      <c r="S17" s="559" t="str">
        <f t="shared" si="0"/>
        <v/>
      </c>
      <c r="T17" s="560" t="str">
        <f t="shared" si="1"/>
        <v/>
      </c>
      <c r="U17" s="560" t="str">
        <f t="shared" si="2"/>
        <v/>
      </c>
      <c r="V17" s="560" t="str">
        <f t="shared" si="3"/>
        <v/>
      </c>
      <c r="W17" s="560" t="str">
        <f t="shared" si="4"/>
        <v/>
      </c>
      <c r="X17" s="560" t="str">
        <f t="shared" si="5"/>
        <v/>
      </c>
      <c r="Y17" s="560" t="str">
        <f t="shared" si="6"/>
        <v/>
      </c>
      <c r="Z17" s="560">
        <f t="shared" si="7"/>
        <v>1.4285714285714285E-2</v>
      </c>
      <c r="AA17" s="560" t="str">
        <f t="shared" si="8"/>
        <v/>
      </c>
      <c r="AB17" s="563" t="str">
        <f t="shared" si="9"/>
        <v/>
      </c>
      <c r="AC17" s="561">
        <f t="shared" si="10"/>
        <v>1.4285714285714285E-2</v>
      </c>
      <c r="AD17" s="780"/>
      <c r="AF17" s="801" t="s">
        <v>229</v>
      </c>
      <c r="AG17" s="802"/>
      <c r="AH17" s="801" t="s">
        <v>38</v>
      </c>
      <c r="AI17" s="805"/>
      <c r="AJ17" s="805"/>
      <c r="AK17" s="805"/>
      <c r="AL17" s="805"/>
      <c r="AM17" s="805"/>
      <c r="AN17" s="805"/>
      <c r="AO17" s="805"/>
      <c r="AP17" s="805"/>
      <c r="AQ17" s="805"/>
      <c r="AR17" s="805"/>
      <c r="AS17" s="805"/>
      <c r="AT17" s="805"/>
      <c r="AU17" s="805"/>
      <c r="AV17" s="805"/>
      <c r="AW17" s="805"/>
      <c r="AX17" s="805"/>
      <c r="AY17" s="805"/>
      <c r="AZ17" s="805"/>
      <c r="BA17" s="805"/>
      <c r="BB17" s="805"/>
      <c r="BC17" s="805"/>
      <c r="BD17" s="805"/>
      <c r="BE17" s="805"/>
      <c r="BF17" s="805"/>
      <c r="BG17" s="805"/>
      <c r="BH17" s="806"/>
      <c r="BI17" s="606"/>
      <c r="BJ17" s="504"/>
    </row>
    <row r="18" spans="1:93" ht="15.75" thickBot="1" x14ac:dyDescent="0.3">
      <c r="A18" s="517"/>
      <c r="B18" s="799"/>
      <c r="C18" s="534">
        <v>176</v>
      </c>
      <c r="D18" s="541" t="s">
        <v>177</v>
      </c>
      <c r="E18" s="509" t="s">
        <v>177</v>
      </c>
      <c r="F18" s="509">
        <v>2</v>
      </c>
      <c r="G18" s="509" t="s">
        <v>177</v>
      </c>
      <c r="H18" s="509">
        <v>2</v>
      </c>
      <c r="I18" s="509" t="s">
        <v>177</v>
      </c>
      <c r="J18" s="509">
        <v>2</v>
      </c>
      <c r="K18" s="509" t="s">
        <v>177</v>
      </c>
      <c r="L18" s="509" t="s">
        <v>177</v>
      </c>
      <c r="M18" s="570" t="s">
        <v>177</v>
      </c>
      <c r="N18" s="535">
        <v>6</v>
      </c>
      <c r="O18" s="780"/>
      <c r="Q18" s="783"/>
      <c r="R18" s="534">
        <v>176</v>
      </c>
      <c r="S18" s="551" t="str">
        <f t="shared" si="0"/>
        <v/>
      </c>
      <c r="T18" s="552" t="str">
        <f t="shared" si="1"/>
        <v/>
      </c>
      <c r="U18" s="552">
        <f t="shared" si="2"/>
        <v>2.8571428571428571E-2</v>
      </c>
      <c r="V18" s="552" t="str">
        <f t="shared" si="3"/>
        <v/>
      </c>
      <c r="W18" s="552">
        <f t="shared" si="4"/>
        <v>2.8571428571428571E-2</v>
      </c>
      <c r="X18" s="552" t="str">
        <f t="shared" si="5"/>
        <v/>
      </c>
      <c r="Y18" s="552">
        <f t="shared" si="6"/>
        <v>2.8571428571428571E-2</v>
      </c>
      <c r="Z18" s="552" t="str">
        <f t="shared" si="7"/>
        <v/>
      </c>
      <c r="AA18" s="552" t="str">
        <f t="shared" si="8"/>
        <v/>
      </c>
      <c r="AB18" s="564" t="str">
        <f t="shared" si="9"/>
        <v/>
      </c>
      <c r="AC18" s="547">
        <f t="shared" si="10"/>
        <v>8.5714285714285715E-2</v>
      </c>
      <c r="AD18" s="780"/>
      <c r="AF18" s="803"/>
      <c r="AG18" s="804"/>
      <c r="AH18" s="587">
        <v>155</v>
      </c>
      <c r="AI18" s="588">
        <v>160</v>
      </c>
      <c r="AJ18" s="588">
        <v>161</v>
      </c>
      <c r="AK18" s="588">
        <v>163</v>
      </c>
      <c r="AL18" s="588">
        <v>164</v>
      </c>
      <c r="AM18" s="588">
        <v>165</v>
      </c>
      <c r="AN18" s="588">
        <v>168</v>
      </c>
      <c r="AO18" s="588">
        <v>169</v>
      </c>
      <c r="AP18" s="588">
        <v>170</v>
      </c>
      <c r="AQ18" s="588">
        <v>171</v>
      </c>
      <c r="AR18" s="588">
        <v>172</v>
      </c>
      <c r="AS18" s="588">
        <v>173</v>
      </c>
      <c r="AT18" s="588">
        <v>174</v>
      </c>
      <c r="AU18" s="588">
        <v>175</v>
      </c>
      <c r="AV18" s="588">
        <v>176</v>
      </c>
      <c r="AW18" s="588">
        <v>178</v>
      </c>
      <c r="AX18" s="588">
        <v>180</v>
      </c>
      <c r="AY18" s="588">
        <v>182</v>
      </c>
      <c r="AZ18" s="588">
        <v>183</v>
      </c>
      <c r="BA18" s="588">
        <v>184</v>
      </c>
      <c r="BB18" s="588">
        <v>185</v>
      </c>
      <c r="BC18" s="588">
        <v>187</v>
      </c>
      <c r="BD18" s="588">
        <v>188</v>
      </c>
      <c r="BE18" s="588">
        <v>189</v>
      </c>
      <c r="BF18" s="588">
        <v>190</v>
      </c>
      <c r="BG18" s="588">
        <v>193</v>
      </c>
      <c r="BH18" s="580">
        <v>195</v>
      </c>
      <c r="BI18" s="607"/>
      <c r="BJ18" s="504"/>
    </row>
    <row r="19" spans="1:93" ht="15" x14ac:dyDescent="0.25">
      <c r="A19" s="517"/>
      <c r="B19" s="799"/>
      <c r="C19" s="555">
        <v>178</v>
      </c>
      <c r="D19" s="556" t="s">
        <v>177</v>
      </c>
      <c r="E19" s="557" t="s">
        <v>177</v>
      </c>
      <c r="F19" s="557">
        <v>1</v>
      </c>
      <c r="G19" s="557" t="s">
        <v>177</v>
      </c>
      <c r="H19" s="557">
        <v>1</v>
      </c>
      <c r="I19" s="557" t="s">
        <v>177</v>
      </c>
      <c r="J19" s="557">
        <v>1</v>
      </c>
      <c r="K19" s="557" t="s">
        <v>177</v>
      </c>
      <c r="L19" s="557" t="s">
        <v>177</v>
      </c>
      <c r="M19" s="569" t="s">
        <v>177</v>
      </c>
      <c r="N19" s="558">
        <v>3</v>
      </c>
      <c r="O19" s="780"/>
      <c r="Q19" s="783"/>
      <c r="R19" s="555">
        <v>178</v>
      </c>
      <c r="S19" s="559" t="str">
        <f t="shared" si="0"/>
        <v/>
      </c>
      <c r="T19" s="560" t="str">
        <f t="shared" si="1"/>
        <v/>
      </c>
      <c r="U19" s="560">
        <f t="shared" si="2"/>
        <v>1.4285714285714285E-2</v>
      </c>
      <c r="V19" s="560" t="str">
        <f t="shared" si="3"/>
        <v/>
      </c>
      <c r="W19" s="560">
        <f t="shared" si="4"/>
        <v>1.4285714285714285E-2</v>
      </c>
      <c r="X19" s="560" t="str">
        <f t="shared" si="5"/>
        <v/>
      </c>
      <c r="Y19" s="560">
        <f t="shared" si="6"/>
        <v>1.4285714285714285E-2</v>
      </c>
      <c r="Z19" s="560" t="str">
        <f t="shared" si="7"/>
        <v/>
      </c>
      <c r="AA19" s="560" t="str">
        <f t="shared" si="8"/>
        <v/>
      </c>
      <c r="AB19" s="563" t="str">
        <f t="shared" si="9"/>
        <v/>
      </c>
      <c r="AC19" s="561">
        <f t="shared" si="10"/>
        <v>4.2857142857142858E-2</v>
      </c>
      <c r="AD19" s="780"/>
      <c r="AF19" s="801" t="s">
        <v>39</v>
      </c>
      <c r="AG19" s="581">
        <v>19</v>
      </c>
      <c r="AH19" s="597" t="str">
        <f t="shared" ref="AH19:BH19" si="26">IF(AH4&lt;&gt;"",AH4/$BI$14,"")</f>
        <v/>
      </c>
      <c r="AI19" s="598">
        <f t="shared" si="26"/>
        <v>1.4285714285714285E-2</v>
      </c>
      <c r="AJ19" s="598" t="str">
        <f t="shared" si="26"/>
        <v/>
      </c>
      <c r="AK19" s="598" t="str">
        <f t="shared" si="26"/>
        <v/>
      </c>
      <c r="AL19" s="598" t="str">
        <f t="shared" si="26"/>
        <v/>
      </c>
      <c r="AM19" s="598" t="str">
        <f t="shared" si="26"/>
        <v/>
      </c>
      <c r="AN19" s="598">
        <f t="shared" si="26"/>
        <v>1.4285714285714285E-2</v>
      </c>
      <c r="AO19" s="598" t="str">
        <f t="shared" si="26"/>
        <v/>
      </c>
      <c r="AP19" s="598" t="str">
        <f t="shared" si="26"/>
        <v/>
      </c>
      <c r="AQ19" s="598" t="str">
        <f t="shared" si="26"/>
        <v/>
      </c>
      <c r="AR19" s="598" t="str">
        <f t="shared" si="26"/>
        <v/>
      </c>
      <c r="AS19" s="598" t="str">
        <f t="shared" si="26"/>
        <v/>
      </c>
      <c r="AT19" s="598" t="str">
        <f t="shared" si="26"/>
        <v/>
      </c>
      <c r="AU19" s="598" t="str">
        <f t="shared" si="26"/>
        <v/>
      </c>
      <c r="AV19" s="598" t="str">
        <f t="shared" si="26"/>
        <v/>
      </c>
      <c r="AW19" s="598" t="str">
        <f t="shared" si="26"/>
        <v/>
      </c>
      <c r="AX19" s="598" t="str">
        <f t="shared" si="26"/>
        <v/>
      </c>
      <c r="AY19" s="598">
        <f t="shared" si="26"/>
        <v>1.4285714285714285E-2</v>
      </c>
      <c r="AZ19" s="598" t="str">
        <f t="shared" si="26"/>
        <v/>
      </c>
      <c r="BA19" s="598" t="str">
        <f t="shared" si="26"/>
        <v/>
      </c>
      <c r="BB19" s="598" t="str">
        <f t="shared" si="26"/>
        <v/>
      </c>
      <c r="BC19" s="598" t="str">
        <f t="shared" si="26"/>
        <v/>
      </c>
      <c r="BD19" s="598" t="str">
        <f t="shared" si="26"/>
        <v/>
      </c>
      <c r="BE19" s="598" t="str">
        <f t="shared" si="26"/>
        <v/>
      </c>
      <c r="BF19" s="598" t="str">
        <f t="shared" si="26"/>
        <v/>
      </c>
      <c r="BG19" s="598" t="str">
        <f t="shared" si="26"/>
        <v/>
      </c>
      <c r="BH19" s="577" t="str">
        <f t="shared" si="26"/>
        <v/>
      </c>
      <c r="BI19" s="612">
        <f t="shared" ref="BI19:BI28" si="27">IF(SUM(AH19:BH19)&gt;0,SUM(AH19:BH19),"")</f>
        <v>4.2857142857142858E-2</v>
      </c>
      <c r="BJ19" s="813" t="s">
        <v>230</v>
      </c>
      <c r="BM19" s="811" t="s">
        <v>236</v>
      </c>
      <c r="BN19" s="812"/>
      <c r="BO19" s="801" t="s">
        <v>38</v>
      </c>
      <c r="BP19" s="816"/>
      <c r="BQ19" s="816"/>
      <c r="BR19" s="816"/>
      <c r="BS19" s="816"/>
      <c r="BT19" s="816"/>
      <c r="BU19" s="816"/>
      <c r="BV19" s="816"/>
      <c r="BW19" s="816"/>
      <c r="BX19" s="816"/>
      <c r="BY19" s="816"/>
      <c r="BZ19" s="816"/>
      <c r="CA19" s="817"/>
      <c r="CB19" s="740"/>
      <c r="CC19" s="740"/>
      <c r="CD19" s="740"/>
      <c r="CE19" s="740"/>
      <c r="CF19" s="740"/>
      <c r="CG19" s="740"/>
      <c r="CH19" s="740"/>
      <c r="CI19" s="740"/>
      <c r="CJ19" s="740"/>
      <c r="CK19" s="740"/>
      <c r="CL19" s="740"/>
      <c r="CM19" s="740"/>
      <c r="CN19" s="740"/>
      <c r="CO19" s="740"/>
    </row>
    <row r="20" spans="1:93" ht="14.25" customHeight="1" thickBot="1" x14ac:dyDescent="0.3">
      <c r="A20" s="517"/>
      <c r="B20" s="799"/>
      <c r="C20" s="534">
        <v>180</v>
      </c>
      <c r="D20" s="541" t="s">
        <v>177</v>
      </c>
      <c r="E20" s="509">
        <v>1</v>
      </c>
      <c r="F20" s="509" t="s">
        <v>177</v>
      </c>
      <c r="G20" s="509">
        <v>2</v>
      </c>
      <c r="H20" s="509" t="s">
        <v>177</v>
      </c>
      <c r="I20" s="509" t="s">
        <v>177</v>
      </c>
      <c r="J20" s="509">
        <v>1</v>
      </c>
      <c r="K20" s="509" t="s">
        <v>177</v>
      </c>
      <c r="L20" s="509" t="s">
        <v>177</v>
      </c>
      <c r="M20" s="570" t="s">
        <v>177</v>
      </c>
      <c r="N20" s="535">
        <v>4</v>
      </c>
      <c r="O20" s="780"/>
      <c r="Q20" s="783"/>
      <c r="R20" s="534">
        <v>180</v>
      </c>
      <c r="S20" s="551" t="str">
        <f t="shared" si="0"/>
        <v/>
      </c>
      <c r="T20" s="552">
        <f t="shared" si="1"/>
        <v>1.4285714285714285E-2</v>
      </c>
      <c r="U20" s="552" t="str">
        <f t="shared" si="2"/>
        <v/>
      </c>
      <c r="V20" s="552">
        <f t="shared" si="3"/>
        <v>2.8571428571428571E-2</v>
      </c>
      <c r="W20" s="552" t="str">
        <f t="shared" si="4"/>
        <v/>
      </c>
      <c r="X20" s="552" t="str">
        <f t="shared" si="5"/>
        <v/>
      </c>
      <c r="Y20" s="552">
        <f t="shared" si="6"/>
        <v>1.4285714285714285E-2</v>
      </c>
      <c r="Z20" s="552" t="str">
        <f t="shared" si="7"/>
        <v/>
      </c>
      <c r="AA20" s="552" t="str">
        <f t="shared" si="8"/>
        <v/>
      </c>
      <c r="AB20" s="564" t="str">
        <f t="shared" si="9"/>
        <v/>
      </c>
      <c r="AC20" s="547">
        <f t="shared" si="10"/>
        <v>5.7142857142857141E-2</v>
      </c>
      <c r="AD20" s="780"/>
      <c r="AF20" s="807"/>
      <c r="AG20" s="582">
        <v>20</v>
      </c>
      <c r="AH20" s="599" t="str">
        <f t="shared" ref="AH20:BH20" si="28">IF(AH5&lt;&gt;"",AH5/$BI$14,"")</f>
        <v/>
      </c>
      <c r="AI20" s="600" t="str">
        <f t="shared" si="28"/>
        <v/>
      </c>
      <c r="AJ20" s="600" t="str">
        <f t="shared" si="28"/>
        <v/>
      </c>
      <c r="AK20" s="600">
        <f t="shared" si="28"/>
        <v>2.8571428571428571E-2</v>
      </c>
      <c r="AL20" s="600" t="str">
        <f t="shared" si="28"/>
        <v/>
      </c>
      <c r="AM20" s="600" t="str">
        <f t="shared" si="28"/>
        <v/>
      </c>
      <c r="AN20" s="600" t="str">
        <f t="shared" si="28"/>
        <v/>
      </c>
      <c r="AO20" s="600" t="str">
        <f t="shared" si="28"/>
        <v/>
      </c>
      <c r="AP20" s="600">
        <f t="shared" si="28"/>
        <v>1.4285714285714285E-2</v>
      </c>
      <c r="AQ20" s="600" t="str">
        <f t="shared" si="28"/>
        <v/>
      </c>
      <c r="AR20" s="600" t="str">
        <f t="shared" si="28"/>
        <v/>
      </c>
      <c r="AS20" s="600" t="str">
        <f t="shared" si="28"/>
        <v/>
      </c>
      <c r="AT20" s="600">
        <f t="shared" si="28"/>
        <v>1.4285714285714285E-2</v>
      </c>
      <c r="AU20" s="600" t="str">
        <f t="shared" si="28"/>
        <v/>
      </c>
      <c r="AV20" s="600" t="str">
        <f t="shared" si="28"/>
        <v/>
      </c>
      <c r="AW20" s="600" t="str">
        <f t="shared" si="28"/>
        <v/>
      </c>
      <c r="AX20" s="600">
        <f t="shared" si="28"/>
        <v>1.4285714285714285E-2</v>
      </c>
      <c r="AY20" s="600">
        <f t="shared" si="28"/>
        <v>1.4285714285714285E-2</v>
      </c>
      <c r="AZ20" s="600">
        <f t="shared" si="28"/>
        <v>2.8571428571428571E-2</v>
      </c>
      <c r="BA20" s="600" t="str">
        <f t="shared" si="28"/>
        <v/>
      </c>
      <c r="BB20" s="600">
        <f t="shared" si="28"/>
        <v>1.4285714285714285E-2</v>
      </c>
      <c r="BC20" s="600" t="str">
        <f t="shared" si="28"/>
        <v/>
      </c>
      <c r="BD20" s="600" t="str">
        <f t="shared" si="28"/>
        <v/>
      </c>
      <c r="BE20" s="600" t="str">
        <f t="shared" si="28"/>
        <v/>
      </c>
      <c r="BF20" s="600" t="str">
        <f t="shared" si="28"/>
        <v/>
      </c>
      <c r="BG20" s="600" t="str">
        <f t="shared" si="28"/>
        <v/>
      </c>
      <c r="BH20" s="578">
        <f t="shared" si="28"/>
        <v>1.4285714285714285E-2</v>
      </c>
      <c r="BI20" s="613">
        <f t="shared" si="27"/>
        <v>0.14285714285714285</v>
      </c>
      <c r="BJ20" s="814"/>
      <c r="BM20" s="803"/>
      <c r="BN20" s="804"/>
      <c r="BO20" s="588">
        <v>176</v>
      </c>
      <c r="BP20" s="588">
        <v>178</v>
      </c>
      <c r="BQ20" s="588">
        <v>180</v>
      </c>
      <c r="BR20" s="588">
        <v>182</v>
      </c>
      <c r="BS20" s="588">
        <v>183</v>
      </c>
      <c r="BT20" s="588">
        <v>184</v>
      </c>
      <c r="BU20" s="588">
        <v>185</v>
      </c>
      <c r="BV20" s="588">
        <v>187</v>
      </c>
      <c r="BW20" s="588">
        <v>188</v>
      </c>
      <c r="BX20" s="588">
        <v>189</v>
      </c>
      <c r="BY20" s="588">
        <v>190</v>
      </c>
      <c r="BZ20" s="588">
        <v>193</v>
      </c>
      <c r="CA20" s="580">
        <v>195</v>
      </c>
      <c r="CB20" s="517"/>
      <c r="CC20" s="517"/>
      <c r="CD20" s="517"/>
      <c r="CE20" s="517"/>
      <c r="CF20" s="517"/>
      <c r="CG20" s="517"/>
      <c r="CH20" s="517"/>
      <c r="CI20" s="517"/>
      <c r="CJ20" s="517"/>
      <c r="CK20" s="517"/>
      <c r="CL20" s="517"/>
      <c r="CM20" s="517"/>
      <c r="CN20" s="517"/>
      <c r="CO20" s="517"/>
    </row>
    <row r="21" spans="1:93" ht="14.25" customHeight="1" x14ac:dyDescent="0.25">
      <c r="A21" s="517"/>
      <c r="B21" s="799"/>
      <c r="C21" s="555">
        <v>182</v>
      </c>
      <c r="D21" s="556">
        <v>1</v>
      </c>
      <c r="E21" s="557">
        <v>1</v>
      </c>
      <c r="F21" s="557" t="s">
        <v>177</v>
      </c>
      <c r="G21" s="557" t="s">
        <v>177</v>
      </c>
      <c r="H21" s="557" t="s">
        <v>177</v>
      </c>
      <c r="I21" s="557">
        <v>2</v>
      </c>
      <c r="J21" s="557" t="s">
        <v>177</v>
      </c>
      <c r="K21" s="557">
        <v>1</v>
      </c>
      <c r="L21" s="557" t="s">
        <v>177</v>
      </c>
      <c r="M21" s="569" t="s">
        <v>177</v>
      </c>
      <c r="N21" s="558">
        <v>5</v>
      </c>
      <c r="O21" s="780"/>
      <c r="Q21" s="783"/>
      <c r="R21" s="555">
        <v>182</v>
      </c>
      <c r="S21" s="559">
        <f t="shared" si="0"/>
        <v>1.4285714285714285E-2</v>
      </c>
      <c r="T21" s="560">
        <f t="shared" si="1"/>
        <v>1.4285714285714285E-2</v>
      </c>
      <c r="U21" s="560" t="str">
        <f t="shared" si="2"/>
        <v/>
      </c>
      <c r="V21" s="560" t="str">
        <f t="shared" si="3"/>
        <v/>
      </c>
      <c r="W21" s="560" t="str">
        <f t="shared" si="4"/>
        <v/>
      </c>
      <c r="X21" s="560">
        <f t="shared" si="5"/>
        <v>2.8571428571428571E-2</v>
      </c>
      <c r="Y21" s="560" t="str">
        <f t="shared" si="6"/>
        <v/>
      </c>
      <c r="Z21" s="560">
        <f t="shared" si="7"/>
        <v>1.4285714285714285E-2</v>
      </c>
      <c r="AA21" s="560" t="str">
        <f t="shared" si="8"/>
        <v/>
      </c>
      <c r="AB21" s="563" t="str">
        <f t="shared" si="9"/>
        <v/>
      </c>
      <c r="AC21" s="561">
        <f t="shared" si="10"/>
        <v>7.1428571428571425E-2</v>
      </c>
      <c r="AD21" s="780"/>
      <c r="AF21" s="807"/>
      <c r="AG21" s="583">
        <v>21</v>
      </c>
      <c r="AH21" s="597" t="str">
        <f t="shared" ref="AH21:BH21" si="29">IF(AH6&lt;&gt;"",AH6/$BI$14,"")</f>
        <v/>
      </c>
      <c r="AI21" s="598">
        <f t="shared" si="29"/>
        <v>1.4285714285714285E-2</v>
      </c>
      <c r="AJ21" s="598" t="str">
        <f t="shared" si="29"/>
        <v/>
      </c>
      <c r="AK21" s="598">
        <f t="shared" si="29"/>
        <v>1.4285714285714285E-2</v>
      </c>
      <c r="AL21" s="598" t="str">
        <f t="shared" si="29"/>
        <v/>
      </c>
      <c r="AM21" s="598">
        <f t="shared" si="29"/>
        <v>1.4285714285714285E-2</v>
      </c>
      <c r="AN21" s="598" t="str">
        <f t="shared" si="29"/>
        <v/>
      </c>
      <c r="AO21" s="598" t="str">
        <f t="shared" si="29"/>
        <v/>
      </c>
      <c r="AP21" s="598" t="str">
        <f t="shared" si="29"/>
        <v/>
      </c>
      <c r="AQ21" s="598" t="str">
        <f t="shared" si="29"/>
        <v/>
      </c>
      <c r="AR21" s="598" t="str">
        <f t="shared" si="29"/>
        <v/>
      </c>
      <c r="AS21" s="598">
        <f t="shared" si="29"/>
        <v>1.4285714285714285E-2</v>
      </c>
      <c r="AT21" s="598">
        <f t="shared" si="29"/>
        <v>1.4285714285714285E-2</v>
      </c>
      <c r="AU21" s="598" t="str">
        <f t="shared" si="29"/>
        <v/>
      </c>
      <c r="AV21" s="598">
        <f t="shared" si="29"/>
        <v>2.8571428571428571E-2</v>
      </c>
      <c r="AW21" s="598">
        <f t="shared" si="29"/>
        <v>1.4285714285714285E-2</v>
      </c>
      <c r="AX21" s="598" t="str">
        <f t="shared" si="29"/>
        <v/>
      </c>
      <c r="AY21" s="598" t="str">
        <f t="shared" si="29"/>
        <v/>
      </c>
      <c r="AZ21" s="598" t="str">
        <f t="shared" si="29"/>
        <v/>
      </c>
      <c r="BA21" s="598">
        <f t="shared" si="29"/>
        <v>1.4285714285714285E-2</v>
      </c>
      <c r="BB21" s="598">
        <f t="shared" si="29"/>
        <v>2.8571428571428571E-2</v>
      </c>
      <c r="BC21" s="598" t="str">
        <f t="shared" si="29"/>
        <v/>
      </c>
      <c r="BD21" s="598" t="str">
        <f t="shared" si="29"/>
        <v/>
      </c>
      <c r="BE21" s="598" t="str">
        <f t="shared" si="29"/>
        <v/>
      </c>
      <c r="BF21" s="598" t="str">
        <f t="shared" si="29"/>
        <v/>
      </c>
      <c r="BG21" s="598" t="str">
        <f t="shared" si="29"/>
        <v/>
      </c>
      <c r="BH21" s="577" t="str">
        <f t="shared" si="29"/>
        <v/>
      </c>
      <c r="BI21" s="614">
        <f t="shared" si="27"/>
        <v>0.15714285714285714</v>
      </c>
      <c r="BJ21" s="814"/>
      <c r="BM21" s="801" t="s">
        <v>39</v>
      </c>
      <c r="BN21" s="581">
        <v>19</v>
      </c>
      <c r="BO21" s="598" t="str">
        <f t="shared" ref="BO21:BO30" si="30">IF(AV19&lt;&gt;"",AV19*BO$20*$BN21,"")</f>
        <v/>
      </c>
      <c r="BP21" s="598" t="str">
        <f t="shared" ref="BP21:BP30" si="31">IF(AW19&lt;&gt;"",AW19*BP$20*$BN21,"")</f>
        <v/>
      </c>
      <c r="BQ21" s="598" t="str">
        <f t="shared" ref="BQ21:BQ30" si="32">IF(AX19&lt;&gt;"",AX19*BQ$20*$BN21,"")</f>
        <v/>
      </c>
      <c r="BR21" s="598">
        <f t="shared" ref="BR21:BR30" si="33">IF(AY19&lt;&gt;"",AY19*BR$20*$BN21,"")</f>
        <v>49.4</v>
      </c>
      <c r="BS21" s="598" t="str">
        <f t="shared" ref="BS21:BS30" si="34">IF(AZ19&lt;&gt;"",AZ19*BS$20*$BN21,"")</f>
        <v/>
      </c>
      <c r="BT21" s="598" t="str">
        <f t="shared" ref="BT21:BT30" si="35">IF(BA19&lt;&gt;"",BA19*BT$20*$BN21,"")</f>
        <v/>
      </c>
      <c r="BU21" s="598" t="str">
        <f t="shared" ref="BU21:BU30" si="36">IF(BB19&lt;&gt;"",BB19*BU$20*$BN21,"")</f>
        <v/>
      </c>
      <c r="BV21" s="598" t="str">
        <f t="shared" ref="BV21:BV30" si="37">IF(BC19&lt;&gt;"",BC19*BV$20*$BN21,"")</f>
        <v/>
      </c>
      <c r="BW21" s="598" t="str">
        <f t="shared" ref="BW21:BW30" si="38">IF(BD19&lt;&gt;"",BD19*BW$20*$BN21,"")</f>
        <v/>
      </c>
      <c r="BX21" s="598" t="str">
        <f t="shared" ref="BX21:BX30" si="39">IF(BE19&lt;&gt;"",BE19*BX$20*$BN21,"")</f>
        <v/>
      </c>
      <c r="BY21" s="598" t="str">
        <f t="shared" ref="BY21:BY30" si="40">IF(BF19&lt;&gt;"",BF19*BY$20*$BN21,"")</f>
        <v/>
      </c>
      <c r="BZ21" s="598" t="str">
        <f t="shared" ref="BZ21:BZ30" si="41">IF(BG19&lt;&gt;"",BG19*BZ$20*$BN21,"")</f>
        <v/>
      </c>
      <c r="CA21" s="577" t="str">
        <f t="shared" ref="CA21:CA30" si="42">IF(BH19&lt;&gt;"",BH19*CA$20*$BN21,"")</f>
        <v/>
      </c>
      <c r="CB21" s="517"/>
      <c r="CC21" s="517"/>
      <c r="CD21" s="517"/>
      <c r="CE21" s="517"/>
      <c r="CF21" s="517"/>
      <c r="CG21" s="517"/>
      <c r="CH21" s="517"/>
      <c r="CI21" s="517"/>
      <c r="CJ21" s="517"/>
      <c r="CK21" s="517"/>
      <c r="CL21" s="517"/>
      <c r="CM21" s="517"/>
      <c r="CN21" s="517"/>
      <c r="CO21" s="517"/>
    </row>
    <row r="22" spans="1:93" ht="14.25" customHeight="1" x14ac:dyDescent="0.25">
      <c r="A22" s="517"/>
      <c r="B22" s="799"/>
      <c r="C22" s="534">
        <v>183</v>
      </c>
      <c r="D22" s="541" t="s">
        <v>177</v>
      </c>
      <c r="E22" s="509">
        <v>2</v>
      </c>
      <c r="F22" s="509" t="s">
        <v>177</v>
      </c>
      <c r="G22" s="509" t="s">
        <v>177</v>
      </c>
      <c r="H22" s="509" t="s">
        <v>177</v>
      </c>
      <c r="I22" s="509">
        <v>1</v>
      </c>
      <c r="J22" s="509">
        <v>1</v>
      </c>
      <c r="K22" s="509" t="s">
        <v>177</v>
      </c>
      <c r="L22" s="509" t="s">
        <v>177</v>
      </c>
      <c r="M22" s="570" t="s">
        <v>177</v>
      </c>
      <c r="N22" s="535">
        <v>4</v>
      </c>
      <c r="O22" s="780"/>
      <c r="Q22" s="783"/>
      <c r="R22" s="534">
        <v>183</v>
      </c>
      <c r="S22" s="551" t="str">
        <f t="shared" si="0"/>
        <v/>
      </c>
      <c r="T22" s="552">
        <f t="shared" si="1"/>
        <v>2.8571428571428571E-2</v>
      </c>
      <c r="U22" s="552" t="str">
        <f t="shared" si="2"/>
        <v/>
      </c>
      <c r="V22" s="552" t="str">
        <f t="shared" si="3"/>
        <v/>
      </c>
      <c r="W22" s="552" t="str">
        <f t="shared" si="4"/>
        <v/>
      </c>
      <c r="X22" s="552">
        <f t="shared" si="5"/>
        <v>1.4285714285714285E-2</v>
      </c>
      <c r="Y22" s="552">
        <f t="shared" si="6"/>
        <v>1.4285714285714285E-2</v>
      </c>
      <c r="Z22" s="552" t="str">
        <f t="shared" si="7"/>
        <v/>
      </c>
      <c r="AA22" s="552" t="str">
        <f t="shared" si="8"/>
        <v/>
      </c>
      <c r="AB22" s="564" t="str">
        <f t="shared" si="9"/>
        <v/>
      </c>
      <c r="AC22" s="547">
        <f t="shared" si="10"/>
        <v>5.7142857142857141E-2</v>
      </c>
      <c r="AD22" s="780"/>
      <c r="AF22" s="807"/>
      <c r="AG22" s="582">
        <v>22</v>
      </c>
      <c r="AH22" s="599" t="str">
        <f t="shared" ref="AH22:BH22" si="43">IF(AH7&lt;&gt;"",AH7/$BI$14,"")</f>
        <v/>
      </c>
      <c r="AI22" s="600">
        <f t="shared" si="43"/>
        <v>1.4285714285714285E-2</v>
      </c>
      <c r="AJ22" s="600">
        <f t="shared" si="43"/>
        <v>1.4285714285714285E-2</v>
      </c>
      <c r="AK22" s="600" t="str">
        <f t="shared" si="43"/>
        <v/>
      </c>
      <c r="AL22" s="600" t="str">
        <f t="shared" si="43"/>
        <v/>
      </c>
      <c r="AM22" s="600">
        <f t="shared" si="43"/>
        <v>2.8571428571428571E-2</v>
      </c>
      <c r="AN22" s="600" t="str">
        <f t="shared" si="43"/>
        <v/>
      </c>
      <c r="AO22" s="600" t="str">
        <f t="shared" si="43"/>
        <v/>
      </c>
      <c r="AP22" s="600">
        <f t="shared" si="43"/>
        <v>4.2857142857142858E-2</v>
      </c>
      <c r="AQ22" s="600" t="str">
        <f t="shared" si="43"/>
        <v/>
      </c>
      <c r="AR22" s="600" t="str">
        <f t="shared" si="43"/>
        <v/>
      </c>
      <c r="AS22" s="600" t="str">
        <f t="shared" si="43"/>
        <v/>
      </c>
      <c r="AT22" s="600">
        <f t="shared" si="43"/>
        <v>1.4285714285714285E-2</v>
      </c>
      <c r="AU22" s="600" t="str">
        <f t="shared" si="43"/>
        <v/>
      </c>
      <c r="AV22" s="600" t="str">
        <f t="shared" si="43"/>
        <v/>
      </c>
      <c r="AW22" s="600" t="str">
        <f t="shared" si="43"/>
        <v/>
      </c>
      <c r="AX22" s="600">
        <f t="shared" si="43"/>
        <v>2.8571428571428571E-2</v>
      </c>
      <c r="AY22" s="600" t="str">
        <f t="shared" si="43"/>
        <v/>
      </c>
      <c r="AZ22" s="600" t="str">
        <f t="shared" si="43"/>
        <v/>
      </c>
      <c r="BA22" s="600">
        <f t="shared" si="43"/>
        <v>1.4285714285714285E-2</v>
      </c>
      <c r="BB22" s="600">
        <f t="shared" si="43"/>
        <v>1.4285714285714285E-2</v>
      </c>
      <c r="BC22" s="600">
        <f t="shared" si="43"/>
        <v>1.4285714285714285E-2</v>
      </c>
      <c r="BD22" s="600">
        <f t="shared" si="43"/>
        <v>1.4285714285714285E-2</v>
      </c>
      <c r="BE22" s="600" t="str">
        <f t="shared" si="43"/>
        <v/>
      </c>
      <c r="BF22" s="600" t="str">
        <f t="shared" si="43"/>
        <v/>
      </c>
      <c r="BG22" s="600" t="str">
        <f t="shared" si="43"/>
        <v/>
      </c>
      <c r="BH22" s="578" t="str">
        <f t="shared" si="43"/>
        <v/>
      </c>
      <c r="BI22" s="613">
        <f t="shared" si="27"/>
        <v>0.20000000000000004</v>
      </c>
      <c r="BJ22" s="814"/>
      <c r="BM22" s="807"/>
      <c r="BN22" s="582">
        <v>20</v>
      </c>
      <c r="BO22" s="600" t="str">
        <f t="shared" si="30"/>
        <v/>
      </c>
      <c r="BP22" s="600" t="str">
        <f t="shared" si="31"/>
        <v/>
      </c>
      <c r="BQ22" s="600">
        <f t="shared" si="32"/>
        <v>51.428571428571423</v>
      </c>
      <c r="BR22" s="600">
        <f t="shared" si="33"/>
        <v>52</v>
      </c>
      <c r="BS22" s="600">
        <f t="shared" si="34"/>
        <v>104.57142857142857</v>
      </c>
      <c r="BT22" s="600" t="str">
        <f t="shared" si="35"/>
        <v/>
      </c>
      <c r="BU22" s="600">
        <f t="shared" si="36"/>
        <v>52.857142857142854</v>
      </c>
      <c r="BV22" s="600" t="str">
        <f t="shared" si="37"/>
        <v/>
      </c>
      <c r="BW22" s="600" t="str">
        <f t="shared" si="38"/>
        <v/>
      </c>
      <c r="BX22" s="600" t="str">
        <f t="shared" si="39"/>
        <v/>
      </c>
      <c r="BY22" s="600" t="str">
        <f t="shared" si="40"/>
        <v/>
      </c>
      <c r="BZ22" s="600" t="str">
        <f t="shared" si="41"/>
        <v/>
      </c>
      <c r="CA22" s="578">
        <f t="shared" si="42"/>
        <v>55.714285714285708</v>
      </c>
      <c r="CB22" s="517"/>
      <c r="CC22" s="517"/>
      <c r="CD22" s="517"/>
      <c r="CE22" s="517"/>
      <c r="CF22" s="517"/>
      <c r="CG22" s="517"/>
      <c r="CH22" s="517"/>
      <c r="CI22" s="517"/>
      <c r="CJ22" s="517"/>
      <c r="CK22" s="517"/>
      <c r="CL22" s="517"/>
      <c r="CM22" s="517"/>
      <c r="CN22" s="517"/>
      <c r="CO22" s="517"/>
    </row>
    <row r="23" spans="1:93" ht="14.25" customHeight="1" x14ac:dyDescent="0.2">
      <c r="B23" s="799"/>
      <c r="C23" s="555">
        <v>184</v>
      </c>
      <c r="D23" s="556" t="s">
        <v>177</v>
      </c>
      <c r="E23" s="557" t="s">
        <v>177</v>
      </c>
      <c r="F23" s="557">
        <v>1</v>
      </c>
      <c r="G23" s="557">
        <v>1</v>
      </c>
      <c r="H23" s="557" t="s">
        <v>177</v>
      </c>
      <c r="I23" s="557" t="s">
        <v>177</v>
      </c>
      <c r="J23" s="557" t="s">
        <v>177</v>
      </c>
      <c r="K23" s="557">
        <v>1</v>
      </c>
      <c r="L23" s="557" t="s">
        <v>177</v>
      </c>
      <c r="M23" s="569" t="s">
        <v>177</v>
      </c>
      <c r="N23" s="558">
        <v>3</v>
      </c>
      <c r="O23" s="780"/>
      <c r="Q23" s="783"/>
      <c r="R23" s="555">
        <v>184</v>
      </c>
      <c r="S23" s="559" t="str">
        <f t="shared" si="0"/>
        <v/>
      </c>
      <c r="T23" s="560" t="str">
        <f t="shared" si="1"/>
        <v/>
      </c>
      <c r="U23" s="560">
        <f t="shared" si="2"/>
        <v>1.4285714285714285E-2</v>
      </c>
      <c r="V23" s="560">
        <f t="shared" si="3"/>
        <v>1.4285714285714285E-2</v>
      </c>
      <c r="W23" s="560" t="str">
        <f t="shared" si="4"/>
        <v/>
      </c>
      <c r="X23" s="560" t="str">
        <f t="shared" si="5"/>
        <v/>
      </c>
      <c r="Y23" s="560" t="str">
        <f t="shared" si="6"/>
        <v/>
      </c>
      <c r="Z23" s="560">
        <f t="shared" si="7"/>
        <v>1.4285714285714285E-2</v>
      </c>
      <c r="AA23" s="560" t="str">
        <f t="shared" si="8"/>
        <v/>
      </c>
      <c r="AB23" s="563" t="str">
        <f t="shared" si="9"/>
        <v/>
      </c>
      <c r="AC23" s="561">
        <f t="shared" si="10"/>
        <v>4.2857142857142858E-2</v>
      </c>
      <c r="AD23" s="780"/>
      <c r="AF23" s="807"/>
      <c r="AG23" s="583">
        <v>23</v>
      </c>
      <c r="AH23" s="597">
        <f t="shared" ref="AH23:BH23" si="44">IF(AH8&lt;&gt;"",AH8/$BI$14,"")</f>
        <v>1.4285714285714285E-2</v>
      </c>
      <c r="AI23" s="598">
        <f t="shared" si="44"/>
        <v>1.4285714285714285E-2</v>
      </c>
      <c r="AJ23" s="598" t="str">
        <f t="shared" si="44"/>
        <v/>
      </c>
      <c r="AK23" s="598" t="str">
        <f t="shared" si="44"/>
        <v/>
      </c>
      <c r="AL23" s="598" t="str">
        <f t="shared" si="44"/>
        <v/>
      </c>
      <c r="AM23" s="598" t="str">
        <f t="shared" si="44"/>
        <v/>
      </c>
      <c r="AN23" s="598" t="str">
        <f t="shared" si="44"/>
        <v/>
      </c>
      <c r="AO23" s="598" t="str">
        <f t="shared" si="44"/>
        <v/>
      </c>
      <c r="AP23" s="598">
        <f t="shared" si="44"/>
        <v>1.4285714285714285E-2</v>
      </c>
      <c r="AQ23" s="598" t="str">
        <f t="shared" si="44"/>
        <v/>
      </c>
      <c r="AR23" s="598" t="str">
        <f t="shared" si="44"/>
        <v/>
      </c>
      <c r="AS23" s="598" t="str">
        <f t="shared" si="44"/>
        <v/>
      </c>
      <c r="AT23" s="598" t="str">
        <f t="shared" si="44"/>
        <v/>
      </c>
      <c r="AU23" s="598" t="str">
        <f t="shared" si="44"/>
        <v/>
      </c>
      <c r="AV23" s="598">
        <f t="shared" si="44"/>
        <v>2.8571428571428571E-2</v>
      </c>
      <c r="AW23" s="598">
        <f t="shared" si="44"/>
        <v>1.4285714285714285E-2</v>
      </c>
      <c r="AX23" s="598" t="str">
        <f t="shared" si="44"/>
        <v/>
      </c>
      <c r="AY23" s="598" t="str">
        <f t="shared" si="44"/>
        <v/>
      </c>
      <c r="AZ23" s="598" t="str">
        <f t="shared" si="44"/>
        <v/>
      </c>
      <c r="BA23" s="598" t="str">
        <f t="shared" si="44"/>
        <v/>
      </c>
      <c r="BB23" s="598">
        <f t="shared" si="44"/>
        <v>1.4285714285714285E-2</v>
      </c>
      <c r="BC23" s="598" t="str">
        <f t="shared" si="44"/>
        <v/>
      </c>
      <c r="BD23" s="598" t="str">
        <f t="shared" si="44"/>
        <v/>
      </c>
      <c r="BE23" s="598">
        <f t="shared" si="44"/>
        <v>1.4285714285714285E-2</v>
      </c>
      <c r="BF23" s="598" t="str">
        <f t="shared" si="44"/>
        <v/>
      </c>
      <c r="BG23" s="598">
        <f t="shared" si="44"/>
        <v>1.4285714285714285E-2</v>
      </c>
      <c r="BH23" s="577" t="str">
        <f t="shared" si="44"/>
        <v/>
      </c>
      <c r="BI23" s="614">
        <f t="shared" si="27"/>
        <v>0.12857142857142859</v>
      </c>
      <c r="BJ23" s="814"/>
      <c r="BM23" s="807"/>
      <c r="BN23" s="583">
        <v>21</v>
      </c>
      <c r="BO23" s="598">
        <f t="shared" si="30"/>
        <v>105.6</v>
      </c>
      <c r="BP23" s="598">
        <f t="shared" si="31"/>
        <v>53.4</v>
      </c>
      <c r="BQ23" s="598" t="str">
        <f t="shared" si="32"/>
        <v/>
      </c>
      <c r="BR23" s="598" t="str">
        <f t="shared" si="33"/>
        <v/>
      </c>
      <c r="BS23" s="598" t="str">
        <f t="shared" si="34"/>
        <v/>
      </c>
      <c r="BT23" s="598">
        <f t="shared" si="35"/>
        <v>55.2</v>
      </c>
      <c r="BU23" s="598">
        <f t="shared" si="36"/>
        <v>111</v>
      </c>
      <c r="BV23" s="598" t="str">
        <f t="shared" si="37"/>
        <v/>
      </c>
      <c r="BW23" s="598" t="str">
        <f t="shared" si="38"/>
        <v/>
      </c>
      <c r="BX23" s="598" t="str">
        <f t="shared" si="39"/>
        <v/>
      </c>
      <c r="BY23" s="598" t="str">
        <f t="shared" si="40"/>
        <v/>
      </c>
      <c r="BZ23" s="598" t="str">
        <f t="shared" si="41"/>
        <v/>
      </c>
      <c r="CA23" s="577" t="str">
        <f t="shared" si="42"/>
        <v/>
      </c>
      <c r="CB23" s="517"/>
      <c r="CC23" s="517"/>
      <c r="CD23" s="517"/>
      <c r="CE23" s="517"/>
      <c r="CF23" s="517"/>
      <c r="CG23" s="517"/>
      <c r="CH23" s="517"/>
      <c r="CI23" s="517"/>
      <c r="CJ23" s="517"/>
      <c r="CK23" s="517"/>
      <c r="CL23" s="517"/>
      <c r="CM23" s="517"/>
      <c r="CN23" s="517"/>
      <c r="CO23" s="517"/>
    </row>
    <row r="24" spans="1:93" ht="15" customHeight="1" x14ac:dyDescent="0.2">
      <c r="B24" s="799"/>
      <c r="C24" s="534">
        <v>185</v>
      </c>
      <c r="D24" s="541" t="s">
        <v>177</v>
      </c>
      <c r="E24" s="509">
        <v>1</v>
      </c>
      <c r="F24" s="509">
        <v>2</v>
      </c>
      <c r="G24" s="509">
        <v>1</v>
      </c>
      <c r="H24" s="509">
        <v>1</v>
      </c>
      <c r="I24" s="509" t="s">
        <v>177</v>
      </c>
      <c r="J24" s="509" t="s">
        <v>177</v>
      </c>
      <c r="K24" s="509">
        <v>2</v>
      </c>
      <c r="L24" s="509" t="s">
        <v>177</v>
      </c>
      <c r="M24" s="570" t="s">
        <v>177</v>
      </c>
      <c r="N24" s="535">
        <v>7</v>
      </c>
      <c r="O24" s="780"/>
      <c r="Q24" s="783"/>
      <c r="R24" s="534">
        <v>185</v>
      </c>
      <c r="S24" s="551" t="str">
        <f t="shared" si="0"/>
        <v/>
      </c>
      <c r="T24" s="552">
        <f t="shared" si="1"/>
        <v>1.4285714285714285E-2</v>
      </c>
      <c r="U24" s="552">
        <f t="shared" si="2"/>
        <v>2.8571428571428571E-2</v>
      </c>
      <c r="V24" s="552">
        <f t="shared" si="3"/>
        <v>1.4285714285714285E-2</v>
      </c>
      <c r="W24" s="552">
        <f t="shared" si="4"/>
        <v>1.4285714285714285E-2</v>
      </c>
      <c r="X24" s="552" t="str">
        <f t="shared" si="5"/>
        <v/>
      </c>
      <c r="Y24" s="552" t="str">
        <f t="shared" si="6"/>
        <v/>
      </c>
      <c r="Z24" s="552">
        <f t="shared" si="7"/>
        <v>2.8571428571428571E-2</v>
      </c>
      <c r="AA24" s="552" t="str">
        <f t="shared" si="8"/>
        <v/>
      </c>
      <c r="AB24" s="564" t="str">
        <f t="shared" si="9"/>
        <v/>
      </c>
      <c r="AC24" s="547">
        <f t="shared" si="10"/>
        <v>9.9999999999999992E-2</v>
      </c>
      <c r="AD24" s="780"/>
      <c r="AF24" s="807"/>
      <c r="AG24" s="582">
        <v>24</v>
      </c>
      <c r="AH24" s="599" t="str">
        <f t="shared" ref="AH24:BH24" si="45">IF(AH9&lt;&gt;"",AH9/$BI$14,"")</f>
        <v/>
      </c>
      <c r="AI24" s="600">
        <f t="shared" si="45"/>
        <v>1.4285714285714285E-2</v>
      </c>
      <c r="AJ24" s="600" t="str">
        <f t="shared" si="45"/>
        <v/>
      </c>
      <c r="AK24" s="600" t="str">
        <f t="shared" si="45"/>
        <v/>
      </c>
      <c r="AL24" s="600" t="str">
        <f t="shared" si="45"/>
        <v/>
      </c>
      <c r="AM24" s="600" t="str">
        <f t="shared" si="45"/>
        <v/>
      </c>
      <c r="AN24" s="600" t="str">
        <f t="shared" si="45"/>
        <v/>
      </c>
      <c r="AO24" s="600" t="str">
        <f t="shared" si="45"/>
        <v/>
      </c>
      <c r="AP24" s="600">
        <f t="shared" si="45"/>
        <v>1.4285714285714285E-2</v>
      </c>
      <c r="AQ24" s="600">
        <f t="shared" si="45"/>
        <v>1.4285714285714285E-2</v>
      </c>
      <c r="AR24" s="600" t="str">
        <f t="shared" si="45"/>
        <v/>
      </c>
      <c r="AS24" s="600" t="str">
        <f t="shared" si="45"/>
        <v/>
      </c>
      <c r="AT24" s="600" t="str">
        <f t="shared" si="45"/>
        <v/>
      </c>
      <c r="AU24" s="600" t="str">
        <f t="shared" si="45"/>
        <v/>
      </c>
      <c r="AV24" s="600" t="str">
        <f t="shared" si="45"/>
        <v/>
      </c>
      <c r="AW24" s="600" t="str">
        <f t="shared" si="45"/>
        <v/>
      </c>
      <c r="AX24" s="600" t="str">
        <f t="shared" si="45"/>
        <v/>
      </c>
      <c r="AY24" s="600">
        <f t="shared" si="45"/>
        <v>2.8571428571428571E-2</v>
      </c>
      <c r="AZ24" s="600">
        <f t="shared" si="45"/>
        <v>1.4285714285714285E-2</v>
      </c>
      <c r="BA24" s="600" t="str">
        <f t="shared" si="45"/>
        <v/>
      </c>
      <c r="BB24" s="600" t="str">
        <f t="shared" si="45"/>
        <v/>
      </c>
      <c r="BC24" s="600" t="str">
        <f t="shared" si="45"/>
        <v/>
      </c>
      <c r="BD24" s="600" t="str">
        <f t="shared" si="45"/>
        <v/>
      </c>
      <c r="BE24" s="600" t="str">
        <f t="shared" si="45"/>
        <v/>
      </c>
      <c r="BF24" s="600" t="str">
        <f t="shared" si="45"/>
        <v/>
      </c>
      <c r="BG24" s="600" t="str">
        <f t="shared" si="45"/>
        <v/>
      </c>
      <c r="BH24" s="578" t="str">
        <f t="shared" si="45"/>
        <v/>
      </c>
      <c r="BI24" s="613">
        <f t="shared" si="27"/>
        <v>8.5714285714285715E-2</v>
      </c>
      <c r="BJ24" s="814"/>
      <c r="BM24" s="807"/>
      <c r="BN24" s="582">
        <v>22</v>
      </c>
      <c r="BO24" s="600" t="str">
        <f t="shared" si="30"/>
        <v/>
      </c>
      <c r="BP24" s="600" t="str">
        <f t="shared" si="31"/>
        <v/>
      </c>
      <c r="BQ24" s="600">
        <f t="shared" si="32"/>
        <v>113.14285714285714</v>
      </c>
      <c r="BR24" s="600" t="str">
        <f t="shared" si="33"/>
        <v/>
      </c>
      <c r="BS24" s="600" t="str">
        <f t="shared" si="34"/>
        <v/>
      </c>
      <c r="BT24" s="600">
        <f t="shared" si="35"/>
        <v>57.828571428571429</v>
      </c>
      <c r="BU24" s="600">
        <f t="shared" si="36"/>
        <v>58.142857142857139</v>
      </c>
      <c r="BV24" s="600">
        <f t="shared" si="37"/>
        <v>58.771428571428565</v>
      </c>
      <c r="BW24" s="600">
        <f t="shared" si="38"/>
        <v>59.085714285714282</v>
      </c>
      <c r="BX24" s="600" t="str">
        <f t="shared" si="39"/>
        <v/>
      </c>
      <c r="BY24" s="600" t="str">
        <f t="shared" si="40"/>
        <v/>
      </c>
      <c r="BZ24" s="600" t="str">
        <f t="shared" si="41"/>
        <v/>
      </c>
      <c r="CA24" s="578" t="str">
        <f t="shared" si="42"/>
        <v/>
      </c>
      <c r="CB24" s="517"/>
      <c r="CC24" s="517"/>
      <c r="CD24" s="517"/>
      <c r="CE24" s="517"/>
      <c r="CF24" s="517"/>
      <c r="CG24" s="517"/>
      <c r="CH24" s="517"/>
      <c r="CI24" s="517"/>
      <c r="CJ24" s="517"/>
      <c r="CK24" s="517"/>
      <c r="CL24" s="517"/>
      <c r="CM24" s="517"/>
      <c r="CN24" s="517"/>
      <c r="CO24" s="517"/>
    </row>
    <row r="25" spans="1:93" ht="14.25" customHeight="1" x14ac:dyDescent="0.2">
      <c r="B25" s="799"/>
      <c r="C25" s="555">
        <v>187</v>
      </c>
      <c r="D25" s="556" t="s">
        <v>177</v>
      </c>
      <c r="E25" s="557" t="s">
        <v>177</v>
      </c>
      <c r="F25" s="557" t="s">
        <v>177</v>
      </c>
      <c r="G25" s="557">
        <v>1</v>
      </c>
      <c r="H25" s="557" t="s">
        <v>177</v>
      </c>
      <c r="I25" s="557" t="s">
        <v>177</v>
      </c>
      <c r="J25" s="557">
        <v>1</v>
      </c>
      <c r="K25" s="557" t="s">
        <v>177</v>
      </c>
      <c r="L25" s="557" t="s">
        <v>177</v>
      </c>
      <c r="M25" s="569" t="s">
        <v>177</v>
      </c>
      <c r="N25" s="558">
        <v>2</v>
      </c>
      <c r="O25" s="780"/>
      <c r="Q25" s="783"/>
      <c r="R25" s="555">
        <v>187</v>
      </c>
      <c r="S25" s="559" t="str">
        <f t="shared" si="0"/>
        <v/>
      </c>
      <c r="T25" s="560" t="str">
        <f t="shared" si="1"/>
        <v/>
      </c>
      <c r="U25" s="560" t="str">
        <f t="shared" si="2"/>
        <v/>
      </c>
      <c r="V25" s="560">
        <f t="shared" si="3"/>
        <v>1.4285714285714285E-2</v>
      </c>
      <c r="W25" s="560" t="str">
        <f t="shared" si="4"/>
        <v/>
      </c>
      <c r="X25" s="560" t="str">
        <f t="shared" si="5"/>
        <v/>
      </c>
      <c r="Y25" s="560">
        <f t="shared" si="6"/>
        <v>1.4285714285714285E-2</v>
      </c>
      <c r="Z25" s="560" t="str">
        <f t="shared" si="7"/>
        <v/>
      </c>
      <c r="AA25" s="560" t="str">
        <f t="shared" si="8"/>
        <v/>
      </c>
      <c r="AB25" s="563" t="str">
        <f t="shared" si="9"/>
        <v/>
      </c>
      <c r="AC25" s="561">
        <f t="shared" si="10"/>
        <v>2.8571428571428571E-2</v>
      </c>
      <c r="AD25" s="780"/>
      <c r="AF25" s="807"/>
      <c r="AG25" s="583">
        <v>25</v>
      </c>
      <c r="AH25" s="597" t="str">
        <f t="shared" ref="AH25:BH25" si="46">IF(AH10&lt;&gt;"",AH10/$BI$14,"")</f>
        <v/>
      </c>
      <c r="AI25" s="598" t="str">
        <f t="shared" si="46"/>
        <v/>
      </c>
      <c r="AJ25" s="598" t="str">
        <f t="shared" si="46"/>
        <v/>
      </c>
      <c r="AK25" s="598" t="str">
        <f t="shared" si="46"/>
        <v/>
      </c>
      <c r="AL25" s="598" t="str">
        <f t="shared" si="46"/>
        <v/>
      </c>
      <c r="AM25" s="598" t="str">
        <f t="shared" si="46"/>
        <v/>
      </c>
      <c r="AN25" s="598" t="str">
        <f t="shared" si="46"/>
        <v/>
      </c>
      <c r="AO25" s="598" t="str">
        <f t="shared" si="46"/>
        <v/>
      </c>
      <c r="AP25" s="598">
        <f t="shared" si="46"/>
        <v>1.4285714285714285E-2</v>
      </c>
      <c r="AQ25" s="598" t="str">
        <f t="shared" si="46"/>
        <v/>
      </c>
      <c r="AR25" s="598">
        <f t="shared" si="46"/>
        <v>1.4285714285714285E-2</v>
      </c>
      <c r="AS25" s="598" t="str">
        <f t="shared" si="46"/>
        <v/>
      </c>
      <c r="AT25" s="598" t="str">
        <f t="shared" si="46"/>
        <v/>
      </c>
      <c r="AU25" s="598" t="str">
        <f t="shared" si="46"/>
        <v/>
      </c>
      <c r="AV25" s="598">
        <f t="shared" si="46"/>
        <v>2.8571428571428571E-2</v>
      </c>
      <c r="AW25" s="598">
        <f t="shared" si="46"/>
        <v>1.4285714285714285E-2</v>
      </c>
      <c r="AX25" s="598">
        <f t="shared" si="46"/>
        <v>1.4285714285714285E-2</v>
      </c>
      <c r="AY25" s="598" t="str">
        <f t="shared" si="46"/>
        <v/>
      </c>
      <c r="AZ25" s="598">
        <f t="shared" si="46"/>
        <v>1.4285714285714285E-2</v>
      </c>
      <c r="BA25" s="598" t="str">
        <f t="shared" si="46"/>
        <v/>
      </c>
      <c r="BB25" s="598" t="str">
        <f t="shared" si="46"/>
        <v/>
      </c>
      <c r="BC25" s="598">
        <f t="shared" si="46"/>
        <v>1.4285714285714285E-2</v>
      </c>
      <c r="BD25" s="598" t="str">
        <f t="shared" si="46"/>
        <v/>
      </c>
      <c r="BE25" s="598" t="str">
        <f t="shared" si="46"/>
        <v/>
      </c>
      <c r="BF25" s="598" t="str">
        <f t="shared" si="46"/>
        <v/>
      </c>
      <c r="BG25" s="598" t="str">
        <f t="shared" si="46"/>
        <v/>
      </c>
      <c r="BH25" s="577" t="str">
        <f t="shared" si="46"/>
        <v/>
      </c>
      <c r="BI25" s="614">
        <f t="shared" si="27"/>
        <v>0.1142857142857143</v>
      </c>
      <c r="BJ25" s="814"/>
      <c r="BM25" s="807"/>
      <c r="BN25" s="583">
        <v>23</v>
      </c>
      <c r="BO25" s="598">
        <f t="shared" si="30"/>
        <v>115.65714285714286</v>
      </c>
      <c r="BP25" s="598">
        <f t="shared" si="31"/>
        <v>58.48571428571428</v>
      </c>
      <c r="BQ25" s="598" t="str">
        <f t="shared" si="32"/>
        <v/>
      </c>
      <c r="BR25" s="598" t="str">
        <f t="shared" si="33"/>
        <v/>
      </c>
      <c r="BS25" s="598" t="str">
        <f t="shared" si="34"/>
        <v/>
      </c>
      <c r="BT25" s="598" t="str">
        <f t="shared" si="35"/>
        <v/>
      </c>
      <c r="BU25" s="598">
        <f t="shared" si="36"/>
        <v>60.785714285714285</v>
      </c>
      <c r="BV25" s="598" t="str">
        <f t="shared" si="37"/>
        <v/>
      </c>
      <c r="BW25" s="598" t="str">
        <f t="shared" si="38"/>
        <v/>
      </c>
      <c r="BX25" s="598">
        <f t="shared" si="39"/>
        <v>62.099999999999994</v>
      </c>
      <c r="BY25" s="598" t="str">
        <f t="shared" si="40"/>
        <v/>
      </c>
      <c r="BZ25" s="598">
        <f t="shared" si="41"/>
        <v>63.414285714285711</v>
      </c>
      <c r="CA25" s="577" t="str">
        <f t="shared" si="42"/>
        <v/>
      </c>
      <c r="CB25" s="517"/>
      <c r="CC25" s="517"/>
      <c r="CD25" s="517"/>
      <c r="CE25" s="517"/>
      <c r="CF25" s="517"/>
      <c r="CG25" s="517"/>
      <c r="CH25" s="517"/>
      <c r="CI25" s="517"/>
      <c r="CJ25" s="517"/>
      <c r="CK25" s="517"/>
      <c r="CL25" s="517"/>
      <c r="CM25" s="517"/>
      <c r="CN25" s="517"/>
      <c r="CO25" s="517"/>
    </row>
    <row r="26" spans="1:93" ht="14.25" customHeight="1" x14ac:dyDescent="0.2">
      <c r="B26" s="799"/>
      <c r="C26" s="534">
        <v>188</v>
      </c>
      <c r="D26" s="541" t="s">
        <v>177</v>
      </c>
      <c r="E26" s="509" t="s">
        <v>177</v>
      </c>
      <c r="F26" s="509" t="s">
        <v>177</v>
      </c>
      <c r="G26" s="509">
        <v>1</v>
      </c>
      <c r="H26" s="509" t="s">
        <v>177</v>
      </c>
      <c r="I26" s="509" t="s">
        <v>177</v>
      </c>
      <c r="J26" s="509" t="s">
        <v>177</v>
      </c>
      <c r="K26" s="509" t="s">
        <v>177</v>
      </c>
      <c r="L26" s="509" t="s">
        <v>177</v>
      </c>
      <c r="M26" s="570" t="s">
        <v>177</v>
      </c>
      <c r="N26" s="535">
        <v>1</v>
      </c>
      <c r="O26" s="780"/>
      <c r="Q26" s="783"/>
      <c r="R26" s="534">
        <v>188</v>
      </c>
      <c r="S26" s="551" t="str">
        <f t="shared" si="0"/>
        <v/>
      </c>
      <c r="T26" s="552" t="str">
        <f t="shared" si="1"/>
        <v/>
      </c>
      <c r="U26" s="552" t="str">
        <f t="shared" si="2"/>
        <v/>
      </c>
      <c r="V26" s="552">
        <f t="shared" si="3"/>
        <v>1.4285714285714285E-2</v>
      </c>
      <c r="W26" s="552" t="str">
        <f t="shared" si="4"/>
        <v/>
      </c>
      <c r="X26" s="552" t="str">
        <f t="shared" si="5"/>
        <v/>
      </c>
      <c r="Y26" s="552" t="str">
        <f t="shared" si="6"/>
        <v/>
      </c>
      <c r="Z26" s="552" t="str">
        <f t="shared" si="7"/>
        <v/>
      </c>
      <c r="AA26" s="552" t="str">
        <f t="shared" si="8"/>
        <v/>
      </c>
      <c r="AB26" s="564" t="str">
        <f t="shared" si="9"/>
        <v/>
      </c>
      <c r="AC26" s="547">
        <f t="shared" si="10"/>
        <v>1.4285714285714285E-2</v>
      </c>
      <c r="AD26" s="780"/>
      <c r="AF26" s="807"/>
      <c r="AG26" s="582">
        <v>26</v>
      </c>
      <c r="AH26" s="599" t="str">
        <f t="shared" ref="AH26:BH26" si="47">IF(AH11&lt;&gt;"",AH11/$BI$14,"")</f>
        <v/>
      </c>
      <c r="AI26" s="600" t="str">
        <f t="shared" si="47"/>
        <v/>
      </c>
      <c r="AJ26" s="600" t="str">
        <f t="shared" si="47"/>
        <v/>
      </c>
      <c r="AK26" s="600" t="str">
        <f t="shared" si="47"/>
        <v/>
      </c>
      <c r="AL26" s="600">
        <f t="shared" si="47"/>
        <v>1.4285714285714285E-2</v>
      </c>
      <c r="AM26" s="600" t="str">
        <f t="shared" si="47"/>
        <v/>
      </c>
      <c r="AN26" s="600" t="str">
        <f t="shared" si="47"/>
        <v/>
      </c>
      <c r="AO26" s="600" t="str">
        <f t="shared" si="47"/>
        <v/>
      </c>
      <c r="AP26" s="600" t="str">
        <f t="shared" si="47"/>
        <v/>
      </c>
      <c r="AQ26" s="600" t="str">
        <f t="shared" si="47"/>
        <v/>
      </c>
      <c r="AR26" s="600" t="str">
        <f t="shared" si="47"/>
        <v/>
      </c>
      <c r="AS26" s="600" t="str">
        <f t="shared" si="47"/>
        <v/>
      </c>
      <c r="AT26" s="600" t="str">
        <f t="shared" si="47"/>
        <v/>
      </c>
      <c r="AU26" s="600">
        <f t="shared" si="47"/>
        <v>1.4285714285714285E-2</v>
      </c>
      <c r="AV26" s="600" t="str">
        <f t="shared" si="47"/>
        <v/>
      </c>
      <c r="AW26" s="600" t="str">
        <f t="shared" si="47"/>
        <v/>
      </c>
      <c r="AX26" s="600" t="str">
        <f t="shared" si="47"/>
        <v/>
      </c>
      <c r="AY26" s="600">
        <f t="shared" si="47"/>
        <v>1.4285714285714285E-2</v>
      </c>
      <c r="AZ26" s="600" t="str">
        <f t="shared" si="47"/>
        <v/>
      </c>
      <c r="BA26" s="600">
        <f t="shared" si="47"/>
        <v>1.4285714285714285E-2</v>
      </c>
      <c r="BB26" s="600">
        <f t="shared" si="47"/>
        <v>2.8571428571428571E-2</v>
      </c>
      <c r="BC26" s="600" t="str">
        <f t="shared" si="47"/>
        <v/>
      </c>
      <c r="BD26" s="600" t="str">
        <f t="shared" si="47"/>
        <v/>
      </c>
      <c r="BE26" s="600" t="str">
        <f t="shared" si="47"/>
        <v/>
      </c>
      <c r="BF26" s="600" t="str">
        <f t="shared" si="47"/>
        <v/>
      </c>
      <c r="BG26" s="600" t="str">
        <f t="shared" si="47"/>
        <v/>
      </c>
      <c r="BH26" s="578" t="str">
        <f t="shared" si="47"/>
        <v/>
      </c>
      <c r="BI26" s="613">
        <f t="shared" si="27"/>
        <v>8.5714285714285715E-2</v>
      </c>
      <c r="BJ26" s="814"/>
      <c r="BM26" s="807"/>
      <c r="BN26" s="582">
        <v>24</v>
      </c>
      <c r="BO26" s="600" t="str">
        <f t="shared" si="30"/>
        <v/>
      </c>
      <c r="BP26" s="600" t="str">
        <f t="shared" si="31"/>
        <v/>
      </c>
      <c r="BQ26" s="600" t="str">
        <f t="shared" si="32"/>
        <v/>
      </c>
      <c r="BR26" s="600">
        <f t="shared" si="33"/>
        <v>124.80000000000001</v>
      </c>
      <c r="BS26" s="600">
        <f t="shared" si="34"/>
        <v>62.742857142857147</v>
      </c>
      <c r="BT26" s="600" t="str">
        <f t="shared" si="35"/>
        <v/>
      </c>
      <c r="BU26" s="600" t="str">
        <f t="shared" si="36"/>
        <v/>
      </c>
      <c r="BV26" s="600" t="str">
        <f t="shared" si="37"/>
        <v/>
      </c>
      <c r="BW26" s="600" t="str">
        <f t="shared" si="38"/>
        <v/>
      </c>
      <c r="BX26" s="600" t="str">
        <f t="shared" si="39"/>
        <v/>
      </c>
      <c r="BY26" s="600" t="str">
        <f t="shared" si="40"/>
        <v/>
      </c>
      <c r="BZ26" s="600" t="str">
        <f t="shared" si="41"/>
        <v/>
      </c>
      <c r="CA26" s="578" t="str">
        <f t="shared" si="42"/>
        <v/>
      </c>
      <c r="CB26" s="517"/>
      <c r="CC26" s="517"/>
      <c r="CD26" s="517"/>
      <c r="CE26" s="517"/>
      <c r="CF26" s="517"/>
      <c r="CG26" s="517"/>
      <c r="CH26" s="517"/>
      <c r="CI26" s="517"/>
      <c r="CJ26" s="517"/>
      <c r="CK26" s="517"/>
      <c r="CL26" s="517"/>
      <c r="CM26" s="517"/>
      <c r="CN26" s="517"/>
      <c r="CO26" s="517"/>
    </row>
    <row r="27" spans="1:93" ht="14.25" customHeight="1" x14ac:dyDescent="0.2">
      <c r="B27" s="799"/>
      <c r="C27" s="555">
        <v>189</v>
      </c>
      <c r="D27" s="556" t="s">
        <v>177</v>
      </c>
      <c r="E27" s="557" t="s">
        <v>177</v>
      </c>
      <c r="F27" s="557" t="s">
        <v>177</v>
      </c>
      <c r="G27" s="557" t="s">
        <v>177</v>
      </c>
      <c r="H27" s="557">
        <v>1</v>
      </c>
      <c r="I27" s="557" t="s">
        <v>177</v>
      </c>
      <c r="J27" s="557" t="s">
        <v>177</v>
      </c>
      <c r="K27" s="557" t="s">
        <v>177</v>
      </c>
      <c r="L27" s="557" t="s">
        <v>177</v>
      </c>
      <c r="M27" s="569" t="s">
        <v>177</v>
      </c>
      <c r="N27" s="558">
        <v>1</v>
      </c>
      <c r="O27" s="780"/>
      <c r="Q27" s="783"/>
      <c r="R27" s="555">
        <v>189</v>
      </c>
      <c r="S27" s="559" t="str">
        <f t="shared" si="0"/>
        <v/>
      </c>
      <c r="T27" s="560" t="str">
        <f t="shared" si="1"/>
        <v/>
      </c>
      <c r="U27" s="560" t="str">
        <f t="shared" si="2"/>
        <v/>
      </c>
      <c r="V27" s="560" t="str">
        <f t="shared" si="3"/>
        <v/>
      </c>
      <c r="W27" s="560">
        <f t="shared" si="4"/>
        <v>1.4285714285714285E-2</v>
      </c>
      <c r="X27" s="560" t="str">
        <f t="shared" si="5"/>
        <v/>
      </c>
      <c r="Y27" s="560" t="str">
        <f t="shared" si="6"/>
        <v/>
      </c>
      <c r="Z27" s="560" t="str">
        <f t="shared" si="7"/>
        <v/>
      </c>
      <c r="AA27" s="560" t="str">
        <f t="shared" si="8"/>
        <v/>
      </c>
      <c r="AB27" s="563" t="str">
        <f t="shared" si="9"/>
        <v/>
      </c>
      <c r="AC27" s="561">
        <f t="shared" si="10"/>
        <v>1.4285714285714285E-2</v>
      </c>
      <c r="AD27" s="780"/>
      <c r="AF27" s="807"/>
      <c r="AG27" s="583">
        <v>27</v>
      </c>
      <c r="AH27" s="597" t="str">
        <f t="shared" ref="AH27:BH27" si="48">IF(AH12&lt;&gt;"",AH12/$BI$14,"")</f>
        <v/>
      </c>
      <c r="AI27" s="598" t="str">
        <f t="shared" si="48"/>
        <v/>
      </c>
      <c r="AJ27" s="598" t="str">
        <f t="shared" si="48"/>
        <v/>
      </c>
      <c r="AK27" s="598" t="str">
        <f t="shared" si="48"/>
        <v/>
      </c>
      <c r="AL27" s="598" t="str">
        <f t="shared" si="48"/>
        <v/>
      </c>
      <c r="AM27" s="598" t="str">
        <f t="shared" si="48"/>
        <v/>
      </c>
      <c r="AN27" s="598" t="str">
        <f t="shared" si="48"/>
        <v/>
      </c>
      <c r="AO27" s="598" t="str">
        <f t="shared" si="48"/>
        <v/>
      </c>
      <c r="AP27" s="598" t="str">
        <f t="shared" si="48"/>
        <v/>
      </c>
      <c r="AQ27" s="598" t="str">
        <f t="shared" si="48"/>
        <v/>
      </c>
      <c r="AR27" s="598" t="str">
        <f t="shared" si="48"/>
        <v/>
      </c>
      <c r="AS27" s="598" t="str">
        <f t="shared" si="48"/>
        <v/>
      </c>
      <c r="AT27" s="598" t="str">
        <f t="shared" si="48"/>
        <v/>
      </c>
      <c r="AU27" s="598" t="str">
        <f t="shared" si="48"/>
        <v/>
      </c>
      <c r="AV27" s="598" t="str">
        <f t="shared" si="48"/>
        <v/>
      </c>
      <c r="AW27" s="598" t="str">
        <f t="shared" si="48"/>
        <v/>
      </c>
      <c r="AX27" s="598" t="str">
        <f t="shared" si="48"/>
        <v/>
      </c>
      <c r="AY27" s="598" t="str">
        <f t="shared" si="48"/>
        <v/>
      </c>
      <c r="AZ27" s="598" t="str">
        <f t="shared" si="48"/>
        <v/>
      </c>
      <c r="BA27" s="598" t="str">
        <f t="shared" si="48"/>
        <v/>
      </c>
      <c r="BB27" s="598" t="str">
        <f t="shared" si="48"/>
        <v/>
      </c>
      <c r="BC27" s="598" t="str">
        <f t="shared" si="48"/>
        <v/>
      </c>
      <c r="BD27" s="598" t="str">
        <f t="shared" si="48"/>
        <v/>
      </c>
      <c r="BE27" s="598" t="str">
        <f t="shared" si="48"/>
        <v/>
      </c>
      <c r="BF27" s="598" t="str">
        <f t="shared" si="48"/>
        <v/>
      </c>
      <c r="BG27" s="598">
        <f t="shared" si="48"/>
        <v>1.4285714285714285E-2</v>
      </c>
      <c r="BH27" s="577" t="str">
        <f t="shared" si="48"/>
        <v/>
      </c>
      <c r="BI27" s="614">
        <f t="shared" si="27"/>
        <v>1.4285714285714285E-2</v>
      </c>
      <c r="BJ27" s="814"/>
      <c r="BM27" s="807"/>
      <c r="BN27" s="583">
        <v>25</v>
      </c>
      <c r="BO27" s="598">
        <f t="shared" si="30"/>
        <v>125.71428571428571</v>
      </c>
      <c r="BP27" s="598">
        <f t="shared" si="31"/>
        <v>63.571428571428569</v>
      </c>
      <c r="BQ27" s="598">
        <f t="shared" si="32"/>
        <v>64.285714285714278</v>
      </c>
      <c r="BR27" s="598" t="str">
        <f t="shared" si="33"/>
        <v/>
      </c>
      <c r="BS27" s="598">
        <f t="shared" si="34"/>
        <v>65.357142857142861</v>
      </c>
      <c r="BT27" s="598" t="str">
        <f t="shared" si="35"/>
        <v/>
      </c>
      <c r="BU27" s="598" t="str">
        <f t="shared" si="36"/>
        <v/>
      </c>
      <c r="BV27" s="598">
        <f t="shared" si="37"/>
        <v>66.785714285714278</v>
      </c>
      <c r="BW27" s="598" t="str">
        <f t="shared" si="38"/>
        <v/>
      </c>
      <c r="BX27" s="598" t="str">
        <f t="shared" si="39"/>
        <v/>
      </c>
      <c r="BY27" s="598" t="str">
        <f t="shared" si="40"/>
        <v/>
      </c>
      <c r="BZ27" s="598" t="str">
        <f t="shared" si="41"/>
        <v/>
      </c>
      <c r="CA27" s="577" t="str">
        <f t="shared" si="42"/>
        <v/>
      </c>
      <c r="CB27" s="517"/>
      <c r="CC27" s="517"/>
      <c r="CD27" s="517"/>
      <c r="CE27" s="517"/>
      <c r="CF27" s="517"/>
      <c r="CG27" s="517"/>
      <c r="CH27" s="517"/>
      <c r="CI27" s="517"/>
      <c r="CJ27" s="517"/>
      <c r="CK27" s="517"/>
      <c r="CL27" s="517"/>
      <c r="CM27" s="517"/>
      <c r="CN27" s="517"/>
      <c r="CO27" s="517"/>
    </row>
    <row r="28" spans="1:93" ht="15" customHeight="1" thickBot="1" x14ac:dyDescent="0.25">
      <c r="B28" s="799"/>
      <c r="C28" s="534">
        <v>190</v>
      </c>
      <c r="D28" s="541" t="s">
        <v>177</v>
      </c>
      <c r="E28" s="509" t="s">
        <v>177</v>
      </c>
      <c r="F28" s="509" t="s">
        <v>177</v>
      </c>
      <c r="G28" s="509" t="s">
        <v>177</v>
      </c>
      <c r="H28" s="509" t="s">
        <v>177</v>
      </c>
      <c r="I28" s="509" t="s">
        <v>177</v>
      </c>
      <c r="J28" s="509" t="s">
        <v>177</v>
      </c>
      <c r="K28" s="509" t="s">
        <v>177</v>
      </c>
      <c r="L28" s="509" t="s">
        <v>177</v>
      </c>
      <c r="M28" s="570">
        <v>1</v>
      </c>
      <c r="N28" s="535">
        <v>1</v>
      </c>
      <c r="O28" s="780"/>
      <c r="Q28" s="783"/>
      <c r="R28" s="534">
        <v>190</v>
      </c>
      <c r="S28" s="551" t="str">
        <f t="shared" si="0"/>
        <v/>
      </c>
      <c r="T28" s="552" t="str">
        <f t="shared" si="1"/>
        <v/>
      </c>
      <c r="U28" s="552" t="str">
        <f t="shared" si="2"/>
        <v/>
      </c>
      <c r="V28" s="552" t="str">
        <f t="shared" si="3"/>
        <v/>
      </c>
      <c r="W28" s="552" t="str">
        <f t="shared" si="4"/>
        <v/>
      </c>
      <c r="X28" s="552" t="str">
        <f t="shared" si="5"/>
        <v/>
      </c>
      <c r="Y28" s="552" t="str">
        <f t="shared" si="6"/>
        <v/>
      </c>
      <c r="Z28" s="552" t="str">
        <f t="shared" si="7"/>
        <v/>
      </c>
      <c r="AA28" s="552" t="str">
        <f t="shared" si="8"/>
        <v/>
      </c>
      <c r="AB28" s="564">
        <f t="shared" si="9"/>
        <v>1.4285714285714285E-2</v>
      </c>
      <c r="AC28" s="547">
        <f t="shared" si="10"/>
        <v>1.4285714285714285E-2</v>
      </c>
      <c r="AD28" s="780"/>
      <c r="AF28" s="803"/>
      <c r="AG28" s="584">
        <v>28</v>
      </c>
      <c r="AH28" s="601" t="str">
        <f t="shared" ref="AH28:BH28" si="49">IF(AH13&lt;&gt;"",AH13/$BI$14,"")</f>
        <v/>
      </c>
      <c r="AI28" s="602" t="str">
        <f t="shared" si="49"/>
        <v/>
      </c>
      <c r="AJ28" s="602" t="str">
        <f t="shared" si="49"/>
        <v/>
      </c>
      <c r="AK28" s="602" t="str">
        <f t="shared" si="49"/>
        <v/>
      </c>
      <c r="AL28" s="602" t="str">
        <f t="shared" si="49"/>
        <v/>
      </c>
      <c r="AM28" s="602" t="str">
        <f t="shared" si="49"/>
        <v/>
      </c>
      <c r="AN28" s="602" t="str">
        <f t="shared" si="49"/>
        <v/>
      </c>
      <c r="AO28" s="602">
        <f t="shared" si="49"/>
        <v>1.4285714285714285E-2</v>
      </c>
      <c r="AP28" s="602" t="str">
        <f t="shared" si="49"/>
        <v/>
      </c>
      <c r="AQ28" s="602" t="str">
        <f t="shared" si="49"/>
        <v/>
      </c>
      <c r="AR28" s="602" t="str">
        <f t="shared" si="49"/>
        <v/>
      </c>
      <c r="AS28" s="602" t="str">
        <f t="shared" si="49"/>
        <v/>
      </c>
      <c r="AT28" s="602" t="str">
        <f t="shared" si="49"/>
        <v/>
      </c>
      <c r="AU28" s="602" t="str">
        <f t="shared" si="49"/>
        <v/>
      </c>
      <c r="AV28" s="602" t="str">
        <f t="shared" si="49"/>
        <v/>
      </c>
      <c r="AW28" s="602" t="str">
        <f t="shared" si="49"/>
        <v/>
      </c>
      <c r="AX28" s="602" t="str">
        <f t="shared" si="49"/>
        <v/>
      </c>
      <c r="AY28" s="602" t="str">
        <f t="shared" si="49"/>
        <v/>
      </c>
      <c r="AZ28" s="602" t="str">
        <f t="shared" si="49"/>
        <v/>
      </c>
      <c r="BA28" s="602" t="str">
        <f t="shared" si="49"/>
        <v/>
      </c>
      <c r="BB28" s="602" t="str">
        <f t="shared" si="49"/>
        <v/>
      </c>
      <c r="BC28" s="602" t="str">
        <f t="shared" si="49"/>
        <v/>
      </c>
      <c r="BD28" s="602" t="str">
        <f t="shared" si="49"/>
        <v/>
      </c>
      <c r="BE28" s="602" t="str">
        <f t="shared" si="49"/>
        <v/>
      </c>
      <c r="BF28" s="602">
        <f t="shared" si="49"/>
        <v>1.4285714285714285E-2</v>
      </c>
      <c r="BG28" s="602" t="str">
        <f t="shared" si="49"/>
        <v/>
      </c>
      <c r="BH28" s="579" t="str">
        <f t="shared" si="49"/>
        <v/>
      </c>
      <c r="BI28" s="615">
        <f t="shared" si="27"/>
        <v>2.8571428571428571E-2</v>
      </c>
      <c r="BJ28" s="815"/>
      <c r="BM28" s="807"/>
      <c r="BN28" s="582">
        <v>26</v>
      </c>
      <c r="BO28" s="600" t="str">
        <f t="shared" si="30"/>
        <v/>
      </c>
      <c r="BP28" s="600" t="str">
        <f t="shared" si="31"/>
        <v/>
      </c>
      <c r="BQ28" s="600" t="str">
        <f t="shared" si="32"/>
        <v/>
      </c>
      <c r="BR28" s="600">
        <f t="shared" si="33"/>
        <v>67.600000000000009</v>
      </c>
      <c r="BS28" s="600" t="str">
        <f t="shared" si="34"/>
        <v/>
      </c>
      <c r="BT28" s="600">
        <f t="shared" si="35"/>
        <v>68.342857142857142</v>
      </c>
      <c r="BU28" s="600">
        <f t="shared" si="36"/>
        <v>137.42857142857142</v>
      </c>
      <c r="BV28" s="600" t="str">
        <f t="shared" si="37"/>
        <v/>
      </c>
      <c r="BW28" s="600" t="str">
        <f t="shared" si="38"/>
        <v/>
      </c>
      <c r="BX28" s="600" t="str">
        <f t="shared" si="39"/>
        <v/>
      </c>
      <c r="BY28" s="600" t="str">
        <f t="shared" si="40"/>
        <v/>
      </c>
      <c r="BZ28" s="600" t="str">
        <f t="shared" si="41"/>
        <v/>
      </c>
      <c r="CA28" s="578" t="str">
        <f t="shared" si="42"/>
        <v/>
      </c>
      <c r="CB28" s="517"/>
      <c r="CC28" s="517"/>
      <c r="CD28" s="517"/>
      <c r="CE28" s="517"/>
      <c r="CF28" s="517"/>
      <c r="CG28" s="517"/>
      <c r="CH28" s="517"/>
      <c r="CI28" s="517"/>
      <c r="CJ28" s="517"/>
      <c r="CK28" s="517"/>
      <c r="CL28" s="517"/>
      <c r="CM28" s="517"/>
      <c r="CN28" s="517"/>
      <c r="CO28" s="517"/>
    </row>
    <row r="29" spans="1:93" ht="15" customHeight="1" x14ac:dyDescent="0.25">
      <c r="A29" s="518"/>
      <c r="B29" s="799"/>
      <c r="C29" s="555">
        <v>193</v>
      </c>
      <c r="D29" s="556" t="s">
        <v>177</v>
      </c>
      <c r="E29" s="557" t="s">
        <v>177</v>
      </c>
      <c r="F29" s="557" t="s">
        <v>177</v>
      </c>
      <c r="G29" s="557" t="s">
        <v>177</v>
      </c>
      <c r="H29" s="557">
        <v>1</v>
      </c>
      <c r="I29" s="557" t="s">
        <v>177</v>
      </c>
      <c r="J29" s="557" t="s">
        <v>177</v>
      </c>
      <c r="K29" s="557" t="s">
        <v>177</v>
      </c>
      <c r="L29" s="557">
        <v>1</v>
      </c>
      <c r="M29" s="569" t="s">
        <v>177</v>
      </c>
      <c r="N29" s="558">
        <v>2</v>
      </c>
      <c r="O29" s="780"/>
      <c r="Q29" s="783"/>
      <c r="R29" s="555">
        <v>193</v>
      </c>
      <c r="S29" s="559" t="str">
        <f t="shared" si="0"/>
        <v/>
      </c>
      <c r="T29" s="560" t="str">
        <f t="shared" si="1"/>
        <v/>
      </c>
      <c r="U29" s="560" t="str">
        <f t="shared" si="2"/>
        <v/>
      </c>
      <c r="V29" s="560" t="str">
        <f t="shared" si="3"/>
        <v/>
      </c>
      <c r="W29" s="560">
        <f t="shared" si="4"/>
        <v>1.4285714285714285E-2</v>
      </c>
      <c r="X29" s="560" t="str">
        <f t="shared" si="5"/>
        <v/>
      </c>
      <c r="Y29" s="560" t="str">
        <f t="shared" si="6"/>
        <v/>
      </c>
      <c r="Z29" s="560" t="str">
        <f t="shared" si="7"/>
        <v/>
      </c>
      <c r="AA29" s="560">
        <f t="shared" si="8"/>
        <v>1.4285714285714285E-2</v>
      </c>
      <c r="AB29" s="563" t="str">
        <f t="shared" si="9"/>
        <v/>
      </c>
      <c r="AC29" s="561">
        <f t="shared" si="10"/>
        <v>2.8571428571428571E-2</v>
      </c>
      <c r="AD29" s="780"/>
      <c r="AF29" s="505"/>
      <c r="AG29" s="505"/>
      <c r="AH29" s="603">
        <f t="shared" ref="AH29:BH29" si="50">IF(SUM(AH19:AH28)&gt;0,SUM(AH19:AH28),"")</f>
        <v>1.4285714285714285E-2</v>
      </c>
      <c r="AI29" s="604">
        <f t="shared" si="50"/>
        <v>7.1428571428571425E-2</v>
      </c>
      <c r="AJ29" s="604">
        <f t="shared" si="50"/>
        <v>1.4285714285714285E-2</v>
      </c>
      <c r="AK29" s="604">
        <f t="shared" si="50"/>
        <v>4.2857142857142858E-2</v>
      </c>
      <c r="AL29" s="604">
        <f t="shared" si="50"/>
        <v>1.4285714285714285E-2</v>
      </c>
      <c r="AM29" s="604">
        <f t="shared" si="50"/>
        <v>4.2857142857142858E-2</v>
      </c>
      <c r="AN29" s="604">
        <f t="shared" si="50"/>
        <v>1.4285714285714285E-2</v>
      </c>
      <c r="AO29" s="604">
        <f t="shared" si="50"/>
        <v>1.4285714285714285E-2</v>
      </c>
      <c r="AP29" s="604">
        <f t="shared" si="50"/>
        <v>0.1</v>
      </c>
      <c r="AQ29" s="604">
        <f t="shared" si="50"/>
        <v>1.4285714285714285E-2</v>
      </c>
      <c r="AR29" s="604">
        <f t="shared" si="50"/>
        <v>1.4285714285714285E-2</v>
      </c>
      <c r="AS29" s="604">
        <f t="shared" si="50"/>
        <v>1.4285714285714285E-2</v>
      </c>
      <c r="AT29" s="604">
        <f t="shared" si="50"/>
        <v>4.2857142857142858E-2</v>
      </c>
      <c r="AU29" s="604">
        <f t="shared" si="50"/>
        <v>1.4285714285714285E-2</v>
      </c>
      <c r="AV29" s="604">
        <f t="shared" si="50"/>
        <v>8.5714285714285715E-2</v>
      </c>
      <c r="AW29" s="604">
        <f t="shared" si="50"/>
        <v>4.2857142857142858E-2</v>
      </c>
      <c r="AX29" s="604">
        <f t="shared" si="50"/>
        <v>5.7142857142857141E-2</v>
      </c>
      <c r="AY29" s="604">
        <f t="shared" si="50"/>
        <v>7.1428571428571425E-2</v>
      </c>
      <c r="AZ29" s="604">
        <f t="shared" si="50"/>
        <v>5.7142857142857141E-2</v>
      </c>
      <c r="BA29" s="604">
        <f t="shared" si="50"/>
        <v>4.2857142857142858E-2</v>
      </c>
      <c r="BB29" s="604">
        <f t="shared" si="50"/>
        <v>9.9999999999999992E-2</v>
      </c>
      <c r="BC29" s="604">
        <f t="shared" si="50"/>
        <v>2.8571428571428571E-2</v>
      </c>
      <c r="BD29" s="604">
        <f t="shared" si="50"/>
        <v>1.4285714285714285E-2</v>
      </c>
      <c r="BE29" s="604">
        <f t="shared" si="50"/>
        <v>1.4285714285714285E-2</v>
      </c>
      <c r="BF29" s="604">
        <f t="shared" si="50"/>
        <v>1.4285714285714285E-2</v>
      </c>
      <c r="BG29" s="604">
        <f t="shared" si="50"/>
        <v>2.8571428571428571E-2</v>
      </c>
      <c r="BH29" s="586">
        <f t="shared" si="50"/>
        <v>1.4285714285714285E-2</v>
      </c>
      <c r="BI29" s="616">
        <f>SUM(AH19:BH28)</f>
        <v>0.99999999999999878</v>
      </c>
      <c r="BJ29" s="504"/>
      <c r="BM29" s="807"/>
      <c r="BN29" s="583">
        <v>27</v>
      </c>
      <c r="BO29" s="598" t="str">
        <f t="shared" si="30"/>
        <v/>
      </c>
      <c r="BP29" s="598" t="str">
        <f t="shared" si="31"/>
        <v/>
      </c>
      <c r="BQ29" s="598" t="str">
        <f t="shared" si="32"/>
        <v/>
      </c>
      <c r="BR29" s="598" t="str">
        <f t="shared" si="33"/>
        <v/>
      </c>
      <c r="BS29" s="598" t="str">
        <f t="shared" si="34"/>
        <v/>
      </c>
      <c r="BT29" s="598" t="str">
        <f t="shared" si="35"/>
        <v/>
      </c>
      <c r="BU29" s="598" t="str">
        <f t="shared" si="36"/>
        <v/>
      </c>
      <c r="BV29" s="598" t="str">
        <f t="shared" si="37"/>
        <v/>
      </c>
      <c r="BW29" s="598" t="str">
        <f t="shared" si="38"/>
        <v/>
      </c>
      <c r="BX29" s="598" t="str">
        <f t="shared" si="39"/>
        <v/>
      </c>
      <c r="BY29" s="598" t="str">
        <f t="shared" si="40"/>
        <v/>
      </c>
      <c r="BZ29" s="598">
        <f t="shared" si="41"/>
        <v>74.442857142857136</v>
      </c>
      <c r="CA29" s="577" t="str">
        <f t="shared" si="42"/>
        <v/>
      </c>
      <c r="CB29" s="517"/>
      <c r="CC29" s="517"/>
      <c r="CD29" s="517"/>
      <c r="CE29" s="517"/>
      <c r="CF29" s="517"/>
      <c r="CG29" s="517"/>
      <c r="CH29" s="517"/>
      <c r="CI29" s="517"/>
      <c r="CJ29" s="517"/>
      <c r="CK29" s="517"/>
      <c r="CL29" s="517"/>
      <c r="CM29" s="517"/>
      <c r="CN29" s="517"/>
      <c r="CO29" s="517"/>
    </row>
    <row r="30" spans="1:93" ht="17.25" thickBot="1" x14ac:dyDescent="0.3">
      <c r="A30" s="517"/>
      <c r="B30" s="800"/>
      <c r="C30" s="530">
        <v>195</v>
      </c>
      <c r="D30" s="571" t="s">
        <v>177</v>
      </c>
      <c r="E30" s="572">
        <v>1</v>
      </c>
      <c r="F30" s="572" t="s">
        <v>177</v>
      </c>
      <c r="G30" s="572" t="s">
        <v>177</v>
      </c>
      <c r="H30" s="572" t="s">
        <v>177</v>
      </c>
      <c r="I30" s="572" t="s">
        <v>177</v>
      </c>
      <c r="J30" s="572" t="s">
        <v>177</v>
      </c>
      <c r="K30" s="572" t="s">
        <v>177</v>
      </c>
      <c r="L30" s="572" t="s">
        <v>177</v>
      </c>
      <c r="M30" s="573" t="s">
        <v>177</v>
      </c>
      <c r="N30" s="531">
        <v>1</v>
      </c>
      <c r="O30" s="781"/>
      <c r="Q30" s="784"/>
      <c r="R30" s="544">
        <v>195</v>
      </c>
      <c r="S30" s="565" t="str">
        <f t="shared" si="0"/>
        <v/>
      </c>
      <c r="T30" s="566">
        <f t="shared" si="1"/>
        <v>1.4285714285714285E-2</v>
      </c>
      <c r="U30" s="566" t="str">
        <f t="shared" si="2"/>
        <v/>
      </c>
      <c r="V30" s="566" t="str">
        <f t="shared" si="3"/>
        <v/>
      </c>
      <c r="W30" s="566" t="str">
        <f t="shared" si="4"/>
        <v/>
      </c>
      <c r="X30" s="566" t="str">
        <f t="shared" si="5"/>
        <v/>
      </c>
      <c r="Y30" s="566" t="str">
        <f t="shared" si="6"/>
        <v/>
      </c>
      <c r="Z30" s="566" t="str">
        <f t="shared" si="7"/>
        <v/>
      </c>
      <c r="AA30" s="566" t="str">
        <f t="shared" si="8"/>
        <v/>
      </c>
      <c r="AB30" s="567" t="str">
        <f t="shared" si="9"/>
        <v/>
      </c>
      <c r="AC30" s="545">
        <f t="shared" si="10"/>
        <v>1.4285714285714285E-2</v>
      </c>
      <c r="AD30" s="781"/>
      <c r="AF30" s="504"/>
      <c r="AG30" s="504"/>
      <c r="AH30" s="808" t="s">
        <v>231</v>
      </c>
      <c r="AI30" s="809"/>
      <c r="AJ30" s="809"/>
      <c r="AK30" s="809"/>
      <c r="AL30" s="809"/>
      <c r="AM30" s="809"/>
      <c r="AN30" s="809"/>
      <c r="AO30" s="809"/>
      <c r="AP30" s="809"/>
      <c r="AQ30" s="809"/>
      <c r="AR30" s="809"/>
      <c r="AS30" s="809"/>
      <c r="AT30" s="809"/>
      <c r="AU30" s="809"/>
      <c r="AV30" s="809"/>
      <c r="AW30" s="809"/>
      <c r="AX30" s="809"/>
      <c r="AY30" s="809"/>
      <c r="AZ30" s="809"/>
      <c r="BA30" s="809"/>
      <c r="BB30" s="809"/>
      <c r="BC30" s="809"/>
      <c r="BD30" s="809"/>
      <c r="BE30" s="809"/>
      <c r="BF30" s="809"/>
      <c r="BG30" s="809"/>
      <c r="BH30" s="810"/>
      <c r="BI30" s="607"/>
      <c r="BJ30" s="504"/>
      <c r="BM30" s="803"/>
      <c r="BN30" s="584">
        <v>28</v>
      </c>
      <c r="BO30" s="602" t="str">
        <f t="shared" si="30"/>
        <v/>
      </c>
      <c r="BP30" s="602" t="str">
        <f t="shared" si="31"/>
        <v/>
      </c>
      <c r="BQ30" s="602" t="str">
        <f t="shared" si="32"/>
        <v/>
      </c>
      <c r="BR30" s="602" t="str">
        <f t="shared" si="33"/>
        <v/>
      </c>
      <c r="BS30" s="602" t="str">
        <f t="shared" si="34"/>
        <v/>
      </c>
      <c r="BT30" s="602" t="str">
        <f t="shared" si="35"/>
        <v/>
      </c>
      <c r="BU30" s="602" t="str">
        <f t="shared" si="36"/>
        <v/>
      </c>
      <c r="BV30" s="602" t="str">
        <f t="shared" si="37"/>
        <v/>
      </c>
      <c r="BW30" s="602" t="str">
        <f t="shared" si="38"/>
        <v/>
      </c>
      <c r="BX30" s="602" t="str">
        <f t="shared" si="39"/>
        <v/>
      </c>
      <c r="BY30" s="602">
        <f t="shared" si="40"/>
        <v>76</v>
      </c>
      <c r="BZ30" s="602" t="str">
        <f t="shared" si="41"/>
        <v/>
      </c>
      <c r="CA30" s="579" t="str">
        <f t="shared" si="42"/>
        <v/>
      </c>
      <c r="CB30" s="517"/>
      <c r="CC30" s="517"/>
      <c r="CD30" s="517"/>
      <c r="CE30" s="517"/>
      <c r="CF30" s="517"/>
      <c r="CG30" s="517"/>
      <c r="CH30" s="517"/>
      <c r="CI30" s="517"/>
      <c r="CJ30" s="517"/>
      <c r="CK30" s="517"/>
      <c r="CL30" s="517"/>
      <c r="CM30" s="517"/>
      <c r="CN30" s="517"/>
      <c r="CO30" s="517"/>
    </row>
    <row r="31" spans="1:93" x14ac:dyDescent="0.2">
      <c r="D31" s="542">
        <v>3</v>
      </c>
      <c r="E31" s="543">
        <v>10</v>
      </c>
      <c r="F31" s="543">
        <v>11</v>
      </c>
      <c r="G31" s="543">
        <v>14</v>
      </c>
      <c r="H31" s="543">
        <v>9</v>
      </c>
      <c r="I31" s="543">
        <v>6</v>
      </c>
      <c r="J31" s="543">
        <v>8</v>
      </c>
      <c r="K31" s="543">
        <v>6</v>
      </c>
      <c r="L31" s="543">
        <v>1</v>
      </c>
      <c r="M31" s="536">
        <v>2</v>
      </c>
      <c r="N31" s="509">
        <f>SUM(D4:M30)</f>
        <v>70</v>
      </c>
      <c r="Q31" s="516"/>
      <c r="S31" s="553">
        <f t="shared" ref="S31:AB31" si="51">IF(SUM(S4:S30)&gt;0,SUM(S4:S30),"")</f>
        <v>4.2857142857142858E-2</v>
      </c>
      <c r="T31" s="554">
        <f t="shared" si="51"/>
        <v>0.14285714285714285</v>
      </c>
      <c r="U31" s="554">
        <f t="shared" si="51"/>
        <v>0.15714285714285714</v>
      </c>
      <c r="V31" s="554">
        <f t="shared" si="51"/>
        <v>0.20000000000000004</v>
      </c>
      <c r="W31" s="554">
        <f t="shared" si="51"/>
        <v>0.12857142857142859</v>
      </c>
      <c r="X31" s="554">
        <f t="shared" si="51"/>
        <v>8.5714285714285715E-2</v>
      </c>
      <c r="Y31" s="554">
        <f t="shared" si="51"/>
        <v>0.1142857142857143</v>
      </c>
      <c r="Z31" s="554">
        <f t="shared" si="51"/>
        <v>8.5714285714285715E-2</v>
      </c>
      <c r="AA31" s="554">
        <f t="shared" si="51"/>
        <v>1.4285714285714285E-2</v>
      </c>
      <c r="AB31" s="548">
        <f t="shared" si="51"/>
        <v>2.8571428571428571E-2</v>
      </c>
      <c r="AC31" s="510">
        <f>SUM(S4:AB30)</f>
        <v>0.99999999999999889</v>
      </c>
    </row>
    <row r="32" spans="1:93" ht="18" thickBot="1" x14ac:dyDescent="0.25">
      <c r="D32" s="785" t="s">
        <v>221</v>
      </c>
      <c r="E32" s="786"/>
      <c r="F32" s="786"/>
      <c r="G32" s="786"/>
      <c r="H32" s="786"/>
      <c r="I32" s="786"/>
      <c r="J32" s="786"/>
      <c r="K32" s="786"/>
      <c r="L32" s="786"/>
      <c r="M32" s="787"/>
      <c r="Q32" s="516"/>
      <c r="S32" s="785" t="s">
        <v>222</v>
      </c>
      <c r="T32" s="786"/>
      <c r="U32" s="786"/>
      <c r="V32" s="786"/>
      <c r="W32" s="786"/>
      <c r="X32" s="786"/>
      <c r="Y32" s="786"/>
      <c r="Z32" s="786"/>
      <c r="AA32" s="786"/>
      <c r="AB32" s="787"/>
      <c r="AC32" s="509"/>
    </row>
    <row r="34" spans="63:64" x14ac:dyDescent="0.2">
      <c r="BK34" s="683">
        <f>SUM(BO21:CA30)</f>
        <v>2395.6571428571424</v>
      </c>
      <c r="BL34" s="682"/>
    </row>
    <row r="36" spans="63:64" x14ac:dyDescent="0.2">
      <c r="BL36" s="681">
        <f>SUMPRODUCT(AH3:BH3,AH3:BH3,AH14:BH14)</f>
        <v>2176369</v>
      </c>
    </row>
  </sheetData>
  <mergeCells count="26">
    <mergeCell ref="BO3:CB3"/>
    <mergeCell ref="BO19:CA19"/>
    <mergeCell ref="BM19:BN20"/>
    <mergeCell ref="BM21:BM30"/>
    <mergeCell ref="AD4:AD30"/>
    <mergeCell ref="D32:M32"/>
    <mergeCell ref="S32:AB32"/>
    <mergeCell ref="AH30:BH30"/>
    <mergeCell ref="BJ4:BJ13"/>
    <mergeCell ref="BJ19:BJ28"/>
    <mergeCell ref="AF19:AF28"/>
    <mergeCell ref="BM3:BN4"/>
    <mergeCell ref="BM5:BM14"/>
    <mergeCell ref="B2:C3"/>
    <mergeCell ref="D2:M2"/>
    <mergeCell ref="Q2:R3"/>
    <mergeCell ref="S2:AB2"/>
    <mergeCell ref="B4:B30"/>
    <mergeCell ref="O4:O30"/>
    <mergeCell ref="Q4:Q30"/>
    <mergeCell ref="AF2:AG3"/>
    <mergeCell ref="AH2:BH2"/>
    <mergeCell ref="AF4:AF13"/>
    <mergeCell ref="AF17:AG18"/>
    <mergeCell ref="AH17:BH17"/>
    <mergeCell ref="AH15:BH15"/>
  </mergeCells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61"/>
  <sheetViews>
    <sheetView topLeftCell="AE27" workbookViewId="0">
      <selection activeCell="AF35" sqref="AF35:BJ61"/>
    </sheetView>
  </sheetViews>
  <sheetFormatPr baseColWidth="10" defaultColWidth="11.42578125" defaultRowHeight="14.25" x14ac:dyDescent="0.2"/>
  <cols>
    <col min="1" max="1" width="14.5703125" style="515" customWidth="1"/>
    <col min="2" max="2" width="6.7109375" style="516" customWidth="1"/>
    <col min="3" max="3" width="6.7109375" style="517" customWidth="1"/>
    <col min="4" max="14" width="6.7109375" style="509" customWidth="1"/>
    <col min="15" max="15" width="6.7109375" style="517" customWidth="1"/>
    <col min="16" max="16" width="10.7109375" style="517" customWidth="1"/>
    <col min="17" max="30" width="6.7109375" style="517" customWidth="1"/>
    <col min="31" max="31" width="11.42578125" style="517"/>
    <col min="32" max="32" width="6.7109375" style="517" customWidth="1"/>
    <col min="33" max="33" width="8" style="517" customWidth="1"/>
    <col min="34" max="60" width="4.7109375" style="517" customWidth="1"/>
    <col min="61" max="61" width="5.7109375" style="605" customWidth="1"/>
    <col min="62" max="62" width="4.7109375" style="517" customWidth="1"/>
    <col min="63" max="63" width="11.42578125" style="517"/>
    <col min="64" max="65" width="6.7109375" style="517" customWidth="1"/>
    <col min="66" max="92" width="4.7109375" style="517" customWidth="1"/>
    <col min="93" max="93" width="6.7109375" style="517" customWidth="1"/>
    <col min="94" max="16384" width="11.42578125" style="517"/>
  </cols>
  <sheetData>
    <row r="1" spans="1:62" ht="15" thickBot="1" x14ac:dyDescent="0.25"/>
    <row r="2" spans="1:62" ht="15" customHeight="1" x14ac:dyDescent="0.25">
      <c r="B2" s="782" t="s">
        <v>224</v>
      </c>
      <c r="C2" s="793"/>
      <c r="D2" s="796" t="s">
        <v>39</v>
      </c>
      <c r="E2" s="792"/>
      <c r="F2" s="792"/>
      <c r="G2" s="792"/>
      <c r="H2" s="792"/>
      <c r="I2" s="792"/>
      <c r="J2" s="792"/>
      <c r="K2" s="792"/>
      <c r="L2" s="792"/>
      <c r="M2" s="797"/>
      <c r="Q2" s="782" t="s">
        <v>225</v>
      </c>
      <c r="R2" s="793"/>
      <c r="S2" s="796" t="s">
        <v>39</v>
      </c>
      <c r="T2" s="792"/>
      <c r="U2" s="792"/>
      <c r="V2" s="792"/>
      <c r="W2" s="792"/>
      <c r="X2" s="792"/>
      <c r="Y2" s="792"/>
      <c r="Z2" s="792"/>
      <c r="AA2" s="792"/>
      <c r="AB2" s="797"/>
      <c r="AC2" s="509"/>
      <c r="AF2" s="801" t="s">
        <v>226</v>
      </c>
      <c r="AG2" s="802"/>
      <c r="AH2" s="801" t="s">
        <v>38</v>
      </c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  <c r="AV2" s="805"/>
      <c r="AW2" s="805"/>
      <c r="AX2" s="805"/>
      <c r="AY2" s="805"/>
      <c r="AZ2" s="805"/>
      <c r="BA2" s="805"/>
      <c r="BB2" s="805"/>
      <c r="BC2" s="805"/>
      <c r="BD2" s="805"/>
      <c r="BE2" s="805"/>
      <c r="BF2" s="805"/>
      <c r="BG2" s="805"/>
      <c r="BH2" s="806"/>
      <c r="BI2" s="606"/>
      <c r="BJ2" s="504"/>
    </row>
    <row r="3" spans="1:62" s="509" customFormat="1" ht="15.75" thickBot="1" x14ac:dyDescent="0.3">
      <c r="B3" s="794"/>
      <c r="C3" s="795"/>
      <c r="D3" s="537">
        <v>19</v>
      </c>
      <c r="E3" s="538">
        <v>20</v>
      </c>
      <c r="F3" s="538">
        <v>21</v>
      </c>
      <c r="G3" s="538">
        <v>22</v>
      </c>
      <c r="H3" s="538">
        <v>23</v>
      </c>
      <c r="I3" s="538">
        <v>24</v>
      </c>
      <c r="J3" s="538">
        <v>25</v>
      </c>
      <c r="K3" s="538">
        <v>26</v>
      </c>
      <c r="L3" s="538">
        <v>27</v>
      </c>
      <c r="M3" s="530">
        <v>28</v>
      </c>
      <c r="Q3" s="794"/>
      <c r="R3" s="795"/>
      <c r="S3" s="537">
        <v>19</v>
      </c>
      <c r="T3" s="538">
        <v>20</v>
      </c>
      <c r="U3" s="538">
        <v>21</v>
      </c>
      <c r="V3" s="538">
        <v>22</v>
      </c>
      <c r="W3" s="538">
        <v>23</v>
      </c>
      <c r="X3" s="538">
        <v>24</v>
      </c>
      <c r="Y3" s="538">
        <v>25</v>
      </c>
      <c r="Z3" s="538">
        <v>26</v>
      </c>
      <c r="AA3" s="538">
        <v>27</v>
      </c>
      <c r="AB3" s="530">
        <v>28</v>
      </c>
      <c r="AF3" s="803"/>
      <c r="AG3" s="804"/>
      <c r="AH3" s="587">
        <v>155</v>
      </c>
      <c r="AI3" s="588">
        <v>160</v>
      </c>
      <c r="AJ3" s="588">
        <v>161</v>
      </c>
      <c r="AK3" s="588">
        <v>163</v>
      </c>
      <c r="AL3" s="588">
        <v>164</v>
      </c>
      <c r="AM3" s="588">
        <v>165</v>
      </c>
      <c r="AN3" s="588">
        <v>168</v>
      </c>
      <c r="AO3" s="588">
        <v>169</v>
      </c>
      <c r="AP3" s="588">
        <v>170</v>
      </c>
      <c r="AQ3" s="588">
        <v>171</v>
      </c>
      <c r="AR3" s="588">
        <v>172</v>
      </c>
      <c r="AS3" s="588">
        <v>173</v>
      </c>
      <c r="AT3" s="588">
        <v>174</v>
      </c>
      <c r="AU3" s="588">
        <v>175</v>
      </c>
      <c r="AV3" s="588">
        <v>176</v>
      </c>
      <c r="AW3" s="588">
        <v>178</v>
      </c>
      <c r="AX3" s="588">
        <v>180</v>
      </c>
      <c r="AY3" s="588">
        <v>182</v>
      </c>
      <c r="AZ3" s="588">
        <v>183</v>
      </c>
      <c r="BA3" s="588">
        <v>184</v>
      </c>
      <c r="BB3" s="588">
        <v>185</v>
      </c>
      <c r="BC3" s="588">
        <v>187</v>
      </c>
      <c r="BD3" s="588">
        <v>188</v>
      </c>
      <c r="BE3" s="588">
        <v>189</v>
      </c>
      <c r="BF3" s="588">
        <v>190</v>
      </c>
      <c r="BG3" s="588">
        <v>193</v>
      </c>
      <c r="BH3" s="580">
        <v>195</v>
      </c>
      <c r="BI3" s="607"/>
      <c r="BJ3" s="505"/>
    </row>
    <row r="4" spans="1:62" ht="15" customHeight="1" x14ac:dyDescent="0.25">
      <c r="A4" s="517"/>
      <c r="B4" s="798" t="s">
        <v>38</v>
      </c>
      <c r="C4" s="532">
        <v>155</v>
      </c>
      <c r="D4" s="539" t="s">
        <v>177</v>
      </c>
      <c r="E4" s="540" t="s">
        <v>177</v>
      </c>
      <c r="F4" s="540" t="s">
        <v>177</v>
      </c>
      <c r="G4" s="540" t="s">
        <v>177</v>
      </c>
      <c r="H4" s="540">
        <v>1</v>
      </c>
      <c r="I4" s="540" t="s">
        <v>177</v>
      </c>
      <c r="J4" s="540" t="s">
        <v>177</v>
      </c>
      <c r="K4" s="540" t="s">
        <v>177</v>
      </c>
      <c r="L4" s="540" t="s">
        <v>177</v>
      </c>
      <c r="M4" s="568" t="s">
        <v>177</v>
      </c>
      <c r="N4" s="533">
        <v>1</v>
      </c>
      <c r="O4" s="779" t="s">
        <v>220</v>
      </c>
      <c r="Q4" s="782" t="s">
        <v>38</v>
      </c>
      <c r="R4" s="532">
        <v>155</v>
      </c>
      <c r="S4" s="549" t="str">
        <f t="shared" ref="S4:AB29" si="0">IF(D4&lt;&gt;"",D4/$N$31,"")</f>
        <v/>
      </c>
      <c r="T4" s="550" t="str">
        <f t="shared" si="0"/>
        <v/>
      </c>
      <c r="U4" s="550" t="str">
        <f t="shared" si="0"/>
        <v/>
      </c>
      <c r="V4" s="550" t="str">
        <f t="shared" si="0"/>
        <v/>
      </c>
      <c r="W4" s="550">
        <f t="shared" si="0"/>
        <v>1.4285714285714285E-2</v>
      </c>
      <c r="X4" s="550" t="str">
        <f t="shared" si="0"/>
        <v/>
      </c>
      <c r="Y4" s="550" t="str">
        <f t="shared" si="0"/>
        <v/>
      </c>
      <c r="Z4" s="550" t="str">
        <f t="shared" si="0"/>
        <v/>
      </c>
      <c r="AA4" s="550" t="str">
        <f t="shared" si="0"/>
        <v/>
      </c>
      <c r="AB4" s="562" t="str">
        <f t="shared" si="0"/>
        <v/>
      </c>
      <c r="AC4" s="546">
        <f t="shared" ref="AC4:AC30" si="1">IF(SUM(S4:AB4)&gt;0,SUM(S4:AB4),"")</f>
        <v>1.4285714285714285E-2</v>
      </c>
      <c r="AD4" s="779" t="s">
        <v>223</v>
      </c>
      <c r="AF4" s="801" t="s">
        <v>39</v>
      </c>
      <c r="AG4" s="581">
        <v>19</v>
      </c>
      <c r="AH4" s="589" t="s">
        <v>177</v>
      </c>
      <c r="AI4" s="590">
        <v>1</v>
      </c>
      <c r="AJ4" s="590" t="s">
        <v>177</v>
      </c>
      <c r="AK4" s="590" t="s">
        <v>177</v>
      </c>
      <c r="AL4" s="590" t="s">
        <v>177</v>
      </c>
      <c r="AM4" s="590" t="s">
        <v>177</v>
      </c>
      <c r="AN4" s="590">
        <v>1</v>
      </c>
      <c r="AO4" s="590" t="s">
        <v>177</v>
      </c>
      <c r="AP4" s="590" t="s">
        <v>177</v>
      </c>
      <c r="AQ4" s="590" t="s">
        <v>177</v>
      </c>
      <c r="AR4" s="590" t="s">
        <v>177</v>
      </c>
      <c r="AS4" s="590" t="s">
        <v>177</v>
      </c>
      <c r="AT4" s="590" t="s">
        <v>177</v>
      </c>
      <c r="AU4" s="590" t="s">
        <v>177</v>
      </c>
      <c r="AV4" s="590" t="s">
        <v>177</v>
      </c>
      <c r="AW4" s="590" t="s">
        <v>177</v>
      </c>
      <c r="AX4" s="590" t="s">
        <v>177</v>
      </c>
      <c r="AY4" s="590">
        <v>1</v>
      </c>
      <c r="AZ4" s="590" t="s">
        <v>177</v>
      </c>
      <c r="BA4" s="590" t="s">
        <v>177</v>
      </c>
      <c r="BB4" s="590" t="s">
        <v>177</v>
      </c>
      <c r="BC4" s="590" t="s">
        <v>177</v>
      </c>
      <c r="BD4" s="590" t="s">
        <v>177</v>
      </c>
      <c r="BE4" s="590" t="s">
        <v>177</v>
      </c>
      <c r="BF4" s="590" t="s">
        <v>177</v>
      </c>
      <c r="BG4" s="590" t="s">
        <v>177</v>
      </c>
      <c r="BH4" s="574" t="s">
        <v>177</v>
      </c>
      <c r="BI4" s="608">
        <v>3</v>
      </c>
      <c r="BJ4" s="813" t="s">
        <v>227</v>
      </c>
    </row>
    <row r="5" spans="1:62" ht="15" x14ac:dyDescent="0.25">
      <c r="A5" s="517"/>
      <c r="B5" s="799"/>
      <c r="C5" s="555">
        <v>160</v>
      </c>
      <c r="D5" s="556">
        <v>1</v>
      </c>
      <c r="E5" s="557" t="s">
        <v>177</v>
      </c>
      <c r="F5" s="557">
        <v>1</v>
      </c>
      <c r="G5" s="557">
        <v>1</v>
      </c>
      <c r="H5" s="557">
        <v>1</v>
      </c>
      <c r="I5" s="557">
        <v>1</v>
      </c>
      <c r="J5" s="557" t="s">
        <v>177</v>
      </c>
      <c r="K5" s="557" t="s">
        <v>177</v>
      </c>
      <c r="L5" s="557" t="s">
        <v>177</v>
      </c>
      <c r="M5" s="569" t="s">
        <v>177</v>
      </c>
      <c r="N5" s="558">
        <v>5</v>
      </c>
      <c r="O5" s="780"/>
      <c r="Q5" s="783"/>
      <c r="R5" s="555">
        <v>160</v>
      </c>
      <c r="S5" s="559">
        <f t="shared" si="0"/>
        <v>1.4285714285714285E-2</v>
      </c>
      <c r="T5" s="560" t="str">
        <f t="shared" si="0"/>
        <v/>
      </c>
      <c r="U5" s="560">
        <f t="shared" si="0"/>
        <v>1.4285714285714285E-2</v>
      </c>
      <c r="V5" s="560">
        <f t="shared" si="0"/>
        <v>1.4285714285714285E-2</v>
      </c>
      <c r="W5" s="560">
        <f t="shared" si="0"/>
        <v>1.4285714285714285E-2</v>
      </c>
      <c r="X5" s="560">
        <f t="shared" si="0"/>
        <v>1.4285714285714285E-2</v>
      </c>
      <c r="Y5" s="560" t="str">
        <f t="shared" si="0"/>
        <v/>
      </c>
      <c r="Z5" s="560" t="str">
        <f t="shared" si="0"/>
        <v/>
      </c>
      <c r="AA5" s="560" t="str">
        <f t="shared" si="0"/>
        <v/>
      </c>
      <c r="AB5" s="563" t="str">
        <f t="shared" si="0"/>
        <v/>
      </c>
      <c r="AC5" s="561">
        <f t="shared" si="1"/>
        <v>7.1428571428571425E-2</v>
      </c>
      <c r="AD5" s="780"/>
      <c r="AF5" s="807"/>
      <c r="AG5" s="582">
        <v>20</v>
      </c>
      <c r="AH5" s="591" t="s">
        <v>177</v>
      </c>
      <c r="AI5" s="592" t="s">
        <v>177</v>
      </c>
      <c r="AJ5" s="592" t="s">
        <v>177</v>
      </c>
      <c r="AK5" s="592">
        <v>2</v>
      </c>
      <c r="AL5" s="592" t="s">
        <v>177</v>
      </c>
      <c r="AM5" s="592" t="s">
        <v>177</v>
      </c>
      <c r="AN5" s="592" t="s">
        <v>177</v>
      </c>
      <c r="AO5" s="592" t="s">
        <v>177</v>
      </c>
      <c r="AP5" s="592">
        <v>1</v>
      </c>
      <c r="AQ5" s="592" t="s">
        <v>177</v>
      </c>
      <c r="AR5" s="592" t="s">
        <v>177</v>
      </c>
      <c r="AS5" s="592" t="s">
        <v>177</v>
      </c>
      <c r="AT5" s="592">
        <v>1</v>
      </c>
      <c r="AU5" s="592" t="s">
        <v>177</v>
      </c>
      <c r="AV5" s="592" t="s">
        <v>177</v>
      </c>
      <c r="AW5" s="592" t="s">
        <v>177</v>
      </c>
      <c r="AX5" s="592">
        <v>1</v>
      </c>
      <c r="AY5" s="592">
        <v>1</v>
      </c>
      <c r="AZ5" s="592">
        <v>2</v>
      </c>
      <c r="BA5" s="592" t="s">
        <v>177</v>
      </c>
      <c r="BB5" s="592">
        <v>1</v>
      </c>
      <c r="BC5" s="592" t="s">
        <v>177</v>
      </c>
      <c r="BD5" s="592" t="s">
        <v>177</v>
      </c>
      <c r="BE5" s="592" t="s">
        <v>177</v>
      </c>
      <c r="BF5" s="592" t="s">
        <v>177</v>
      </c>
      <c r="BG5" s="592" t="s">
        <v>177</v>
      </c>
      <c r="BH5" s="575">
        <v>1</v>
      </c>
      <c r="BI5" s="609">
        <v>10</v>
      </c>
      <c r="BJ5" s="814"/>
    </row>
    <row r="6" spans="1:62" ht="15" x14ac:dyDescent="0.25">
      <c r="A6" s="517"/>
      <c r="B6" s="799"/>
      <c r="C6" s="534">
        <v>161</v>
      </c>
      <c r="D6" s="541" t="s">
        <v>177</v>
      </c>
      <c r="E6" s="509" t="s">
        <v>177</v>
      </c>
      <c r="F6" s="509" t="s">
        <v>177</v>
      </c>
      <c r="G6" s="509">
        <v>1</v>
      </c>
      <c r="H6" s="509" t="s">
        <v>177</v>
      </c>
      <c r="I6" s="509" t="s">
        <v>177</v>
      </c>
      <c r="J6" s="509" t="s">
        <v>177</v>
      </c>
      <c r="K6" s="509" t="s">
        <v>177</v>
      </c>
      <c r="L6" s="509" t="s">
        <v>177</v>
      </c>
      <c r="M6" s="570" t="s">
        <v>177</v>
      </c>
      <c r="N6" s="535">
        <v>1</v>
      </c>
      <c r="O6" s="780"/>
      <c r="Q6" s="783"/>
      <c r="R6" s="534">
        <v>161</v>
      </c>
      <c r="S6" s="551" t="str">
        <f t="shared" si="0"/>
        <v/>
      </c>
      <c r="T6" s="552" t="str">
        <f t="shared" si="0"/>
        <v/>
      </c>
      <c r="U6" s="552" t="str">
        <f t="shared" si="0"/>
        <v/>
      </c>
      <c r="V6" s="552">
        <f t="shared" si="0"/>
        <v>1.4285714285714285E-2</v>
      </c>
      <c r="W6" s="552" t="str">
        <f t="shared" si="0"/>
        <v/>
      </c>
      <c r="X6" s="552" t="str">
        <f t="shared" si="0"/>
        <v/>
      </c>
      <c r="Y6" s="552" t="str">
        <f t="shared" si="0"/>
        <v/>
      </c>
      <c r="Z6" s="552" t="str">
        <f t="shared" si="0"/>
        <v/>
      </c>
      <c r="AA6" s="552" t="str">
        <f t="shared" si="0"/>
        <v/>
      </c>
      <c r="AB6" s="564" t="str">
        <f t="shared" si="0"/>
        <v/>
      </c>
      <c r="AC6" s="547">
        <f t="shared" si="1"/>
        <v>1.4285714285714285E-2</v>
      </c>
      <c r="AD6" s="780"/>
      <c r="AF6" s="807"/>
      <c r="AG6" s="583">
        <v>21</v>
      </c>
      <c r="AH6" s="589" t="s">
        <v>177</v>
      </c>
      <c r="AI6" s="590">
        <v>1</v>
      </c>
      <c r="AJ6" s="590" t="s">
        <v>177</v>
      </c>
      <c r="AK6" s="590">
        <v>1</v>
      </c>
      <c r="AL6" s="590" t="s">
        <v>177</v>
      </c>
      <c r="AM6" s="590">
        <v>1</v>
      </c>
      <c r="AN6" s="590" t="s">
        <v>177</v>
      </c>
      <c r="AO6" s="590" t="s">
        <v>177</v>
      </c>
      <c r="AP6" s="590" t="s">
        <v>177</v>
      </c>
      <c r="AQ6" s="590" t="s">
        <v>177</v>
      </c>
      <c r="AR6" s="590" t="s">
        <v>177</v>
      </c>
      <c r="AS6" s="590">
        <v>1</v>
      </c>
      <c r="AT6" s="590">
        <v>1</v>
      </c>
      <c r="AU6" s="590" t="s">
        <v>177</v>
      </c>
      <c r="AV6" s="590">
        <v>2</v>
      </c>
      <c r="AW6" s="590">
        <v>1</v>
      </c>
      <c r="AX6" s="590" t="s">
        <v>177</v>
      </c>
      <c r="AY6" s="590" t="s">
        <v>177</v>
      </c>
      <c r="AZ6" s="590" t="s">
        <v>177</v>
      </c>
      <c r="BA6" s="590">
        <v>1</v>
      </c>
      <c r="BB6" s="590">
        <v>2</v>
      </c>
      <c r="BC6" s="590" t="s">
        <v>177</v>
      </c>
      <c r="BD6" s="590" t="s">
        <v>177</v>
      </c>
      <c r="BE6" s="590" t="s">
        <v>177</v>
      </c>
      <c r="BF6" s="590" t="s">
        <v>177</v>
      </c>
      <c r="BG6" s="590" t="s">
        <v>177</v>
      </c>
      <c r="BH6" s="574" t="s">
        <v>177</v>
      </c>
      <c r="BI6" s="610">
        <v>11</v>
      </c>
      <c r="BJ6" s="814"/>
    </row>
    <row r="7" spans="1:62" ht="15" x14ac:dyDescent="0.25">
      <c r="A7" s="517"/>
      <c r="B7" s="799"/>
      <c r="C7" s="555">
        <v>163</v>
      </c>
      <c r="D7" s="556" t="s">
        <v>177</v>
      </c>
      <c r="E7" s="557">
        <v>2</v>
      </c>
      <c r="F7" s="557">
        <v>1</v>
      </c>
      <c r="G7" s="557" t="s">
        <v>177</v>
      </c>
      <c r="H7" s="557" t="s">
        <v>177</v>
      </c>
      <c r="I7" s="557" t="s">
        <v>177</v>
      </c>
      <c r="J7" s="557" t="s">
        <v>177</v>
      </c>
      <c r="K7" s="557" t="s">
        <v>177</v>
      </c>
      <c r="L7" s="557" t="s">
        <v>177</v>
      </c>
      <c r="M7" s="569" t="s">
        <v>177</v>
      </c>
      <c r="N7" s="558">
        <v>3</v>
      </c>
      <c r="O7" s="780"/>
      <c r="Q7" s="783"/>
      <c r="R7" s="555">
        <v>163</v>
      </c>
      <c r="S7" s="559" t="str">
        <f t="shared" si="0"/>
        <v/>
      </c>
      <c r="T7" s="560">
        <f t="shared" si="0"/>
        <v>2.8571428571428571E-2</v>
      </c>
      <c r="U7" s="560">
        <f t="shared" si="0"/>
        <v>1.4285714285714285E-2</v>
      </c>
      <c r="V7" s="560" t="str">
        <f t="shared" si="0"/>
        <v/>
      </c>
      <c r="W7" s="560" t="str">
        <f t="shared" si="0"/>
        <v/>
      </c>
      <c r="X7" s="560" t="str">
        <f t="shared" si="0"/>
        <v/>
      </c>
      <c r="Y7" s="560" t="str">
        <f t="shared" si="0"/>
        <v/>
      </c>
      <c r="Z7" s="560" t="str">
        <f t="shared" si="0"/>
        <v/>
      </c>
      <c r="AA7" s="560" t="str">
        <f t="shared" si="0"/>
        <v/>
      </c>
      <c r="AB7" s="563" t="str">
        <f t="shared" si="0"/>
        <v/>
      </c>
      <c r="AC7" s="561">
        <f t="shared" si="1"/>
        <v>4.2857142857142858E-2</v>
      </c>
      <c r="AD7" s="780"/>
      <c r="AF7" s="807"/>
      <c r="AG7" s="582">
        <v>22</v>
      </c>
      <c r="AH7" s="591" t="s">
        <v>177</v>
      </c>
      <c r="AI7" s="592">
        <v>1</v>
      </c>
      <c r="AJ7" s="592">
        <v>1</v>
      </c>
      <c r="AK7" s="592" t="s">
        <v>177</v>
      </c>
      <c r="AL7" s="592" t="s">
        <v>177</v>
      </c>
      <c r="AM7" s="592">
        <v>2</v>
      </c>
      <c r="AN7" s="592" t="s">
        <v>177</v>
      </c>
      <c r="AO7" s="592" t="s">
        <v>177</v>
      </c>
      <c r="AP7" s="592">
        <v>3</v>
      </c>
      <c r="AQ7" s="592" t="s">
        <v>177</v>
      </c>
      <c r="AR7" s="592" t="s">
        <v>177</v>
      </c>
      <c r="AS7" s="592" t="s">
        <v>177</v>
      </c>
      <c r="AT7" s="592">
        <v>1</v>
      </c>
      <c r="AU7" s="592" t="s">
        <v>177</v>
      </c>
      <c r="AV7" s="592" t="s">
        <v>177</v>
      </c>
      <c r="AW7" s="592" t="s">
        <v>177</v>
      </c>
      <c r="AX7" s="592">
        <v>2</v>
      </c>
      <c r="AY7" s="592" t="s">
        <v>177</v>
      </c>
      <c r="AZ7" s="592" t="s">
        <v>177</v>
      </c>
      <c r="BA7" s="592">
        <v>1</v>
      </c>
      <c r="BB7" s="592">
        <v>1</v>
      </c>
      <c r="BC7" s="592">
        <v>1</v>
      </c>
      <c r="BD7" s="592">
        <v>1</v>
      </c>
      <c r="BE7" s="592" t="s">
        <v>177</v>
      </c>
      <c r="BF7" s="592" t="s">
        <v>177</v>
      </c>
      <c r="BG7" s="592" t="s">
        <v>177</v>
      </c>
      <c r="BH7" s="575" t="s">
        <v>177</v>
      </c>
      <c r="BI7" s="609">
        <v>14</v>
      </c>
      <c r="BJ7" s="814"/>
    </row>
    <row r="8" spans="1:62" ht="15" x14ac:dyDescent="0.25">
      <c r="A8" s="517"/>
      <c r="B8" s="799"/>
      <c r="C8" s="534">
        <v>164</v>
      </c>
      <c r="D8" s="541" t="s">
        <v>177</v>
      </c>
      <c r="E8" s="509" t="s">
        <v>177</v>
      </c>
      <c r="F8" s="509" t="s">
        <v>177</v>
      </c>
      <c r="G8" s="509" t="s">
        <v>177</v>
      </c>
      <c r="H8" s="509" t="s">
        <v>177</v>
      </c>
      <c r="I8" s="509" t="s">
        <v>177</v>
      </c>
      <c r="J8" s="509" t="s">
        <v>177</v>
      </c>
      <c r="K8" s="509">
        <v>1</v>
      </c>
      <c r="L8" s="509" t="s">
        <v>177</v>
      </c>
      <c r="M8" s="570" t="s">
        <v>177</v>
      </c>
      <c r="N8" s="535">
        <v>1</v>
      </c>
      <c r="O8" s="780"/>
      <c r="Q8" s="783"/>
      <c r="R8" s="534">
        <v>164</v>
      </c>
      <c r="S8" s="551" t="str">
        <f t="shared" si="0"/>
        <v/>
      </c>
      <c r="T8" s="552" t="str">
        <f t="shared" si="0"/>
        <v/>
      </c>
      <c r="U8" s="552" t="str">
        <f t="shared" si="0"/>
        <v/>
      </c>
      <c r="V8" s="552" t="str">
        <f t="shared" si="0"/>
        <v/>
      </c>
      <c r="W8" s="552" t="str">
        <f t="shared" si="0"/>
        <v/>
      </c>
      <c r="X8" s="552" t="str">
        <f t="shared" si="0"/>
        <v/>
      </c>
      <c r="Y8" s="552" t="str">
        <f t="shared" si="0"/>
        <v/>
      </c>
      <c r="Z8" s="552">
        <f t="shared" si="0"/>
        <v>1.4285714285714285E-2</v>
      </c>
      <c r="AA8" s="552" t="str">
        <f t="shared" si="0"/>
        <v/>
      </c>
      <c r="AB8" s="564" t="str">
        <f t="shared" si="0"/>
        <v/>
      </c>
      <c r="AC8" s="547">
        <f t="shared" si="1"/>
        <v>1.4285714285714285E-2</v>
      </c>
      <c r="AD8" s="780"/>
      <c r="AF8" s="807"/>
      <c r="AG8" s="583">
        <v>23</v>
      </c>
      <c r="AH8" s="589">
        <v>1</v>
      </c>
      <c r="AI8" s="590">
        <v>1</v>
      </c>
      <c r="AJ8" s="590" t="s">
        <v>177</v>
      </c>
      <c r="AK8" s="590" t="s">
        <v>177</v>
      </c>
      <c r="AL8" s="590" t="s">
        <v>177</v>
      </c>
      <c r="AM8" s="590" t="s">
        <v>177</v>
      </c>
      <c r="AN8" s="590" t="s">
        <v>177</v>
      </c>
      <c r="AO8" s="590" t="s">
        <v>177</v>
      </c>
      <c r="AP8" s="590">
        <v>1</v>
      </c>
      <c r="AQ8" s="590" t="s">
        <v>177</v>
      </c>
      <c r="AR8" s="590" t="s">
        <v>177</v>
      </c>
      <c r="AS8" s="590" t="s">
        <v>177</v>
      </c>
      <c r="AT8" s="590" t="s">
        <v>177</v>
      </c>
      <c r="AU8" s="590" t="s">
        <v>177</v>
      </c>
      <c r="AV8" s="590">
        <v>2</v>
      </c>
      <c r="AW8" s="590">
        <v>1</v>
      </c>
      <c r="AX8" s="590" t="s">
        <v>177</v>
      </c>
      <c r="AY8" s="590" t="s">
        <v>177</v>
      </c>
      <c r="AZ8" s="590" t="s">
        <v>177</v>
      </c>
      <c r="BA8" s="590" t="s">
        <v>177</v>
      </c>
      <c r="BB8" s="590">
        <v>1</v>
      </c>
      <c r="BC8" s="590" t="s">
        <v>177</v>
      </c>
      <c r="BD8" s="590" t="s">
        <v>177</v>
      </c>
      <c r="BE8" s="590">
        <v>1</v>
      </c>
      <c r="BF8" s="590" t="s">
        <v>177</v>
      </c>
      <c r="BG8" s="590">
        <v>1</v>
      </c>
      <c r="BH8" s="574" t="s">
        <v>177</v>
      </c>
      <c r="BI8" s="610">
        <v>9</v>
      </c>
      <c r="BJ8" s="814"/>
    </row>
    <row r="9" spans="1:62" ht="15" x14ac:dyDescent="0.25">
      <c r="A9" s="517"/>
      <c r="B9" s="799"/>
      <c r="C9" s="555">
        <v>165</v>
      </c>
      <c r="D9" s="556" t="s">
        <v>177</v>
      </c>
      <c r="E9" s="557" t="s">
        <v>177</v>
      </c>
      <c r="F9" s="557">
        <v>1</v>
      </c>
      <c r="G9" s="557">
        <v>2</v>
      </c>
      <c r="H9" s="557" t="s">
        <v>177</v>
      </c>
      <c r="I9" s="557" t="s">
        <v>177</v>
      </c>
      <c r="J9" s="557" t="s">
        <v>177</v>
      </c>
      <c r="K9" s="557" t="s">
        <v>177</v>
      </c>
      <c r="L9" s="557" t="s">
        <v>177</v>
      </c>
      <c r="M9" s="569" t="s">
        <v>177</v>
      </c>
      <c r="N9" s="558">
        <v>3</v>
      </c>
      <c r="O9" s="780"/>
      <c r="Q9" s="783"/>
      <c r="R9" s="555">
        <v>165</v>
      </c>
      <c r="S9" s="559" t="str">
        <f t="shared" si="0"/>
        <v/>
      </c>
      <c r="T9" s="560" t="str">
        <f t="shared" si="0"/>
        <v/>
      </c>
      <c r="U9" s="560">
        <f t="shared" si="0"/>
        <v>1.4285714285714285E-2</v>
      </c>
      <c r="V9" s="560">
        <f t="shared" si="0"/>
        <v>2.8571428571428571E-2</v>
      </c>
      <c r="W9" s="560" t="str">
        <f t="shared" si="0"/>
        <v/>
      </c>
      <c r="X9" s="560" t="str">
        <f t="shared" si="0"/>
        <v/>
      </c>
      <c r="Y9" s="560" t="str">
        <f t="shared" si="0"/>
        <v/>
      </c>
      <c r="Z9" s="560" t="str">
        <f t="shared" si="0"/>
        <v/>
      </c>
      <c r="AA9" s="560" t="str">
        <f t="shared" si="0"/>
        <v/>
      </c>
      <c r="AB9" s="563" t="str">
        <f t="shared" si="0"/>
        <v/>
      </c>
      <c r="AC9" s="561">
        <f t="shared" si="1"/>
        <v>4.2857142857142858E-2</v>
      </c>
      <c r="AD9" s="780"/>
      <c r="AF9" s="807"/>
      <c r="AG9" s="582">
        <v>24</v>
      </c>
      <c r="AH9" s="591" t="s">
        <v>177</v>
      </c>
      <c r="AI9" s="592">
        <v>1</v>
      </c>
      <c r="AJ9" s="592" t="s">
        <v>177</v>
      </c>
      <c r="AK9" s="592" t="s">
        <v>177</v>
      </c>
      <c r="AL9" s="592" t="s">
        <v>177</v>
      </c>
      <c r="AM9" s="592" t="s">
        <v>177</v>
      </c>
      <c r="AN9" s="592" t="s">
        <v>177</v>
      </c>
      <c r="AO9" s="592" t="s">
        <v>177</v>
      </c>
      <c r="AP9" s="592">
        <v>1</v>
      </c>
      <c r="AQ9" s="592">
        <v>1</v>
      </c>
      <c r="AR9" s="592" t="s">
        <v>177</v>
      </c>
      <c r="AS9" s="592" t="s">
        <v>177</v>
      </c>
      <c r="AT9" s="592" t="s">
        <v>177</v>
      </c>
      <c r="AU9" s="592" t="s">
        <v>177</v>
      </c>
      <c r="AV9" s="592" t="s">
        <v>177</v>
      </c>
      <c r="AW9" s="592" t="s">
        <v>177</v>
      </c>
      <c r="AX9" s="592" t="s">
        <v>177</v>
      </c>
      <c r="AY9" s="592">
        <v>2</v>
      </c>
      <c r="AZ9" s="592">
        <v>1</v>
      </c>
      <c r="BA9" s="592" t="s">
        <v>177</v>
      </c>
      <c r="BB9" s="592" t="s">
        <v>177</v>
      </c>
      <c r="BC9" s="592" t="s">
        <v>177</v>
      </c>
      <c r="BD9" s="592" t="s">
        <v>177</v>
      </c>
      <c r="BE9" s="592" t="s">
        <v>177</v>
      </c>
      <c r="BF9" s="592" t="s">
        <v>177</v>
      </c>
      <c r="BG9" s="592" t="s">
        <v>177</v>
      </c>
      <c r="BH9" s="575" t="s">
        <v>177</v>
      </c>
      <c r="BI9" s="609">
        <v>6</v>
      </c>
      <c r="BJ9" s="814"/>
    </row>
    <row r="10" spans="1:62" ht="15" x14ac:dyDescent="0.25">
      <c r="A10" s="517"/>
      <c r="B10" s="799"/>
      <c r="C10" s="534">
        <v>168</v>
      </c>
      <c r="D10" s="541">
        <v>1</v>
      </c>
      <c r="E10" s="509" t="s">
        <v>177</v>
      </c>
      <c r="F10" s="509" t="s">
        <v>177</v>
      </c>
      <c r="G10" s="509" t="s">
        <v>177</v>
      </c>
      <c r="H10" s="509" t="s">
        <v>177</v>
      </c>
      <c r="I10" s="509" t="s">
        <v>177</v>
      </c>
      <c r="J10" s="509" t="s">
        <v>177</v>
      </c>
      <c r="K10" s="509" t="s">
        <v>177</v>
      </c>
      <c r="L10" s="509" t="s">
        <v>177</v>
      </c>
      <c r="M10" s="570" t="s">
        <v>177</v>
      </c>
      <c r="N10" s="535">
        <v>1</v>
      </c>
      <c r="O10" s="780"/>
      <c r="Q10" s="783"/>
      <c r="R10" s="534">
        <v>168</v>
      </c>
      <c r="S10" s="551">
        <f t="shared" si="0"/>
        <v>1.4285714285714285E-2</v>
      </c>
      <c r="T10" s="552" t="str">
        <f t="shared" si="0"/>
        <v/>
      </c>
      <c r="U10" s="552" t="str">
        <f t="shared" si="0"/>
        <v/>
      </c>
      <c r="V10" s="552" t="str">
        <f t="shared" si="0"/>
        <v/>
      </c>
      <c r="W10" s="552" t="str">
        <f t="shared" si="0"/>
        <v/>
      </c>
      <c r="X10" s="552" t="str">
        <f t="shared" si="0"/>
        <v/>
      </c>
      <c r="Y10" s="552" t="str">
        <f t="shared" si="0"/>
        <v/>
      </c>
      <c r="Z10" s="552" t="str">
        <f t="shared" si="0"/>
        <v/>
      </c>
      <c r="AA10" s="552" t="str">
        <f t="shared" si="0"/>
        <v/>
      </c>
      <c r="AB10" s="564" t="str">
        <f t="shared" si="0"/>
        <v/>
      </c>
      <c r="AC10" s="547">
        <f t="shared" si="1"/>
        <v>1.4285714285714285E-2</v>
      </c>
      <c r="AD10" s="780"/>
      <c r="AF10" s="807"/>
      <c r="AG10" s="583">
        <v>25</v>
      </c>
      <c r="AH10" s="589" t="s">
        <v>177</v>
      </c>
      <c r="AI10" s="590" t="s">
        <v>177</v>
      </c>
      <c r="AJ10" s="590" t="s">
        <v>177</v>
      </c>
      <c r="AK10" s="590" t="s">
        <v>177</v>
      </c>
      <c r="AL10" s="590" t="s">
        <v>177</v>
      </c>
      <c r="AM10" s="590" t="s">
        <v>177</v>
      </c>
      <c r="AN10" s="590" t="s">
        <v>177</v>
      </c>
      <c r="AO10" s="590" t="s">
        <v>177</v>
      </c>
      <c r="AP10" s="590">
        <v>1</v>
      </c>
      <c r="AQ10" s="590" t="s">
        <v>177</v>
      </c>
      <c r="AR10" s="590">
        <v>1</v>
      </c>
      <c r="AS10" s="590" t="s">
        <v>177</v>
      </c>
      <c r="AT10" s="590" t="s">
        <v>177</v>
      </c>
      <c r="AU10" s="590" t="s">
        <v>177</v>
      </c>
      <c r="AV10" s="590">
        <v>2</v>
      </c>
      <c r="AW10" s="590">
        <v>1</v>
      </c>
      <c r="AX10" s="590">
        <v>1</v>
      </c>
      <c r="AY10" s="590" t="s">
        <v>177</v>
      </c>
      <c r="AZ10" s="590">
        <v>1</v>
      </c>
      <c r="BA10" s="590" t="s">
        <v>177</v>
      </c>
      <c r="BB10" s="590" t="s">
        <v>177</v>
      </c>
      <c r="BC10" s="590">
        <v>1</v>
      </c>
      <c r="BD10" s="590" t="s">
        <v>177</v>
      </c>
      <c r="BE10" s="590" t="s">
        <v>177</v>
      </c>
      <c r="BF10" s="590" t="s">
        <v>177</v>
      </c>
      <c r="BG10" s="590" t="s">
        <v>177</v>
      </c>
      <c r="BH10" s="574" t="s">
        <v>177</v>
      </c>
      <c r="BI10" s="610">
        <v>8</v>
      </c>
      <c r="BJ10" s="814"/>
    </row>
    <row r="11" spans="1:62" ht="15" x14ac:dyDescent="0.25">
      <c r="A11" s="517"/>
      <c r="B11" s="799"/>
      <c r="C11" s="555">
        <v>169</v>
      </c>
      <c r="D11" s="556" t="s">
        <v>177</v>
      </c>
      <c r="E11" s="557" t="s">
        <v>177</v>
      </c>
      <c r="F11" s="557" t="s">
        <v>177</v>
      </c>
      <c r="G11" s="557" t="s">
        <v>177</v>
      </c>
      <c r="H11" s="557" t="s">
        <v>177</v>
      </c>
      <c r="I11" s="557" t="s">
        <v>177</v>
      </c>
      <c r="J11" s="557" t="s">
        <v>177</v>
      </c>
      <c r="K11" s="557" t="s">
        <v>177</v>
      </c>
      <c r="L11" s="557" t="s">
        <v>177</v>
      </c>
      <c r="M11" s="569">
        <v>1</v>
      </c>
      <c r="N11" s="558">
        <v>1</v>
      </c>
      <c r="O11" s="780"/>
      <c r="Q11" s="783"/>
      <c r="R11" s="555">
        <v>169</v>
      </c>
      <c r="S11" s="559" t="str">
        <f t="shared" si="0"/>
        <v/>
      </c>
      <c r="T11" s="560" t="str">
        <f t="shared" si="0"/>
        <v/>
      </c>
      <c r="U11" s="560" t="str">
        <f t="shared" si="0"/>
        <v/>
      </c>
      <c r="V11" s="560" t="str">
        <f t="shared" si="0"/>
        <v/>
      </c>
      <c r="W11" s="560" t="str">
        <f t="shared" si="0"/>
        <v/>
      </c>
      <c r="X11" s="560" t="str">
        <f t="shared" si="0"/>
        <v/>
      </c>
      <c r="Y11" s="560" t="str">
        <f t="shared" si="0"/>
        <v/>
      </c>
      <c r="Z11" s="560" t="str">
        <f t="shared" si="0"/>
        <v/>
      </c>
      <c r="AA11" s="560" t="str">
        <f t="shared" si="0"/>
        <v/>
      </c>
      <c r="AB11" s="563">
        <f t="shared" si="0"/>
        <v>1.4285714285714285E-2</v>
      </c>
      <c r="AC11" s="561">
        <f t="shared" si="1"/>
        <v>1.4285714285714285E-2</v>
      </c>
      <c r="AD11" s="780"/>
      <c r="AF11" s="807"/>
      <c r="AG11" s="582">
        <v>26</v>
      </c>
      <c r="AH11" s="591" t="s">
        <v>177</v>
      </c>
      <c r="AI11" s="592" t="s">
        <v>177</v>
      </c>
      <c r="AJ11" s="592" t="s">
        <v>177</v>
      </c>
      <c r="AK11" s="592" t="s">
        <v>177</v>
      </c>
      <c r="AL11" s="592">
        <v>1</v>
      </c>
      <c r="AM11" s="592" t="s">
        <v>177</v>
      </c>
      <c r="AN11" s="592" t="s">
        <v>177</v>
      </c>
      <c r="AO11" s="592" t="s">
        <v>177</v>
      </c>
      <c r="AP11" s="592" t="s">
        <v>177</v>
      </c>
      <c r="AQ11" s="592" t="s">
        <v>177</v>
      </c>
      <c r="AR11" s="592" t="s">
        <v>177</v>
      </c>
      <c r="AS11" s="592" t="s">
        <v>177</v>
      </c>
      <c r="AT11" s="592" t="s">
        <v>177</v>
      </c>
      <c r="AU11" s="592">
        <v>1</v>
      </c>
      <c r="AV11" s="592" t="s">
        <v>177</v>
      </c>
      <c r="AW11" s="592" t="s">
        <v>177</v>
      </c>
      <c r="AX11" s="592" t="s">
        <v>177</v>
      </c>
      <c r="AY11" s="592">
        <v>1</v>
      </c>
      <c r="AZ11" s="592" t="s">
        <v>177</v>
      </c>
      <c r="BA11" s="592">
        <v>1</v>
      </c>
      <c r="BB11" s="592">
        <v>2</v>
      </c>
      <c r="BC11" s="592" t="s">
        <v>177</v>
      </c>
      <c r="BD11" s="592" t="s">
        <v>177</v>
      </c>
      <c r="BE11" s="592" t="s">
        <v>177</v>
      </c>
      <c r="BF11" s="592" t="s">
        <v>177</v>
      </c>
      <c r="BG11" s="592" t="s">
        <v>177</v>
      </c>
      <c r="BH11" s="575" t="s">
        <v>177</v>
      </c>
      <c r="BI11" s="609">
        <v>6</v>
      </c>
      <c r="BJ11" s="814"/>
    </row>
    <row r="12" spans="1:62" ht="15" x14ac:dyDescent="0.25">
      <c r="A12" s="517"/>
      <c r="B12" s="799"/>
      <c r="C12" s="534">
        <v>170</v>
      </c>
      <c r="D12" s="541" t="s">
        <v>177</v>
      </c>
      <c r="E12" s="509">
        <v>1</v>
      </c>
      <c r="F12" s="509" t="s">
        <v>177</v>
      </c>
      <c r="G12" s="509">
        <v>3</v>
      </c>
      <c r="H12" s="509">
        <v>1</v>
      </c>
      <c r="I12" s="509">
        <v>1</v>
      </c>
      <c r="J12" s="509">
        <v>1</v>
      </c>
      <c r="K12" s="509" t="s">
        <v>177</v>
      </c>
      <c r="L12" s="509" t="s">
        <v>177</v>
      </c>
      <c r="M12" s="570" t="s">
        <v>177</v>
      </c>
      <c r="N12" s="535">
        <v>7</v>
      </c>
      <c r="O12" s="780"/>
      <c r="Q12" s="783"/>
      <c r="R12" s="534">
        <v>170</v>
      </c>
      <c r="S12" s="551" t="str">
        <f t="shared" si="0"/>
        <v/>
      </c>
      <c r="T12" s="552">
        <f t="shared" si="0"/>
        <v>1.4285714285714285E-2</v>
      </c>
      <c r="U12" s="552" t="str">
        <f t="shared" si="0"/>
        <v/>
      </c>
      <c r="V12" s="552">
        <f t="shared" si="0"/>
        <v>4.2857142857142858E-2</v>
      </c>
      <c r="W12" s="552">
        <f t="shared" si="0"/>
        <v>1.4285714285714285E-2</v>
      </c>
      <c r="X12" s="552">
        <f t="shared" si="0"/>
        <v>1.4285714285714285E-2</v>
      </c>
      <c r="Y12" s="552">
        <f t="shared" si="0"/>
        <v>1.4285714285714285E-2</v>
      </c>
      <c r="Z12" s="552" t="str">
        <f t="shared" si="0"/>
        <v/>
      </c>
      <c r="AA12" s="552" t="str">
        <f t="shared" si="0"/>
        <v/>
      </c>
      <c r="AB12" s="564" t="str">
        <f t="shared" si="0"/>
        <v/>
      </c>
      <c r="AC12" s="547">
        <f t="shared" si="1"/>
        <v>0.1</v>
      </c>
      <c r="AD12" s="780"/>
      <c r="AF12" s="807"/>
      <c r="AG12" s="583">
        <v>27</v>
      </c>
      <c r="AH12" s="589" t="s">
        <v>177</v>
      </c>
      <c r="AI12" s="590" t="s">
        <v>177</v>
      </c>
      <c r="AJ12" s="590" t="s">
        <v>177</v>
      </c>
      <c r="AK12" s="590" t="s">
        <v>177</v>
      </c>
      <c r="AL12" s="590" t="s">
        <v>177</v>
      </c>
      <c r="AM12" s="590" t="s">
        <v>177</v>
      </c>
      <c r="AN12" s="590" t="s">
        <v>177</v>
      </c>
      <c r="AO12" s="590" t="s">
        <v>177</v>
      </c>
      <c r="AP12" s="590" t="s">
        <v>177</v>
      </c>
      <c r="AQ12" s="590" t="s">
        <v>177</v>
      </c>
      <c r="AR12" s="590" t="s">
        <v>177</v>
      </c>
      <c r="AS12" s="590" t="s">
        <v>177</v>
      </c>
      <c r="AT12" s="590" t="s">
        <v>177</v>
      </c>
      <c r="AU12" s="590" t="s">
        <v>177</v>
      </c>
      <c r="AV12" s="590" t="s">
        <v>177</v>
      </c>
      <c r="AW12" s="590" t="s">
        <v>177</v>
      </c>
      <c r="AX12" s="590" t="s">
        <v>177</v>
      </c>
      <c r="AY12" s="590" t="s">
        <v>177</v>
      </c>
      <c r="AZ12" s="590" t="s">
        <v>177</v>
      </c>
      <c r="BA12" s="590" t="s">
        <v>177</v>
      </c>
      <c r="BB12" s="590" t="s">
        <v>177</v>
      </c>
      <c r="BC12" s="590" t="s">
        <v>177</v>
      </c>
      <c r="BD12" s="590" t="s">
        <v>177</v>
      </c>
      <c r="BE12" s="590" t="s">
        <v>177</v>
      </c>
      <c r="BF12" s="590" t="s">
        <v>177</v>
      </c>
      <c r="BG12" s="590">
        <v>1</v>
      </c>
      <c r="BH12" s="574" t="s">
        <v>177</v>
      </c>
      <c r="BI12" s="610">
        <v>1</v>
      </c>
      <c r="BJ12" s="814"/>
    </row>
    <row r="13" spans="1:62" ht="15.75" thickBot="1" x14ac:dyDescent="0.3">
      <c r="A13" s="517"/>
      <c r="B13" s="799"/>
      <c r="C13" s="555">
        <v>171</v>
      </c>
      <c r="D13" s="556" t="s">
        <v>177</v>
      </c>
      <c r="E13" s="557" t="s">
        <v>177</v>
      </c>
      <c r="F13" s="557" t="s">
        <v>177</v>
      </c>
      <c r="G13" s="557" t="s">
        <v>177</v>
      </c>
      <c r="H13" s="557" t="s">
        <v>177</v>
      </c>
      <c r="I13" s="557">
        <v>1</v>
      </c>
      <c r="J13" s="557" t="s">
        <v>177</v>
      </c>
      <c r="K13" s="557" t="s">
        <v>177</v>
      </c>
      <c r="L13" s="557" t="s">
        <v>177</v>
      </c>
      <c r="M13" s="569" t="s">
        <v>177</v>
      </c>
      <c r="N13" s="558">
        <v>1</v>
      </c>
      <c r="O13" s="780"/>
      <c r="Q13" s="783"/>
      <c r="R13" s="555">
        <v>171</v>
      </c>
      <c r="S13" s="559" t="str">
        <f t="shared" si="0"/>
        <v/>
      </c>
      <c r="T13" s="560" t="str">
        <f t="shared" si="0"/>
        <v/>
      </c>
      <c r="U13" s="560" t="str">
        <f t="shared" si="0"/>
        <v/>
      </c>
      <c r="V13" s="560" t="str">
        <f t="shared" si="0"/>
        <v/>
      </c>
      <c r="W13" s="560" t="str">
        <f t="shared" si="0"/>
        <v/>
      </c>
      <c r="X13" s="560">
        <f t="shared" si="0"/>
        <v>1.4285714285714285E-2</v>
      </c>
      <c r="Y13" s="560" t="str">
        <f t="shared" si="0"/>
        <v/>
      </c>
      <c r="Z13" s="560" t="str">
        <f t="shared" si="0"/>
        <v/>
      </c>
      <c r="AA13" s="560" t="str">
        <f t="shared" si="0"/>
        <v/>
      </c>
      <c r="AB13" s="563" t="str">
        <f t="shared" si="0"/>
        <v/>
      </c>
      <c r="AC13" s="561">
        <f t="shared" si="1"/>
        <v>1.4285714285714285E-2</v>
      </c>
      <c r="AD13" s="780"/>
      <c r="AF13" s="803"/>
      <c r="AG13" s="584">
        <v>28</v>
      </c>
      <c r="AH13" s="593" t="s">
        <v>177</v>
      </c>
      <c r="AI13" s="594" t="s">
        <v>177</v>
      </c>
      <c r="AJ13" s="594" t="s">
        <v>177</v>
      </c>
      <c r="AK13" s="594" t="s">
        <v>177</v>
      </c>
      <c r="AL13" s="594" t="s">
        <v>177</v>
      </c>
      <c r="AM13" s="594" t="s">
        <v>177</v>
      </c>
      <c r="AN13" s="594" t="s">
        <v>177</v>
      </c>
      <c r="AO13" s="594">
        <v>1</v>
      </c>
      <c r="AP13" s="594" t="s">
        <v>177</v>
      </c>
      <c r="AQ13" s="594" t="s">
        <v>177</v>
      </c>
      <c r="AR13" s="594" t="s">
        <v>177</v>
      </c>
      <c r="AS13" s="594" t="s">
        <v>177</v>
      </c>
      <c r="AT13" s="594" t="s">
        <v>177</v>
      </c>
      <c r="AU13" s="594" t="s">
        <v>177</v>
      </c>
      <c r="AV13" s="594" t="s">
        <v>177</v>
      </c>
      <c r="AW13" s="594" t="s">
        <v>177</v>
      </c>
      <c r="AX13" s="594" t="s">
        <v>177</v>
      </c>
      <c r="AY13" s="594" t="s">
        <v>177</v>
      </c>
      <c r="AZ13" s="594" t="s">
        <v>177</v>
      </c>
      <c r="BA13" s="594" t="s">
        <v>177</v>
      </c>
      <c r="BB13" s="594" t="s">
        <v>177</v>
      </c>
      <c r="BC13" s="594" t="s">
        <v>177</v>
      </c>
      <c r="BD13" s="594" t="s">
        <v>177</v>
      </c>
      <c r="BE13" s="594" t="s">
        <v>177</v>
      </c>
      <c r="BF13" s="594">
        <v>1</v>
      </c>
      <c r="BG13" s="594" t="s">
        <v>177</v>
      </c>
      <c r="BH13" s="576" t="s">
        <v>177</v>
      </c>
      <c r="BI13" s="611">
        <v>2</v>
      </c>
      <c r="BJ13" s="815"/>
    </row>
    <row r="14" spans="1:62" ht="15" x14ac:dyDescent="0.25">
      <c r="A14" s="517"/>
      <c r="B14" s="799"/>
      <c r="C14" s="534">
        <v>172</v>
      </c>
      <c r="D14" s="541" t="s">
        <v>177</v>
      </c>
      <c r="E14" s="509" t="s">
        <v>177</v>
      </c>
      <c r="F14" s="509" t="s">
        <v>177</v>
      </c>
      <c r="G14" s="509" t="s">
        <v>177</v>
      </c>
      <c r="H14" s="509" t="s">
        <v>177</v>
      </c>
      <c r="I14" s="509" t="s">
        <v>177</v>
      </c>
      <c r="J14" s="509">
        <v>1</v>
      </c>
      <c r="K14" s="509" t="s">
        <v>177</v>
      </c>
      <c r="L14" s="509" t="s">
        <v>177</v>
      </c>
      <c r="M14" s="570" t="s">
        <v>177</v>
      </c>
      <c r="N14" s="535">
        <v>1</v>
      </c>
      <c r="O14" s="780"/>
      <c r="Q14" s="783"/>
      <c r="R14" s="534">
        <v>172</v>
      </c>
      <c r="S14" s="551" t="str">
        <f t="shared" si="0"/>
        <v/>
      </c>
      <c r="T14" s="552" t="str">
        <f t="shared" si="0"/>
        <v/>
      </c>
      <c r="U14" s="552" t="str">
        <f t="shared" si="0"/>
        <v/>
      </c>
      <c r="V14" s="552" t="str">
        <f t="shared" si="0"/>
        <v/>
      </c>
      <c r="W14" s="552" t="str">
        <f t="shared" si="0"/>
        <v/>
      </c>
      <c r="X14" s="552" t="str">
        <f t="shared" si="0"/>
        <v/>
      </c>
      <c r="Y14" s="552">
        <f t="shared" si="0"/>
        <v>1.4285714285714285E-2</v>
      </c>
      <c r="Z14" s="552" t="str">
        <f t="shared" si="0"/>
        <v/>
      </c>
      <c r="AA14" s="552" t="str">
        <f t="shared" si="0"/>
        <v/>
      </c>
      <c r="AB14" s="564" t="str">
        <f t="shared" si="0"/>
        <v/>
      </c>
      <c r="AC14" s="547">
        <f t="shared" si="1"/>
        <v>1.4285714285714285E-2</v>
      </c>
      <c r="AD14" s="780"/>
      <c r="AF14" s="505"/>
      <c r="AG14" s="505"/>
      <c r="AH14" s="595">
        <v>1</v>
      </c>
      <c r="AI14" s="596">
        <v>5</v>
      </c>
      <c r="AJ14" s="596">
        <v>1</v>
      </c>
      <c r="AK14" s="596">
        <v>3</v>
      </c>
      <c r="AL14" s="596">
        <v>1</v>
      </c>
      <c r="AM14" s="596">
        <v>3</v>
      </c>
      <c r="AN14" s="596">
        <v>1</v>
      </c>
      <c r="AO14" s="596">
        <v>1</v>
      </c>
      <c r="AP14" s="596">
        <v>7</v>
      </c>
      <c r="AQ14" s="596">
        <v>1</v>
      </c>
      <c r="AR14" s="596">
        <v>1</v>
      </c>
      <c r="AS14" s="596">
        <v>1</v>
      </c>
      <c r="AT14" s="596">
        <v>3</v>
      </c>
      <c r="AU14" s="596">
        <v>1</v>
      </c>
      <c r="AV14" s="596">
        <v>6</v>
      </c>
      <c r="AW14" s="596">
        <v>3</v>
      </c>
      <c r="AX14" s="596">
        <v>4</v>
      </c>
      <c r="AY14" s="596">
        <v>5</v>
      </c>
      <c r="AZ14" s="596">
        <v>4</v>
      </c>
      <c r="BA14" s="596">
        <v>3</v>
      </c>
      <c r="BB14" s="596">
        <v>7</v>
      </c>
      <c r="BC14" s="596">
        <v>2</v>
      </c>
      <c r="BD14" s="596">
        <v>1</v>
      </c>
      <c r="BE14" s="596">
        <v>1</v>
      </c>
      <c r="BF14" s="596">
        <v>1</v>
      </c>
      <c r="BG14" s="596">
        <v>2</v>
      </c>
      <c r="BH14" s="585">
        <v>1</v>
      </c>
      <c r="BI14" s="607">
        <f>SUM(AH4:BH13)</f>
        <v>70</v>
      </c>
      <c r="BJ14" s="504"/>
    </row>
    <row r="15" spans="1:62" ht="17.25" thickBot="1" x14ac:dyDescent="0.3">
      <c r="A15" s="517"/>
      <c r="B15" s="799"/>
      <c r="C15" s="555">
        <v>173</v>
      </c>
      <c r="D15" s="556" t="s">
        <v>177</v>
      </c>
      <c r="E15" s="557" t="s">
        <v>177</v>
      </c>
      <c r="F15" s="557">
        <v>1</v>
      </c>
      <c r="G15" s="557" t="s">
        <v>177</v>
      </c>
      <c r="H15" s="557" t="s">
        <v>177</v>
      </c>
      <c r="I15" s="557" t="s">
        <v>177</v>
      </c>
      <c r="J15" s="557" t="s">
        <v>177</v>
      </c>
      <c r="K15" s="557" t="s">
        <v>177</v>
      </c>
      <c r="L15" s="557" t="s">
        <v>177</v>
      </c>
      <c r="M15" s="569" t="s">
        <v>177</v>
      </c>
      <c r="N15" s="558">
        <v>1</v>
      </c>
      <c r="O15" s="780"/>
      <c r="Q15" s="783"/>
      <c r="R15" s="555">
        <v>173</v>
      </c>
      <c r="S15" s="559" t="str">
        <f t="shared" si="0"/>
        <v/>
      </c>
      <c r="T15" s="560" t="str">
        <f t="shared" si="0"/>
        <v/>
      </c>
      <c r="U15" s="560">
        <f t="shared" si="0"/>
        <v>1.4285714285714285E-2</v>
      </c>
      <c r="V15" s="560" t="str">
        <f t="shared" si="0"/>
        <v/>
      </c>
      <c r="W15" s="560" t="str">
        <f t="shared" si="0"/>
        <v/>
      </c>
      <c r="X15" s="560" t="str">
        <f t="shared" si="0"/>
        <v/>
      </c>
      <c r="Y15" s="560" t="str">
        <f t="shared" si="0"/>
        <v/>
      </c>
      <c r="Z15" s="560" t="str">
        <f t="shared" si="0"/>
        <v/>
      </c>
      <c r="AA15" s="560" t="str">
        <f t="shared" si="0"/>
        <v/>
      </c>
      <c r="AB15" s="563" t="str">
        <f t="shared" si="0"/>
        <v/>
      </c>
      <c r="AC15" s="561">
        <f t="shared" si="1"/>
        <v>1.4285714285714285E-2</v>
      </c>
      <c r="AD15" s="780"/>
      <c r="AF15" s="504"/>
      <c r="AG15" s="504"/>
      <c r="AH15" s="808" t="s">
        <v>228</v>
      </c>
      <c r="AI15" s="809"/>
      <c r="AJ15" s="809"/>
      <c r="AK15" s="809"/>
      <c r="AL15" s="809"/>
      <c r="AM15" s="809"/>
      <c r="AN15" s="809"/>
      <c r="AO15" s="809"/>
      <c r="AP15" s="809"/>
      <c r="AQ15" s="809"/>
      <c r="AR15" s="809"/>
      <c r="AS15" s="809"/>
      <c r="AT15" s="809"/>
      <c r="AU15" s="809"/>
      <c r="AV15" s="809"/>
      <c r="AW15" s="809"/>
      <c r="AX15" s="809"/>
      <c r="AY15" s="809"/>
      <c r="AZ15" s="809"/>
      <c r="BA15" s="809"/>
      <c r="BB15" s="809"/>
      <c r="BC15" s="809"/>
      <c r="BD15" s="809"/>
      <c r="BE15" s="809"/>
      <c r="BF15" s="809"/>
      <c r="BG15" s="809"/>
      <c r="BH15" s="810"/>
      <c r="BI15" s="607"/>
      <c r="BJ15" s="504"/>
    </row>
    <row r="16" spans="1:62" ht="15.75" thickBot="1" x14ac:dyDescent="0.3">
      <c r="A16" s="517"/>
      <c r="B16" s="799"/>
      <c r="C16" s="534">
        <v>174</v>
      </c>
      <c r="D16" s="541" t="s">
        <v>177</v>
      </c>
      <c r="E16" s="509">
        <v>1</v>
      </c>
      <c r="F16" s="509">
        <v>1</v>
      </c>
      <c r="G16" s="509">
        <v>1</v>
      </c>
      <c r="H16" s="509" t="s">
        <v>177</v>
      </c>
      <c r="I16" s="509" t="s">
        <v>177</v>
      </c>
      <c r="J16" s="509" t="s">
        <v>177</v>
      </c>
      <c r="K16" s="509" t="s">
        <v>177</v>
      </c>
      <c r="L16" s="509" t="s">
        <v>177</v>
      </c>
      <c r="M16" s="570" t="s">
        <v>177</v>
      </c>
      <c r="N16" s="535">
        <v>3</v>
      </c>
      <c r="O16" s="780"/>
      <c r="Q16" s="783"/>
      <c r="R16" s="534">
        <v>174</v>
      </c>
      <c r="S16" s="551" t="str">
        <f t="shared" si="0"/>
        <v/>
      </c>
      <c r="T16" s="552">
        <f t="shared" si="0"/>
        <v>1.4285714285714285E-2</v>
      </c>
      <c r="U16" s="552">
        <f t="shared" si="0"/>
        <v>1.4285714285714285E-2</v>
      </c>
      <c r="V16" s="552">
        <f t="shared" si="0"/>
        <v>1.4285714285714285E-2</v>
      </c>
      <c r="W16" s="552" t="str">
        <f t="shared" si="0"/>
        <v/>
      </c>
      <c r="X16" s="552" t="str">
        <f t="shared" si="0"/>
        <v/>
      </c>
      <c r="Y16" s="552" t="str">
        <f t="shared" si="0"/>
        <v/>
      </c>
      <c r="Z16" s="552" t="str">
        <f t="shared" si="0"/>
        <v/>
      </c>
      <c r="AA16" s="552" t="str">
        <f t="shared" si="0"/>
        <v/>
      </c>
      <c r="AB16" s="564" t="str">
        <f t="shared" si="0"/>
        <v/>
      </c>
      <c r="AC16" s="547">
        <f t="shared" si="1"/>
        <v>4.2857142857142858E-2</v>
      </c>
      <c r="AD16" s="780"/>
      <c r="AF16" s="504"/>
      <c r="AG16" s="504"/>
      <c r="AH16" s="504"/>
      <c r="AI16" s="504"/>
      <c r="AJ16" s="504"/>
      <c r="AK16" s="504"/>
      <c r="AL16" s="504"/>
      <c r="AM16" s="504"/>
      <c r="AN16" s="504"/>
      <c r="AO16" s="504"/>
      <c r="AP16" s="504"/>
      <c r="AQ16" s="504"/>
      <c r="AR16" s="504"/>
      <c r="AS16" s="504"/>
      <c r="AT16" s="504"/>
      <c r="AU16" s="504"/>
      <c r="AV16" s="504"/>
      <c r="AW16" s="504"/>
      <c r="AX16" s="504"/>
      <c r="AY16" s="504"/>
      <c r="AZ16" s="504"/>
      <c r="BA16" s="504"/>
      <c r="BB16" s="504"/>
      <c r="BC16" s="504"/>
      <c r="BD16" s="504"/>
      <c r="BE16" s="504"/>
      <c r="BF16" s="504"/>
      <c r="BG16" s="504"/>
      <c r="BH16" s="504"/>
      <c r="BI16" s="607"/>
      <c r="BJ16" s="504"/>
    </row>
    <row r="17" spans="1:62" ht="15" x14ac:dyDescent="0.25">
      <c r="A17" s="517"/>
      <c r="B17" s="799"/>
      <c r="C17" s="555">
        <v>175</v>
      </c>
      <c r="D17" s="556" t="s">
        <v>177</v>
      </c>
      <c r="E17" s="557" t="s">
        <v>177</v>
      </c>
      <c r="F17" s="557" t="s">
        <v>177</v>
      </c>
      <c r="G17" s="557" t="s">
        <v>177</v>
      </c>
      <c r="H17" s="557" t="s">
        <v>177</v>
      </c>
      <c r="I17" s="557" t="s">
        <v>177</v>
      </c>
      <c r="J17" s="557" t="s">
        <v>177</v>
      </c>
      <c r="K17" s="557">
        <v>1</v>
      </c>
      <c r="L17" s="557" t="s">
        <v>177</v>
      </c>
      <c r="M17" s="569" t="s">
        <v>177</v>
      </c>
      <c r="N17" s="558">
        <v>1</v>
      </c>
      <c r="O17" s="780"/>
      <c r="Q17" s="783"/>
      <c r="R17" s="555">
        <v>175</v>
      </c>
      <c r="S17" s="559" t="str">
        <f t="shared" si="0"/>
        <v/>
      </c>
      <c r="T17" s="560" t="str">
        <f t="shared" si="0"/>
        <v/>
      </c>
      <c r="U17" s="560" t="str">
        <f t="shared" si="0"/>
        <v/>
      </c>
      <c r="V17" s="560" t="str">
        <f t="shared" si="0"/>
        <v/>
      </c>
      <c r="W17" s="560" t="str">
        <f t="shared" si="0"/>
        <v/>
      </c>
      <c r="X17" s="560" t="str">
        <f t="shared" si="0"/>
        <v/>
      </c>
      <c r="Y17" s="560" t="str">
        <f t="shared" si="0"/>
        <v/>
      </c>
      <c r="Z17" s="560">
        <f t="shared" si="0"/>
        <v>1.4285714285714285E-2</v>
      </c>
      <c r="AA17" s="560" t="str">
        <f t="shared" si="0"/>
        <v/>
      </c>
      <c r="AB17" s="563" t="str">
        <f t="shared" si="0"/>
        <v/>
      </c>
      <c r="AC17" s="561">
        <f t="shared" si="1"/>
        <v>1.4285714285714285E-2</v>
      </c>
      <c r="AD17" s="780"/>
      <c r="AF17" s="801" t="s">
        <v>229</v>
      </c>
      <c r="AG17" s="802"/>
      <c r="AH17" s="801" t="s">
        <v>38</v>
      </c>
      <c r="AI17" s="805"/>
      <c r="AJ17" s="805"/>
      <c r="AK17" s="805"/>
      <c r="AL17" s="805"/>
      <c r="AM17" s="805"/>
      <c r="AN17" s="805"/>
      <c r="AO17" s="805"/>
      <c r="AP17" s="805"/>
      <c r="AQ17" s="805"/>
      <c r="AR17" s="805"/>
      <c r="AS17" s="805"/>
      <c r="AT17" s="805"/>
      <c r="AU17" s="805"/>
      <c r="AV17" s="805"/>
      <c r="AW17" s="805"/>
      <c r="AX17" s="805"/>
      <c r="AY17" s="805"/>
      <c r="AZ17" s="805"/>
      <c r="BA17" s="805"/>
      <c r="BB17" s="805"/>
      <c r="BC17" s="805"/>
      <c r="BD17" s="805"/>
      <c r="BE17" s="805"/>
      <c r="BF17" s="805"/>
      <c r="BG17" s="805"/>
      <c r="BH17" s="806"/>
      <c r="BI17" s="606"/>
      <c r="BJ17" s="504"/>
    </row>
    <row r="18" spans="1:62" ht="15.75" thickBot="1" x14ac:dyDescent="0.3">
      <c r="A18" s="517"/>
      <c r="B18" s="799"/>
      <c r="C18" s="534">
        <v>176</v>
      </c>
      <c r="D18" s="541" t="s">
        <v>177</v>
      </c>
      <c r="E18" s="509" t="s">
        <v>177</v>
      </c>
      <c r="F18" s="509">
        <v>2</v>
      </c>
      <c r="G18" s="509" t="s">
        <v>177</v>
      </c>
      <c r="H18" s="509">
        <v>2</v>
      </c>
      <c r="I18" s="509" t="s">
        <v>177</v>
      </c>
      <c r="J18" s="509">
        <v>2</v>
      </c>
      <c r="K18" s="509" t="s">
        <v>177</v>
      </c>
      <c r="L18" s="509" t="s">
        <v>177</v>
      </c>
      <c r="M18" s="570" t="s">
        <v>177</v>
      </c>
      <c r="N18" s="535">
        <v>6</v>
      </c>
      <c r="O18" s="780"/>
      <c r="Q18" s="783"/>
      <c r="R18" s="534">
        <v>176</v>
      </c>
      <c r="S18" s="551" t="str">
        <f t="shared" si="0"/>
        <v/>
      </c>
      <c r="T18" s="552" t="str">
        <f t="shared" si="0"/>
        <v/>
      </c>
      <c r="U18" s="552">
        <f t="shared" si="0"/>
        <v>2.8571428571428571E-2</v>
      </c>
      <c r="V18" s="552" t="str">
        <f t="shared" si="0"/>
        <v/>
      </c>
      <c r="W18" s="552">
        <f t="shared" si="0"/>
        <v>2.8571428571428571E-2</v>
      </c>
      <c r="X18" s="552" t="str">
        <f t="shared" si="0"/>
        <v/>
      </c>
      <c r="Y18" s="552">
        <f t="shared" si="0"/>
        <v>2.8571428571428571E-2</v>
      </c>
      <c r="Z18" s="552" t="str">
        <f t="shared" si="0"/>
        <v/>
      </c>
      <c r="AA18" s="552" t="str">
        <f t="shared" si="0"/>
        <v/>
      </c>
      <c r="AB18" s="564" t="str">
        <f t="shared" si="0"/>
        <v/>
      </c>
      <c r="AC18" s="547">
        <f t="shared" si="1"/>
        <v>8.5714285714285715E-2</v>
      </c>
      <c r="AD18" s="780"/>
      <c r="AF18" s="803"/>
      <c r="AG18" s="804"/>
      <c r="AH18" s="587">
        <v>155</v>
      </c>
      <c r="AI18" s="588">
        <v>160</v>
      </c>
      <c r="AJ18" s="588">
        <v>161</v>
      </c>
      <c r="AK18" s="588">
        <v>163</v>
      </c>
      <c r="AL18" s="588">
        <v>164</v>
      </c>
      <c r="AM18" s="588">
        <v>165</v>
      </c>
      <c r="AN18" s="588">
        <v>168</v>
      </c>
      <c r="AO18" s="588">
        <v>169</v>
      </c>
      <c r="AP18" s="588">
        <v>170</v>
      </c>
      <c r="AQ18" s="588">
        <v>171</v>
      </c>
      <c r="AR18" s="588">
        <v>172</v>
      </c>
      <c r="AS18" s="588">
        <v>173</v>
      </c>
      <c r="AT18" s="588">
        <v>174</v>
      </c>
      <c r="AU18" s="588">
        <v>175</v>
      </c>
      <c r="AV18" s="588">
        <v>176</v>
      </c>
      <c r="AW18" s="588">
        <v>178</v>
      </c>
      <c r="AX18" s="588">
        <v>180</v>
      </c>
      <c r="AY18" s="588">
        <v>182</v>
      </c>
      <c r="AZ18" s="588">
        <v>183</v>
      </c>
      <c r="BA18" s="588">
        <v>184</v>
      </c>
      <c r="BB18" s="588">
        <v>185</v>
      </c>
      <c r="BC18" s="588">
        <v>187</v>
      </c>
      <c r="BD18" s="588">
        <v>188</v>
      </c>
      <c r="BE18" s="588">
        <v>189</v>
      </c>
      <c r="BF18" s="588">
        <v>190</v>
      </c>
      <c r="BG18" s="588">
        <v>193</v>
      </c>
      <c r="BH18" s="580">
        <v>195</v>
      </c>
      <c r="BI18" s="607"/>
      <c r="BJ18" s="504"/>
    </row>
    <row r="19" spans="1:62" ht="15" x14ac:dyDescent="0.25">
      <c r="A19" s="517"/>
      <c r="B19" s="799"/>
      <c r="C19" s="555">
        <v>178</v>
      </c>
      <c r="D19" s="556" t="s">
        <v>177</v>
      </c>
      <c r="E19" s="557" t="s">
        <v>177</v>
      </c>
      <c r="F19" s="557">
        <v>1</v>
      </c>
      <c r="G19" s="557" t="s">
        <v>177</v>
      </c>
      <c r="H19" s="557">
        <v>1</v>
      </c>
      <c r="I19" s="557" t="s">
        <v>177</v>
      </c>
      <c r="J19" s="557">
        <v>1</v>
      </c>
      <c r="K19" s="557" t="s">
        <v>177</v>
      </c>
      <c r="L19" s="557" t="s">
        <v>177</v>
      </c>
      <c r="M19" s="569" t="s">
        <v>177</v>
      </c>
      <c r="N19" s="558">
        <v>3</v>
      </c>
      <c r="O19" s="780"/>
      <c r="Q19" s="783"/>
      <c r="R19" s="555">
        <v>178</v>
      </c>
      <c r="S19" s="559" t="str">
        <f t="shared" si="0"/>
        <v/>
      </c>
      <c r="T19" s="560" t="str">
        <f t="shared" si="0"/>
        <v/>
      </c>
      <c r="U19" s="560">
        <f t="shared" si="0"/>
        <v>1.4285714285714285E-2</v>
      </c>
      <c r="V19" s="560" t="str">
        <f t="shared" si="0"/>
        <v/>
      </c>
      <c r="W19" s="560">
        <f t="shared" si="0"/>
        <v>1.4285714285714285E-2</v>
      </c>
      <c r="X19" s="560" t="str">
        <f t="shared" si="0"/>
        <v/>
      </c>
      <c r="Y19" s="560">
        <f t="shared" si="0"/>
        <v>1.4285714285714285E-2</v>
      </c>
      <c r="Z19" s="560" t="str">
        <f t="shared" si="0"/>
        <v/>
      </c>
      <c r="AA19" s="560" t="str">
        <f t="shared" si="0"/>
        <v/>
      </c>
      <c r="AB19" s="563" t="str">
        <f t="shared" si="0"/>
        <v/>
      </c>
      <c r="AC19" s="561">
        <f t="shared" si="1"/>
        <v>4.2857142857142858E-2</v>
      </c>
      <c r="AD19" s="780"/>
      <c r="AF19" s="801" t="s">
        <v>39</v>
      </c>
      <c r="AG19" s="581">
        <v>19</v>
      </c>
      <c r="AH19" s="597" t="str">
        <f t="shared" ref="AH19:BH28" si="2">IF(AH4&lt;&gt;"",AH4/$BI$14,"")</f>
        <v/>
      </c>
      <c r="AI19" s="598">
        <f t="shared" si="2"/>
        <v>1.4285714285714285E-2</v>
      </c>
      <c r="AJ19" s="598" t="str">
        <f t="shared" si="2"/>
        <v/>
      </c>
      <c r="AK19" s="598" t="str">
        <f t="shared" si="2"/>
        <v/>
      </c>
      <c r="AL19" s="598" t="str">
        <f t="shared" si="2"/>
        <v/>
      </c>
      <c r="AM19" s="598" t="str">
        <f t="shared" si="2"/>
        <v/>
      </c>
      <c r="AN19" s="598">
        <f t="shared" si="2"/>
        <v>1.4285714285714285E-2</v>
      </c>
      <c r="AO19" s="598" t="str">
        <f t="shared" si="2"/>
        <v/>
      </c>
      <c r="AP19" s="598" t="str">
        <f t="shared" si="2"/>
        <v/>
      </c>
      <c r="AQ19" s="598" t="str">
        <f t="shared" si="2"/>
        <v/>
      </c>
      <c r="AR19" s="598" t="str">
        <f t="shared" si="2"/>
        <v/>
      </c>
      <c r="AS19" s="598" t="str">
        <f t="shared" si="2"/>
        <v/>
      </c>
      <c r="AT19" s="598" t="str">
        <f t="shared" si="2"/>
        <v/>
      </c>
      <c r="AU19" s="598" t="str">
        <f t="shared" si="2"/>
        <v/>
      </c>
      <c r="AV19" s="598" t="str">
        <f t="shared" si="2"/>
        <v/>
      </c>
      <c r="AW19" s="598" t="str">
        <f t="shared" si="2"/>
        <v/>
      </c>
      <c r="AX19" s="598" t="str">
        <f t="shared" si="2"/>
        <v/>
      </c>
      <c r="AY19" s="598">
        <f t="shared" si="2"/>
        <v>1.4285714285714285E-2</v>
      </c>
      <c r="AZ19" s="598" t="str">
        <f t="shared" si="2"/>
        <v/>
      </c>
      <c r="BA19" s="598" t="str">
        <f t="shared" si="2"/>
        <v/>
      </c>
      <c r="BB19" s="598" t="str">
        <f t="shared" si="2"/>
        <v/>
      </c>
      <c r="BC19" s="598" t="str">
        <f t="shared" si="2"/>
        <v/>
      </c>
      <c r="BD19" s="598" t="str">
        <f t="shared" si="2"/>
        <v/>
      </c>
      <c r="BE19" s="598" t="str">
        <f t="shared" si="2"/>
        <v/>
      </c>
      <c r="BF19" s="598" t="str">
        <f t="shared" si="2"/>
        <v/>
      </c>
      <c r="BG19" s="598" t="str">
        <f t="shared" si="2"/>
        <v/>
      </c>
      <c r="BH19" s="577" t="str">
        <f t="shared" si="2"/>
        <v/>
      </c>
      <c r="BI19" s="612">
        <f t="shared" ref="BI19:BI28" si="3">IF(SUM(AH19:BH19)&gt;0,SUM(AH19:BH19),"")</f>
        <v>4.2857142857142858E-2</v>
      </c>
      <c r="BJ19" s="813" t="s">
        <v>230</v>
      </c>
    </row>
    <row r="20" spans="1:62" ht="14.25" customHeight="1" x14ac:dyDescent="0.25">
      <c r="A20" s="517"/>
      <c r="B20" s="799"/>
      <c r="C20" s="534">
        <v>180</v>
      </c>
      <c r="D20" s="541" t="s">
        <v>177</v>
      </c>
      <c r="E20" s="509">
        <v>1</v>
      </c>
      <c r="F20" s="509" t="s">
        <v>177</v>
      </c>
      <c r="G20" s="509">
        <v>2</v>
      </c>
      <c r="H20" s="509" t="s">
        <v>177</v>
      </c>
      <c r="I20" s="509" t="s">
        <v>177</v>
      </c>
      <c r="J20" s="509">
        <v>1</v>
      </c>
      <c r="K20" s="509" t="s">
        <v>177</v>
      </c>
      <c r="L20" s="509" t="s">
        <v>177</v>
      </c>
      <c r="M20" s="570" t="s">
        <v>177</v>
      </c>
      <c r="N20" s="535">
        <v>4</v>
      </c>
      <c r="O20" s="780"/>
      <c r="Q20" s="783"/>
      <c r="R20" s="534">
        <v>180</v>
      </c>
      <c r="S20" s="551" t="str">
        <f t="shared" si="0"/>
        <v/>
      </c>
      <c r="T20" s="552">
        <f t="shared" si="0"/>
        <v>1.4285714285714285E-2</v>
      </c>
      <c r="U20" s="552" t="str">
        <f t="shared" si="0"/>
        <v/>
      </c>
      <c r="V20" s="552">
        <f t="shared" si="0"/>
        <v>2.8571428571428571E-2</v>
      </c>
      <c r="W20" s="552" t="str">
        <f t="shared" si="0"/>
        <v/>
      </c>
      <c r="X20" s="552" t="str">
        <f t="shared" si="0"/>
        <v/>
      </c>
      <c r="Y20" s="552">
        <f t="shared" si="0"/>
        <v>1.4285714285714285E-2</v>
      </c>
      <c r="Z20" s="552" t="str">
        <f t="shared" si="0"/>
        <v/>
      </c>
      <c r="AA20" s="552" t="str">
        <f t="shared" si="0"/>
        <v/>
      </c>
      <c r="AB20" s="564" t="str">
        <f t="shared" si="0"/>
        <v/>
      </c>
      <c r="AC20" s="547">
        <f t="shared" si="1"/>
        <v>5.7142857142857141E-2</v>
      </c>
      <c r="AD20" s="780"/>
      <c r="AF20" s="807"/>
      <c r="AG20" s="582">
        <v>20</v>
      </c>
      <c r="AH20" s="599" t="str">
        <f t="shared" si="2"/>
        <v/>
      </c>
      <c r="AI20" s="600" t="str">
        <f t="shared" si="2"/>
        <v/>
      </c>
      <c r="AJ20" s="600" t="str">
        <f t="shared" si="2"/>
        <v/>
      </c>
      <c r="AK20" s="600">
        <f t="shared" si="2"/>
        <v>2.8571428571428571E-2</v>
      </c>
      <c r="AL20" s="600" t="str">
        <f t="shared" si="2"/>
        <v/>
      </c>
      <c r="AM20" s="600" t="str">
        <f t="shared" si="2"/>
        <v/>
      </c>
      <c r="AN20" s="600" t="str">
        <f t="shared" si="2"/>
        <v/>
      </c>
      <c r="AO20" s="600" t="str">
        <f t="shared" si="2"/>
        <v/>
      </c>
      <c r="AP20" s="600">
        <f t="shared" si="2"/>
        <v>1.4285714285714285E-2</v>
      </c>
      <c r="AQ20" s="600" t="str">
        <f t="shared" si="2"/>
        <v/>
      </c>
      <c r="AR20" s="600" t="str">
        <f t="shared" si="2"/>
        <v/>
      </c>
      <c r="AS20" s="600" t="str">
        <f t="shared" si="2"/>
        <v/>
      </c>
      <c r="AT20" s="600">
        <f t="shared" si="2"/>
        <v>1.4285714285714285E-2</v>
      </c>
      <c r="AU20" s="600" t="str">
        <f t="shared" si="2"/>
        <v/>
      </c>
      <c r="AV20" s="600" t="str">
        <f t="shared" si="2"/>
        <v/>
      </c>
      <c r="AW20" s="600" t="str">
        <f t="shared" si="2"/>
        <v/>
      </c>
      <c r="AX20" s="600">
        <f t="shared" si="2"/>
        <v>1.4285714285714285E-2</v>
      </c>
      <c r="AY20" s="600">
        <f t="shared" si="2"/>
        <v>1.4285714285714285E-2</v>
      </c>
      <c r="AZ20" s="600">
        <f t="shared" si="2"/>
        <v>2.8571428571428571E-2</v>
      </c>
      <c r="BA20" s="600" t="str">
        <f t="shared" si="2"/>
        <v/>
      </c>
      <c r="BB20" s="600">
        <f t="shared" si="2"/>
        <v>1.4285714285714285E-2</v>
      </c>
      <c r="BC20" s="600" t="str">
        <f t="shared" si="2"/>
        <v/>
      </c>
      <c r="BD20" s="600" t="str">
        <f t="shared" si="2"/>
        <v/>
      </c>
      <c r="BE20" s="600" t="str">
        <f t="shared" si="2"/>
        <v/>
      </c>
      <c r="BF20" s="600" t="str">
        <f t="shared" si="2"/>
        <v/>
      </c>
      <c r="BG20" s="600" t="str">
        <f t="shared" si="2"/>
        <v/>
      </c>
      <c r="BH20" s="578">
        <f t="shared" si="2"/>
        <v>1.4285714285714285E-2</v>
      </c>
      <c r="BI20" s="613">
        <f t="shared" si="3"/>
        <v>0.14285714285714285</v>
      </c>
      <c r="BJ20" s="814"/>
    </row>
    <row r="21" spans="1:62" ht="14.25" customHeight="1" x14ac:dyDescent="0.25">
      <c r="A21" s="517"/>
      <c r="B21" s="799"/>
      <c r="C21" s="555">
        <v>182</v>
      </c>
      <c r="D21" s="556">
        <v>1</v>
      </c>
      <c r="E21" s="557">
        <v>1</v>
      </c>
      <c r="F21" s="557" t="s">
        <v>177</v>
      </c>
      <c r="G21" s="557" t="s">
        <v>177</v>
      </c>
      <c r="H21" s="557" t="s">
        <v>177</v>
      </c>
      <c r="I21" s="557">
        <v>2</v>
      </c>
      <c r="J21" s="557" t="s">
        <v>177</v>
      </c>
      <c r="K21" s="557">
        <v>1</v>
      </c>
      <c r="L21" s="557" t="s">
        <v>177</v>
      </c>
      <c r="M21" s="569" t="s">
        <v>177</v>
      </c>
      <c r="N21" s="558">
        <v>5</v>
      </c>
      <c r="O21" s="780"/>
      <c r="Q21" s="783"/>
      <c r="R21" s="555">
        <v>182</v>
      </c>
      <c r="S21" s="559">
        <f t="shared" si="0"/>
        <v>1.4285714285714285E-2</v>
      </c>
      <c r="T21" s="560">
        <f t="shared" si="0"/>
        <v>1.4285714285714285E-2</v>
      </c>
      <c r="U21" s="560" t="str">
        <f t="shared" si="0"/>
        <v/>
      </c>
      <c r="V21" s="560" t="str">
        <f t="shared" si="0"/>
        <v/>
      </c>
      <c r="W21" s="560" t="str">
        <f t="shared" si="0"/>
        <v/>
      </c>
      <c r="X21" s="560">
        <f t="shared" si="0"/>
        <v>2.8571428571428571E-2</v>
      </c>
      <c r="Y21" s="560" t="str">
        <f t="shared" si="0"/>
        <v/>
      </c>
      <c r="Z21" s="560">
        <f t="shared" si="0"/>
        <v>1.4285714285714285E-2</v>
      </c>
      <c r="AA21" s="560" t="str">
        <f t="shared" si="0"/>
        <v/>
      </c>
      <c r="AB21" s="563" t="str">
        <f t="shared" si="0"/>
        <v/>
      </c>
      <c r="AC21" s="561">
        <f t="shared" si="1"/>
        <v>7.1428571428571425E-2</v>
      </c>
      <c r="AD21" s="780"/>
      <c r="AF21" s="807"/>
      <c r="AG21" s="583">
        <v>21</v>
      </c>
      <c r="AH21" s="597" t="str">
        <f t="shared" si="2"/>
        <v/>
      </c>
      <c r="AI21" s="598">
        <f t="shared" si="2"/>
        <v>1.4285714285714285E-2</v>
      </c>
      <c r="AJ21" s="598" t="str">
        <f t="shared" si="2"/>
        <v/>
      </c>
      <c r="AK21" s="598">
        <f t="shared" si="2"/>
        <v>1.4285714285714285E-2</v>
      </c>
      <c r="AL21" s="598" t="str">
        <f t="shared" si="2"/>
        <v/>
      </c>
      <c r="AM21" s="598">
        <f t="shared" si="2"/>
        <v>1.4285714285714285E-2</v>
      </c>
      <c r="AN21" s="598" t="str">
        <f t="shared" si="2"/>
        <v/>
      </c>
      <c r="AO21" s="598" t="str">
        <f t="shared" si="2"/>
        <v/>
      </c>
      <c r="AP21" s="598" t="str">
        <f t="shared" si="2"/>
        <v/>
      </c>
      <c r="AQ21" s="598" t="str">
        <f t="shared" si="2"/>
        <v/>
      </c>
      <c r="AR21" s="598" t="str">
        <f t="shared" si="2"/>
        <v/>
      </c>
      <c r="AS21" s="598">
        <f t="shared" si="2"/>
        <v>1.4285714285714285E-2</v>
      </c>
      <c r="AT21" s="598">
        <f t="shared" si="2"/>
        <v>1.4285714285714285E-2</v>
      </c>
      <c r="AU21" s="598" t="str">
        <f t="shared" si="2"/>
        <v/>
      </c>
      <c r="AV21" s="598">
        <f t="shared" si="2"/>
        <v>2.8571428571428571E-2</v>
      </c>
      <c r="AW21" s="598">
        <f t="shared" si="2"/>
        <v>1.4285714285714285E-2</v>
      </c>
      <c r="AX21" s="598" t="str">
        <f t="shared" si="2"/>
        <v/>
      </c>
      <c r="AY21" s="598" t="str">
        <f t="shared" si="2"/>
        <v/>
      </c>
      <c r="AZ21" s="598" t="str">
        <f t="shared" si="2"/>
        <v/>
      </c>
      <c r="BA21" s="598">
        <f t="shared" si="2"/>
        <v>1.4285714285714285E-2</v>
      </c>
      <c r="BB21" s="598">
        <f t="shared" si="2"/>
        <v>2.8571428571428571E-2</v>
      </c>
      <c r="BC21" s="598" t="str">
        <f t="shared" si="2"/>
        <v/>
      </c>
      <c r="BD21" s="598" t="str">
        <f t="shared" si="2"/>
        <v/>
      </c>
      <c r="BE21" s="598" t="str">
        <f t="shared" si="2"/>
        <v/>
      </c>
      <c r="BF21" s="598" t="str">
        <f t="shared" si="2"/>
        <v/>
      </c>
      <c r="BG21" s="598" t="str">
        <f t="shared" si="2"/>
        <v/>
      </c>
      <c r="BH21" s="577" t="str">
        <f t="shared" si="2"/>
        <v/>
      </c>
      <c r="BI21" s="614">
        <f t="shared" si="3"/>
        <v>0.15714285714285714</v>
      </c>
      <c r="BJ21" s="814"/>
    </row>
    <row r="22" spans="1:62" ht="14.25" customHeight="1" x14ac:dyDescent="0.25">
      <c r="A22" s="517"/>
      <c r="B22" s="799"/>
      <c r="C22" s="534">
        <v>183</v>
      </c>
      <c r="D22" s="541" t="s">
        <v>177</v>
      </c>
      <c r="E22" s="509">
        <v>2</v>
      </c>
      <c r="F22" s="509" t="s">
        <v>177</v>
      </c>
      <c r="G22" s="509" t="s">
        <v>177</v>
      </c>
      <c r="H22" s="509" t="s">
        <v>177</v>
      </c>
      <c r="I22" s="509">
        <v>1</v>
      </c>
      <c r="J22" s="509">
        <v>1</v>
      </c>
      <c r="K22" s="509" t="s">
        <v>177</v>
      </c>
      <c r="L22" s="509" t="s">
        <v>177</v>
      </c>
      <c r="M22" s="570" t="s">
        <v>177</v>
      </c>
      <c r="N22" s="535">
        <v>4</v>
      </c>
      <c r="O22" s="780"/>
      <c r="Q22" s="783"/>
      <c r="R22" s="534">
        <v>183</v>
      </c>
      <c r="S22" s="551" t="str">
        <f t="shared" si="0"/>
        <v/>
      </c>
      <c r="T22" s="552">
        <f t="shared" si="0"/>
        <v>2.8571428571428571E-2</v>
      </c>
      <c r="U22" s="552" t="str">
        <f t="shared" si="0"/>
        <v/>
      </c>
      <c r="V22" s="552" t="str">
        <f t="shared" si="0"/>
        <v/>
      </c>
      <c r="W22" s="552" t="str">
        <f t="shared" si="0"/>
        <v/>
      </c>
      <c r="X22" s="552">
        <f t="shared" si="0"/>
        <v>1.4285714285714285E-2</v>
      </c>
      <c r="Y22" s="552">
        <f t="shared" si="0"/>
        <v>1.4285714285714285E-2</v>
      </c>
      <c r="Z22" s="552" t="str">
        <f t="shared" si="0"/>
        <v/>
      </c>
      <c r="AA22" s="552" t="str">
        <f t="shared" si="0"/>
        <v/>
      </c>
      <c r="AB22" s="564" t="str">
        <f t="shared" si="0"/>
        <v/>
      </c>
      <c r="AC22" s="547">
        <f t="shared" si="1"/>
        <v>5.7142857142857141E-2</v>
      </c>
      <c r="AD22" s="780"/>
      <c r="AF22" s="807"/>
      <c r="AG22" s="582">
        <v>22</v>
      </c>
      <c r="AH22" s="599" t="str">
        <f t="shared" si="2"/>
        <v/>
      </c>
      <c r="AI22" s="600">
        <f t="shared" si="2"/>
        <v>1.4285714285714285E-2</v>
      </c>
      <c r="AJ22" s="600">
        <f t="shared" si="2"/>
        <v>1.4285714285714285E-2</v>
      </c>
      <c r="AK22" s="600" t="str">
        <f t="shared" si="2"/>
        <v/>
      </c>
      <c r="AL22" s="600" t="str">
        <f t="shared" si="2"/>
        <v/>
      </c>
      <c r="AM22" s="600">
        <f t="shared" si="2"/>
        <v>2.8571428571428571E-2</v>
      </c>
      <c r="AN22" s="600" t="str">
        <f t="shared" si="2"/>
        <v/>
      </c>
      <c r="AO22" s="600" t="str">
        <f t="shared" si="2"/>
        <v/>
      </c>
      <c r="AP22" s="600">
        <f t="shared" si="2"/>
        <v>4.2857142857142858E-2</v>
      </c>
      <c r="AQ22" s="600" t="str">
        <f t="shared" si="2"/>
        <v/>
      </c>
      <c r="AR22" s="600" t="str">
        <f t="shared" si="2"/>
        <v/>
      </c>
      <c r="AS22" s="600" t="str">
        <f t="shared" si="2"/>
        <v/>
      </c>
      <c r="AT22" s="600">
        <f t="shared" si="2"/>
        <v>1.4285714285714285E-2</v>
      </c>
      <c r="AU22" s="600" t="str">
        <f t="shared" si="2"/>
        <v/>
      </c>
      <c r="AV22" s="600" t="str">
        <f t="shared" si="2"/>
        <v/>
      </c>
      <c r="AW22" s="600" t="str">
        <f t="shared" si="2"/>
        <v/>
      </c>
      <c r="AX22" s="600">
        <f t="shared" si="2"/>
        <v>2.8571428571428571E-2</v>
      </c>
      <c r="AY22" s="600" t="str">
        <f t="shared" si="2"/>
        <v/>
      </c>
      <c r="AZ22" s="600" t="str">
        <f t="shared" si="2"/>
        <v/>
      </c>
      <c r="BA22" s="600">
        <f t="shared" si="2"/>
        <v>1.4285714285714285E-2</v>
      </c>
      <c r="BB22" s="600">
        <f t="shared" si="2"/>
        <v>1.4285714285714285E-2</v>
      </c>
      <c r="BC22" s="600">
        <f t="shared" si="2"/>
        <v>1.4285714285714285E-2</v>
      </c>
      <c r="BD22" s="600">
        <f t="shared" si="2"/>
        <v>1.4285714285714285E-2</v>
      </c>
      <c r="BE22" s="600" t="str">
        <f t="shared" si="2"/>
        <v/>
      </c>
      <c r="BF22" s="600" t="str">
        <f t="shared" si="2"/>
        <v/>
      </c>
      <c r="BG22" s="600" t="str">
        <f t="shared" si="2"/>
        <v/>
      </c>
      <c r="BH22" s="578" t="str">
        <f t="shared" si="2"/>
        <v/>
      </c>
      <c r="BI22" s="613">
        <f t="shared" si="3"/>
        <v>0.20000000000000004</v>
      </c>
      <c r="BJ22" s="814"/>
    </row>
    <row r="23" spans="1:62" ht="14.25" customHeight="1" x14ac:dyDescent="0.2">
      <c r="B23" s="799"/>
      <c r="C23" s="555">
        <v>184</v>
      </c>
      <c r="D23" s="556" t="s">
        <v>177</v>
      </c>
      <c r="E23" s="557" t="s">
        <v>177</v>
      </c>
      <c r="F23" s="557">
        <v>1</v>
      </c>
      <c r="G23" s="557">
        <v>1</v>
      </c>
      <c r="H23" s="557" t="s">
        <v>177</v>
      </c>
      <c r="I23" s="557" t="s">
        <v>177</v>
      </c>
      <c r="J23" s="557" t="s">
        <v>177</v>
      </c>
      <c r="K23" s="557">
        <v>1</v>
      </c>
      <c r="L23" s="557" t="s">
        <v>177</v>
      </c>
      <c r="M23" s="569" t="s">
        <v>177</v>
      </c>
      <c r="N23" s="558">
        <v>3</v>
      </c>
      <c r="O23" s="780"/>
      <c r="Q23" s="783"/>
      <c r="R23" s="555">
        <v>184</v>
      </c>
      <c r="S23" s="559" t="str">
        <f t="shared" si="0"/>
        <v/>
      </c>
      <c r="T23" s="560" t="str">
        <f t="shared" si="0"/>
        <v/>
      </c>
      <c r="U23" s="560">
        <f t="shared" si="0"/>
        <v>1.4285714285714285E-2</v>
      </c>
      <c r="V23" s="560">
        <f t="shared" si="0"/>
        <v>1.4285714285714285E-2</v>
      </c>
      <c r="W23" s="560" t="str">
        <f t="shared" si="0"/>
        <v/>
      </c>
      <c r="X23" s="560" t="str">
        <f t="shared" si="0"/>
        <v/>
      </c>
      <c r="Y23" s="560" t="str">
        <f t="shared" si="0"/>
        <v/>
      </c>
      <c r="Z23" s="560">
        <f t="shared" si="0"/>
        <v>1.4285714285714285E-2</v>
      </c>
      <c r="AA23" s="560" t="str">
        <f t="shared" si="0"/>
        <v/>
      </c>
      <c r="AB23" s="563" t="str">
        <f t="shared" si="0"/>
        <v/>
      </c>
      <c r="AC23" s="561">
        <f t="shared" si="1"/>
        <v>4.2857142857142858E-2</v>
      </c>
      <c r="AD23" s="780"/>
      <c r="AF23" s="807"/>
      <c r="AG23" s="583">
        <v>23</v>
      </c>
      <c r="AH23" s="597">
        <f t="shared" si="2"/>
        <v>1.4285714285714285E-2</v>
      </c>
      <c r="AI23" s="598">
        <f t="shared" si="2"/>
        <v>1.4285714285714285E-2</v>
      </c>
      <c r="AJ23" s="598" t="str">
        <f t="shared" si="2"/>
        <v/>
      </c>
      <c r="AK23" s="598" t="str">
        <f t="shared" si="2"/>
        <v/>
      </c>
      <c r="AL23" s="598" t="str">
        <f t="shared" si="2"/>
        <v/>
      </c>
      <c r="AM23" s="598" t="str">
        <f t="shared" si="2"/>
        <v/>
      </c>
      <c r="AN23" s="598" t="str">
        <f t="shared" si="2"/>
        <v/>
      </c>
      <c r="AO23" s="598" t="str">
        <f t="shared" si="2"/>
        <v/>
      </c>
      <c r="AP23" s="598">
        <f t="shared" si="2"/>
        <v>1.4285714285714285E-2</v>
      </c>
      <c r="AQ23" s="598" t="str">
        <f t="shared" si="2"/>
        <v/>
      </c>
      <c r="AR23" s="598" t="str">
        <f t="shared" si="2"/>
        <v/>
      </c>
      <c r="AS23" s="598" t="str">
        <f t="shared" si="2"/>
        <v/>
      </c>
      <c r="AT23" s="598" t="str">
        <f t="shared" si="2"/>
        <v/>
      </c>
      <c r="AU23" s="598" t="str">
        <f t="shared" si="2"/>
        <v/>
      </c>
      <c r="AV23" s="598">
        <f t="shared" si="2"/>
        <v>2.8571428571428571E-2</v>
      </c>
      <c r="AW23" s="598">
        <f t="shared" si="2"/>
        <v>1.4285714285714285E-2</v>
      </c>
      <c r="AX23" s="598" t="str">
        <f t="shared" si="2"/>
        <v/>
      </c>
      <c r="AY23" s="598" t="str">
        <f t="shared" si="2"/>
        <v/>
      </c>
      <c r="AZ23" s="598" t="str">
        <f t="shared" si="2"/>
        <v/>
      </c>
      <c r="BA23" s="598" t="str">
        <f t="shared" si="2"/>
        <v/>
      </c>
      <c r="BB23" s="598">
        <f t="shared" si="2"/>
        <v>1.4285714285714285E-2</v>
      </c>
      <c r="BC23" s="598" t="str">
        <f t="shared" si="2"/>
        <v/>
      </c>
      <c r="BD23" s="598" t="str">
        <f t="shared" si="2"/>
        <v/>
      </c>
      <c r="BE23" s="598">
        <f t="shared" si="2"/>
        <v>1.4285714285714285E-2</v>
      </c>
      <c r="BF23" s="598" t="str">
        <f t="shared" si="2"/>
        <v/>
      </c>
      <c r="BG23" s="598">
        <f t="shared" si="2"/>
        <v>1.4285714285714285E-2</v>
      </c>
      <c r="BH23" s="577" t="str">
        <f t="shared" si="2"/>
        <v/>
      </c>
      <c r="BI23" s="614">
        <f t="shared" si="3"/>
        <v>0.12857142857142859</v>
      </c>
      <c r="BJ23" s="814"/>
    </row>
    <row r="24" spans="1:62" ht="15" customHeight="1" x14ac:dyDescent="0.2">
      <c r="B24" s="799"/>
      <c r="C24" s="534">
        <v>185</v>
      </c>
      <c r="D24" s="541" t="s">
        <v>177</v>
      </c>
      <c r="E24" s="509">
        <v>1</v>
      </c>
      <c r="F24" s="509">
        <v>2</v>
      </c>
      <c r="G24" s="509">
        <v>1</v>
      </c>
      <c r="H24" s="509">
        <v>1</v>
      </c>
      <c r="I24" s="509" t="s">
        <v>177</v>
      </c>
      <c r="J24" s="509" t="s">
        <v>177</v>
      </c>
      <c r="K24" s="509">
        <v>2</v>
      </c>
      <c r="L24" s="509" t="s">
        <v>177</v>
      </c>
      <c r="M24" s="570" t="s">
        <v>177</v>
      </c>
      <c r="N24" s="535">
        <v>7</v>
      </c>
      <c r="O24" s="780"/>
      <c r="Q24" s="783"/>
      <c r="R24" s="534">
        <v>185</v>
      </c>
      <c r="S24" s="551" t="str">
        <f t="shared" si="0"/>
        <v/>
      </c>
      <c r="T24" s="552">
        <f t="shared" si="0"/>
        <v>1.4285714285714285E-2</v>
      </c>
      <c r="U24" s="552">
        <f t="shared" si="0"/>
        <v>2.8571428571428571E-2</v>
      </c>
      <c r="V24" s="552">
        <f t="shared" si="0"/>
        <v>1.4285714285714285E-2</v>
      </c>
      <c r="W24" s="552">
        <f t="shared" si="0"/>
        <v>1.4285714285714285E-2</v>
      </c>
      <c r="X24" s="552" t="str">
        <f t="shared" si="0"/>
        <v/>
      </c>
      <c r="Y24" s="552" t="str">
        <f t="shared" si="0"/>
        <v/>
      </c>
      <c r="Z24" s="552">
        <f t="shared" si="0"/>
        <v>2.8571428571428571E-2</v>
      </c>
      <c r="AA24" s="552" t="str">
        <f t="shared" si="0"/>
        <v/>
      </c>
      <c r="AB24" s="564" t="str">
        <f t="shared" si="0"/>
        <v/>
      </c>
      <c r="AC24" s="547">
        <f t="shared" si="1"/>
        <v>9.9999999999999992E-2</v>
      </c>
      <c r="AD24" s="780"/>
      <c r="AF24" s="807"/>
      <c r="AG24" s="582">
        <v>24</v>
      </c>
      <c r="AH24" s="599" t="str">
        <f t="shared" si="2"/>
        <v/>
      </c>
      <c r="AI24" s="600">
        <f t="shared" si="2"/>
        <v>1.4285714285714285E-2</v>
      </c>
      <c r="AJ24" s="600" t="str">
        <f t="shared" si="2"/>
        <v/>
      </c>
      <c r="AK24" s="600" t="str">
        <f t="shared" si="2"/>
        <v/>
      </c>
      <c r="AL24" s="600" t="str">
        <f t="shared" si="2"/>
        <v/>
      </c>
      <c r="AM24" s="600" t="str">
        <f t="shared" si="2"/>
        <v/>
      </c>
      <c r="AN24" s="600" t="str">
        <f t="shared" si="2"/>
        <v/>
      </c>
      <c r="AO24" s="600" t="str">
        <f t="shared" si="2"/>
        <v/>
      </c>
      <c r="AP24" s="600">
        <f t="shared" si="2"/>
        <v>1.4285714285714285E-2</v>
      </c>
      <c r="AQ24" s="600">
        <f t="shared" si="2"/>
        <v>1.4285714285714285E-2</v>
      </c>
      <c r="AR24" s="600" t="str">
        <f t="shared" si="2"/>
        <v/>
      </c>
      <c r="AS24" s="600" t="str">
        <f t="shared" si="2"/>
        <v/>
      </c>
      <c r="AT24" s="600" t="str">
        <f t="shared" si="2"/>
        <v/>
      </c>
      <c r="AU24" s="600" t="str">
        <f t="shared" si="2"/>
        <v/>
      </c>
      <c r="AV24" s="600" t="str">
        <f t="shared" si="2"/>
        <v/>
      </c>
      <c r="AW24" s="600" t="str">
        <f t="shared" si="2"/>
        <v/>
      </c>
      <c r="AX24" s="600" t="str">
        <f t="shared" si="2"/>
        <v/>
      </c>
      <c r="AY24" s="600">
        <f t="shared" si="2"/>
        <v>2.8571428571428571E-2</v>
      </c>
      <c r="AZ24" s="600">
        <f t="shared" si="2"/>
        <v>1.4285714285714285E-2</v>
      </c>
      <c r="BA24" s="600" t="str">
        <f t="shared" si="2"/>
        <v/>
      </c>
      <c r="BB24" s="600" t="str">
        <f t="shared" si="2"/>
        <v/>
      </c>
      <c r="BC24" s="600" t="str">
        <f t="shared" si="2"/>
        <v/>
      </c>
      <c r="BD24" s="600" t="str">
        <f t="shared" si="2"/>
        <v/>
      </c>
      <c r="BE24" s="600" t="str">
        <f t="shared" si="2"/>
        <v/>
      </c>
      <c r="BF24" s="600" t="str">
        <f t="shared" si="2"/>
        <v/>
      </c>
      <c r="BG24" s="600" t="str">
        <f t="shared" si="2"/>
        <v/>
      </c>
      <c r="BH24" s="578" t="str">
        <f t="shared" si="2"/>
        <v/>
      </c>
      <c r="BI24" s="613">
        <f t="shared" si="3"/>
        <v>8.5714285714285715E-2</v>
      </c>
      <c r="BJ24" s="814"/>
    </row>
    <row r="25" spans="1:62" ht="14.25" customHeight="1" x14ac:dyDescent="0.2">
      <c r="B25" s="799"/>
      <c r="C25" s="555">
        <v>187</v>
      </c>
      <c r="D25" s="556" t="s">
        <v>177</v>
      </c>
      <c r="E25" s="557" t="s">
        <v>177</v>
      </c>
      <c r="F25" s="557" t="s">
        <v>177</v>
      </c>
      <c r="G25" s="557">
        <v>1</v>
      </c>
      <c r="H25" s="557" t="s">
        <v>177</v>
      </c>
      <c r="I25" s="557" t="s">
        <v>177</v>
      </c>
      <c r="J25" s="557">
        <v>1</v>
      </c>
      <c r="K25" s="557" t="s">
        <v>177</v>
      </c>
      <c r="L25" s="557" t="s">
        <v>177</v>
      </c>
      <c r="M25" s="569" t="s">
        <v>177</v>
      </c>
      <c r="N25" s="558">
        <v>2</v>
      </c>
      <c r="O25" s="780"/>
      <c r="Q25" s="783"/>
      <c r="R25" s="555">
        <v>187</v>
      </c>
      <c r="S25" s="559" t="str">
        <f t="shared" si="0"/>
        <v/>
      </c>
      <c r="T25" s="560" t="str">
        <f t="shared" si="0"/>
        <v/>
      </c>
      <c r="U25" s="560" t="str">
        <f t="shared" si="0"/>
        <v/>
      </c>
      <c r="V25" s="560">
        <f t="shared" si="0"/>
        <v>1.4285714285714285E-2</v>
      </c>
      <c r="W25" s="560" t="str">
        <f t="shared" si="0"/>
        <v/>
      </c>
      <c r="X25" s="560" t="str">
        <f t="shared" si="0"/>
        <v/>
      </c>
      <c r="Y25" s="560">
        <f t="shared" si="0"/>
        <v>1.4285714285714285E-2</v>
      </c>
      <c r="Z25" s="560" t="str">
        <f t="shared" si="0"/>
        <v/>
      </c>
      <c r="AA25" s="560" t="str">
        <f t="shared" si="0"/>
        <v/>
      </c>
      <c r="AB25" s="563" t="str">
        <f t="shared" si="0"/>
        <v/>
      </c>
      <c r="AC25" s="561">
        <f t="shared" si="1"/>
        <v>2.8571428571428571E-2</v>
      </c>
      <c r="AD25" s="780"/>
      <c r="AF25" s="807"/>
      <c r="AG25" s="583">
        <v>25</v>
      </c>
      <c r="AH25" s="597" t="str">
        <f t="shared" si="2"/>
        <v/>
      </c>
      <c r="AI25" s="598" t="str">
        <f t="shared" si="2"/>
        <v/>
      </c>
      <c r="AJ25" s="598" t="str">
        <f t="shared" si="2"/>
        <v/>
      </c>
      <c r="AK25" s="598" t="str">
        <f t="shared" si="2"/>
        <v/>
      </c>
      <c r="AL25" s="598" t="str">
        <f t="shared" si="2"/>
        <v/>
      </c>
      <c r="AM25" s="598" t="str">
        <f t="shared" si="2"/>
        <v/>
      </c>
      <c r="AN25" s="598" t="str">
        <f t="shared" si="2"/>
        <v/>
      </c>
      <c r="AO25" s="598" t="str">
        <f t="shared" si="2"/>
        <v/>
      </c>
      <c r="AP25" s="598">
        <f t="shared" si="2"/>
        <v>1.4285714285714285E-2</v>
      </c>
      <c r="AQ25" s="598" t="str">
        <f t="shared" si="2"/>
        <v/>
      </c>
      <c r="AR25" s="598">
        <f t="shared" si="2"/>
        <v>1.4285714285714285E-2</v>
      </c>
      <c r="AS25" s="598" t="str">
        <f t="shared" si="2"/>
        <v/>
      </c>
      <c r="AT25" s="598" t="str">
        <f t="shared" si="2"/>
        <v/>
      </c>
      <c r="AU25" s="598" t="str">
        <f t="shared" si="2"/>
        <v/>
      </c>
      <c r="AV25" s="598">
        <f t="shared" si="2"/>
        <v>2.8571428571428571E-2</v>
      </c>
      <c r="AW25" s="598">
        <f t="shared" si="2"/>
        <v>1.4285714285714285E-2</v>
      </c>
      <c r="AX25" s="598">
        <f t="shared" si="2"/>
        <v>1.4285714285714285E-2</v>
      </c>
      <c r="AY25" s="598" t="str">
        <f t="shared" si="2"/>
        <v/>
      </c>
      <c r="AZ25" s="598">
        <f t="shared" si="2"/>
        <v>1.4285714285714285E-2</v>
      </c>
      <c r="BA25" s="598" t="str">
        <f t="shared" si="2"/>
        <v/>
      </c>
      <c r="BB25" s="598" t="str">
        <f t="shared" si="2"/>
        <v/>
      </c>
      <c r="BC25" s="598">
        <f t="shared" si="2"/>
        <v>1.4285714285714285E-2</v>
      </c>
      <c r="BD25" s="598" t="str">
        <f t="shared" si="2"/>
        <v/>
      </c>
      <c r="BE25" s="598" t="str">
        <f t="shared" si="2"/>
        <v/>
      </c>
      <c r="BF25" s="598" t="str">
        <f t="shared" si="2"/>
        <v/>
      </c>
      <c r="BG25" s="598" t="str">
        <f t="shared" si="2"/>
        <v/>
      </c>
      <c r="BH25" s="577" t="str">
        <f t="shared" si="2"/>
        <v/>
      </c>
      <c r="BI25" s="614">
        <f t="shared" si="3"/>
        <v>0.1142857142857143</v>
      </c>
      <c r="BJ25" s="814"/>
    </row>
    <row r="26" spans="1:62" ht="14.25" customHeight="1" x14ac:dyDescent="0.2">
      <c r="B26" s="799"/>
      <c r="C26" s="534">
        <v>188</v>
      </c>
      <c r="D26" s="541" t="s">
        <v>177</v>
      </c>
      <c r="E26" s="509" t="s">
        <v>177</v>
      </c>
      <c r="F26" s="509" t="s">
        <v>177</v>
      </c>
      <c r="G26" s="509">
        <v>1</v>
      </c>
      <c r="H26" s="509" t="s">
        <v>177</v>
      </c>
      <c r="I26" s="509" t="s">
        <v>177</v>
      </c>
      <c r="J26" s="509" t="s">
        <v>177</v>
      </c>
      <c r="K26" s="509" t="s">
        <v>177</v>
      </c>
      <c r="L26" s="509" t="s">
        <v>177</v>
      </c>
      <c r="M26" s="570" t="s">
        <v>177</v>
      </c>
      <c r="N26" s="535">
        <v>1</v>
      </c>
      <c r="O26" s="780"/>
      <c r="Q26" s="783"/>
      <c r="R26" s="534">
        <v>188</v>
      </c>
      <c r="S26" s="551" t="str">
        <f t="shared" si="0"/>
        <v/>
      </c>
      <c r="T26" s="552" t="str">
        <f t="shared" si="0"/>
        <v/>
      </c>
      <c r="U26" s="552" t="str">
        <f t="shared" si="0"/>
        <v/>
      </c>
      <c r="V26" s="552">
        <f t="shared" si="0"/>
        <v>1.4285714285714285E-2</v>
      </c>
      <c r="W26" s="552" t="str">
        <f t="shared" si="0"/>
        <v/>
      </c>
      <c r="X26" s="552" t="str">
        <f t="shared" si="0"/>
        <v/>
      </c>
      <c r="Y26" s="552" t="str">
        <f t="shared" si="0"/>
        <v/>
      </c>
      <c r="Z26" s="552" t="str">
        <f t="shared" si="0"/>
        <v/>
      </c>
      <c r="AA26" s="552" t="str">
        <f t="shared" si="0"/>
        <v/>
      </c>
      <c r="AB26" s="564" t="str">
        <f t="shared" si="0"/>
        <v/>
      </c>
      <c r="AC26" s="547">
        <f t="shared" si="1"/>
        <v>1.4285714285714285E-2</v>
      </c>
      <c r="AD26" s="780"/>
      <c r="AF26" s="807"/>
      <c r="AG26" s="582">
        <v>26</v>
      </c>
      <c r="AH26" s="599" t="str">
        <f t="shared" si="2"/>
        <v/>
      </c>
      <c r="AI26" s="600" t="str">
        <f t="shared" si="2"/>
        <v/>
      </c>
      <c r="AJ26" s="600" t="str">
        <f t="shared" si="2"/>
        <v/>
      </c>
      <c r="AK26" s="600" t="str">
        <f t="shared" si="2"/>
        <v/>
      </c>
      <c r="AL26" s="600">
        <f t="shared" si="2"/>
        <v>1.4285714285714285E-2</v>
      </c>
      <c r="AM26" s="600" t="str">
        <f t="shared" si="2"/>
        <v/>
      </c>
      <c r="AN26" s="600" t="str">
        <f t="shared" si="2"/>
        <v/>
      </c>
      <c r="AO26" s="600" t="str">
        <f t="shared" si="2"/>
        <v/>
      </c>
      <c r="AP26" s="600" t="str">
        <f t="shared" si="2"/>
        <v/>
      </c>
      <c r="AQ26" s="600" t="str">
        <f t="shared" si="2"/>
        <v/>
      </c>
      <c r="AR26" s="600" t="str">
        <f t="shared" si="2"/>
        <v/>
      </c>
      <c r="AS26" s="600" t="str">
        <f t="shared" si="2"/>
        <v/>
      </c>
      <c r="AT26" s="600" t="str">
        <f t="shared" si="2"/>
        <v/>
      </c>
      <c r="AU26" s="600">
        <f t="shared" si="2"/>
        <v>1.4285714285714285E-2</v>
      </c>
      <c r="AV26" s="600" t="str">
        <f t="shared" si="2"/>
        <v/>
      </c>
      <c r="AW26" s="600" t="str">
        <f t="shared" si="2"/>
        <v/>
      </c>
      <c r="AX26" s="600" t="str">
        <f t="shared" si="2"/>
        <v/>
      </c>
      <c r="AY26" s="600">
        <f t="shared" si="2"/>
        <v>1.4285714285714285E-2</v>
      </c>
      <c r="AZ26" s="600" t="str">
        <f t="shared" si="2"/>
        <v/>
      </c>
      <c r="BA26" s="600">
        <f t="shared" si="2"/>
        <v>1.4285714285714285E-2</v>
      </c>
      <c r="BB26" s="600">
        <f t="shared" si="2"/>
        <v>2.8571428571428571E-2</v>
      </c>
      <c r="BC26" s="600" t="str">
        <f t="shared" si="2"/>
        <v/>
      </c>
      <c r="BD26" s="600" t="str">
        <f t="shared" si="2"/>
        <v/>
      </c>
      <c r="BE26" s="600" t="str">
        <f t="shared" si="2"/>
        <v/>
      </c>
      <c r="BF26" s="600" t="str">
        <f t="shared" si="2"/>
        <v/>
      </c>
      <c r="BG26" s="600" t="str">
        <f t="shared" si="2"/>
        <v/>
      </c>
      <c r="BH26" s="578" t="str">
        <f t="shared" si="2"/>
        <v/>
      </c>
      <c r="BI26" s="613">
        <f t="shared" si="3"/>
        <v>8.5714285714285715E-2</v>
      </c>
      <c r="BJ26" s="814"/>
    </row>
    <row r="27" spans="1:62" ht="14.25" customHeight="1" x14ac:dyDescent="0.2">
      <c r="B27" s="799"/>
      <c r="C27" s="555">
        <v>189</v>
      </c>
      <c r="D27" s="556" t="s">
        <v>177</v>
      </c>
      <c r="E27" s="557" t="s">
        <v>177</v>
      </c>
      <c r="F27" s="557" t="s">
        <v>177</v>
      </c>
      <c r="G27" s="557" t="s">
        <v>177</v>
      </c>
      <c r="H27" s="557">
        <v>1</v>
      </c>
      <c r="I27" s="557" t="s">
        <v>177</v>
      </c>
      <c r="J27" s="557" t="s">
        <v>177</v>
      </c>
      <c r="K27" s="557" t="s">
        <v>177</v>
      </c>
      <c r="L27" s="557" t="s">
        <v>177</v>
      </c>
      <c r="M27" s="569" t="s">
        <v>177</v>
      </c>
      <c r="N27" s="558">
        <v>1</v>
      </c>
      <c r="O27" s="780"/>
      <c r="Q27" s="783"/>
      <c r="R27" s="555">
        <v>189</v>
      </c>
      <c r="S27" s="559" t="str">
        <f t="shared" si="0"/>
        <v/>
      </c>
      <c r="T27" s="560" t="str">
        <f t="shared" si="0"/>
        <v/>
      </c>
      <c r="U27" s="560" t="str">
        <f t="shared" si="0"/>
        <v/>
      </c>
      <c r="V27" s="560" t="str">
        <f t="shared" si="0"/>
        <v/>
      </c>
      <c r="W27" s="560">
        <f t="shared" si="0"/>
        <v>1.4285714285714285E-2</v>
      </c>
      <c r="X27" s="560" t="str">
        <f t="shared" si="0"/>
        <v/>
      </c>
      <c r="Y27" s="560" t="str">
        <f t="shared" si="0"/>
        <v/>
      </c>
      <c r="Z27" s="560" t="str">
        <f t="shared" si="0"/>
        <v/>
      </c>
      <c r="AA27" s="560" t="str">
        <f t="shared" si="0"/>
        <v/>
      </c>
      <c r="AB27" s="563" t="str">
        <f t="shared" si="0"/>
        <v/>
      </c>
      <c r="AC27" s="561">
        <f t="shared" si="1"/>
        <v>1.4285714285714285E-2</v>
      </c>
      <c r="AD27" s="780"/>
      <c r="AF27" s="807"/>
      <c r="AG27" s="583">
        <v>27</v>
      </c>
      <c r="AH27" s="597" t="str">
        <f t="shared" si="2"/>
        <v/>
      </c>
      <c r="AI27" s="598" t="str">
        <f t="shared" si="2"/>
        <v/>
      </c>
      <c r="AJ27" s="598" t="str">
        <f t="shared" si="2"/>
        <v/>
      </c>
      <c r="AK27" s="598" t="str">
        <f t="shared" si="2"/>
        <v/>
      </c>
      <c r="AL27" s="598" t="str">
        <f t="shared" si="2"/>
        <v/>
      </c>
      <c r="AM27" s="598" t="str">
        <f t="shared" si="2"/>
        <v/>
      </c>
      <c r="AN27" s="598" t="str">
        <f t="shared" si="2"/>
        <v/>
      </c>
      <c r="AO27" s="598" t="str">
        <f t="shared" si="2"/>
        <v/>
      </c>
      <c r="AP27" s="598" t="str">
        <f t="shared" si="2"/>
        <v/>
      </c>
      <c r="AQ27" s="598" t="str">
        <f t="shared" si="2"/>
        <v/>
      </c>
      <c r="AR27" s="598" t="str">
        <f t="shared" si="2"/>
        <v/>
      </c>
      <c r="AS27" s="598" t="str">
        <f t="shared" si="2"/>
        <v/>
      </c>
      <c r="AT27" s="598" t="str">
        <f t="shared" si="2"/>
        <v/>
      </c>
      <c r="AU27" s="598" t="str">
        <f t="shared" si="2"/>
        <v/>
      </c>
      <c r="AV27" s="598" t="str">
        <f t="shared" si="2"/>
        <v/>
      </c>
      <c r="AW27" s="598" t="str">
        <f t="shared" si="2"/>
        <v/>
      </c>
      <c r="AX27" s="598" t="str">
        <f t="shared" si="2"/>
        <v/>
      </c>
      <c r="AY27" s="598" t="str">
        <f t="shared" si="2"/>
        <v/>
      </c>
      <c r="AZ27" s="598" t="str">
        <f t="shared" si="2"/>
        <v/>
      </c>
      <c r="BA27" s="598" t="str">
        <f t="shared" si="2"/>
        <v/>
      </c>
      <c r="BB27" s="598" t="str">
        <f t="shared" si="2"/>
        <v/>
      </c>
      <c r="BC27" s="598" t="str">
        <f t="shared" si="2"/>
        <v/>
      </c>
      <c r="BD27" s="598" t="str">
        <f t="shared" si="2"/>
        <v/>
      </c>
      <c r="BE27" s="598" t="str">
        <f t="shared" si="2"/>
        <v/>
      </c>
      <c r="BF27" s="598" t="str">
        <f t="shared" si="2"/>
        <v/>
      </c>
      <c r="BG27" s="598">
        <f t="shared" si="2"/>
        <v>1.4285714285714285E-2</v>
      </c>
      <c r="BH27" s="577" t="str">
        <f t="shared" si="2"/>
        <v/>
      </c>
      <c r="BI27" s="614">
        <f t="shared" si="3"/>
        <v>1.4285714285714285E-2</v>
      </c>
      <c r="BJ27" s="814"/>
    </row>
    <row r="28" spans="1:62" ht="15" customHeight="1" thickBot="1" x14ac:dyDescent="0.25">
      <c r="B28" s="799"/>
      <c r="C28" s="534">
        <v>190</v>
      </c>
      <c r="D28" s="541" t="s">
        <v>177</v>
      </c>
      <c r="E28" s="509" t="s">
        <v>177</v>
      </c>
      <c r="F28" s="509" t="s">
        <v>177</v>
      </c>
      <c r="G28" s="509" t="s">
        <v>177</v>
      </c>
      <c r="H28" s="509" t="s">
        <v>177</v>
      </c>
      <c r="I28" s="509" t="s">
        <v>177</v>
      </c>
      <c r="J28" s="509" t="s">
        <v>177</v>
      </c>
      <c r="K28" s="509" t="s">
        <v>177</v>
      </c>
      <c r="L28" s="509" t="s">
        <v>177</v>
      </c>
      <c r="M28" s="570">
        <v>1</v>
      </c>
      <c r="N28" s="535">
        <v>1</v>
      </c>
      <c r="O28" s="780"/>
      <c r="Q28" s="783"/>
      <c r="R28" s="534">
        <v>190</v>
      </c>
      <c r="S28" s="551" t="str">
        <f t="shared" si="0"/>
        <v/>
      </c>
      <c r="T28" s="552" t="str">
        <f t="shared" si="0"/>
        <v/>
      </c>
      <c r="U28" s="552" t="str">
        <f t="shared" si="0"/>
        <v/>
      </c>
      <c r="V28" s="552" t="str">
        <f t="shared" si="0"/>
        <v/>
      </c>
      <c r="W28" s="552" t="str">
        <f t="shared" si="0"/>
        <v/>
      </c>
      <c r="X28" s="552" t="str">
        <f t="shared" si="0"/>
        <v/>
      </c>
      <c r="Y28" s="552" t="str">
        <f t="shared" si="0"/>
        <v/>
      </c>
      <c r="Z28" s="552" t="str">
        <f t="shared" si="0"/>
        <v/>
      </c>
      <c r="AA28" s="552" t="str">
        <f t="shared" si="0"/>
        <v/>
      </c>
      <c r="AB28" s="564">
        <f t="shared" si="0"/>
        <v>1.4285714285714285E-2</v>
      </c>
      <c r="AC28" s="547">
        <f t="shared" si="1"/>
        <v>1.4285714285714285E-2</v>
      </c>
      <c r="AD28" s="780"/>
      <c r="AF28" s="803"/>
      <c r="AG28" s="584">
        <v>28</v>
      </c>
      <c r="AH28" s="601" t="str">
        <f t="shared" si="2"/>
        <v/>
      </c>
      <c r="AI28" s="602" t="str">
        <f t="shared" si="2"/>
        <v/>
      </c>
      <c r="AJ28" s="602" t="str">
        <f t="shared" si="2"/>
        <v/>
      </c>
      <c r="AK28" s="602" t="str">
        <f t="shared" si="2"/>
        <v/>
      </c>
      <c r="AL28" s="602" t="str">
        <f t="shared" si="2"/>
        <v/>
      </c>
      <c r="AM28" s="602" t="str">
        <f t="shared" si="2"/>
        <v/>
      </c>
      <c r="AN28" s="602" t="str">
        <f t="shared" si="2"/>
        <v/>
      </c>
      <c r="AO28" s="602">
        <f t="shared" si="2"/>
        <v>1.4285714285714285E-2</v>
      </c>
      <c r="AP28" s="602" t="str">
        <f t="shared" si="2"/>
        <v/>
      </c>
      <c r="AQ28" s="602" t="str">
        <f t="shared" si="2"/>
        <v/>
      </c>
      <c r="AR28" s="602" t="str">
        <f t="shared" si="2"/>
        <v/>
      </c>
      <c r="AS28" s="602" t="str">
        <f t="shared" si="2"/>
        <v/>
      </c>
      <c r="AT28" s="602" t="str">
        <f t="shared" ref="AT28:BH28" si="4">IF(AT13&lt;&gt;"",AT13/$BI$14,"")</f>
        <v/>
      </c>
      <c r="AU28" s="602" t="str">
        <f t="shared" si="4"/>
        <v/>
      </c>
      <c r="AV28" s="602" t="str">
        <f t="shared" si="4"/>
        <v/>
      </c>
      <c r="AW28" s="602" t="str">
        <f t="shared" si="4"/>
        <v/>
      </c>
      <c r="AX28" s="602" t="str">
        <f t="shared" si="4"/>
        <v/>
      </c>
      <c r="AY28" s="602" t="str">
        <f t="shared" si="4"/>
        <v/>
      </c>
      <c r="AZ28" s="602" t="str">
        <f t="shared" si="4"/>
        <v/>
      </c>
      <c r="BA28" s="602" t="str">
        <f t="shared" si="4"/>
        <v/>
      </c>
      <c r="BB28" s="602" t="str">
        <f t="shared" si="4"/>
        <v/>
      </c>
      <c r="BC28" s="602" t="str">
        <f t="shared" si="4"/>
        <v/>
      </c>
      <c r="BD28" s="602" t="str">
        <f t="shared" si="4"/>
        <v/>
      </c>
      <c r="BE28" s="602" t="str">
        <f t="shared" si="4"/>
        <v/>
      </c>
      <c r="BF28" s="602">
        <f t="shared" si="4"/>
        <v>1.4285714285714285E-2</v>
      </c>
      <c r="BG28" s="602" t="str">
        <f t="shared" si="4"/>
        <v/>
      </c>
      <c r="BH28" s="579" t="str">
        <f t="shared" si="4"/>
        <v/>
      </c>
      <c r="BI28" s="615">
        <f t="shared" si="3"/>
        <v>2.8571428571428571E-2</v>
      </c>
      <c r="BJ28" s="815"/>
    </row>
    <row r="29" spans="1:62" ht="15" customHeight="1" x14ac:dyDescent="0.25">
      <c r="A29" s="518"/>
      <c r="B29" s="799"/>
      <c r="C29" s="555">
        <v>193</v>
      </c>
      <c r="D29" s="556" t="s">
        <v>177</v>
      </c>
      <c r="E29" s="557" t="s">
        <v>177</v>
      </c>
      <c r="F29" s="557" t="s">
        <v>177</v>
      </c>
      <c r="G29" s="557" t="s">
        <v>177</v>
      </c>
      <c r="H29" s="557">
        <v>1</v>
      </c>
      <c r="I29" s="557" t="s">
        <v>177</v>
      </c>
      <c r="J29" s="557" t="s">
        <v>177</v>
      </c>
      <c r="K29" s="557" t="s">
        <v>177</v>
      </c>
      <c r="L29" s="557">
        <v>1</v>
      </c>
      <c r="M29" s="569" t="s">
        <v>177</v>
      </c>
      <c r="N29" s="558">
        <v>2</v>
      </c>
      <c r="O29" s="780"/>
      <c r="Q29" s="783"/>
      <c r="R29" s="555">
        <v>193</v>
      </c>
      <c r="S29" s="559" t="str">
        <f t="shared" si="0"/>
        <v/>
      </c>
      <c r="T29" s="560" t="str">
        <f t="shared" si="0"/>
        <v/>
      </c>
      <c r="U29" s="560" t="str">
        <f t="shared" si="0"/>
        <v/>
      </c>
      <c r="V29" s="560" t="str">
        <f t="shared" si="0"/>
        <v/>
      </c>
      <c r="W29" s="560">
        <f t="shared" si="0"/>
        <v>1.4285714285714285E-2</v>
      </c>
      <c r="X29" s="560" t="str">
        <f t="shared" ref="X29:AB30" si="5">IF(I29&lt;&gt;"",I29/$N$31,"")</f>
        <v/>
      </c>
      <c r="Y29" s="560" t="str">
        <f t="shared" si="5"/>
        <v/>
      </c>
      <c r="Z29" s="560" t="str">
        <f t="shared" si="5"/>
        <v/>
      </c>
      <c r="AA29" s="560">
        <f t="shared" si="5"/>
        <v>1.4285714285714285E-2</v>
      </c>
      <c r="AB29" s="563" t="str">
        <f t="shared" si="5"/>
        <v/>
      </c>
      <c r="AC29" s="561">
        <f t="shared" si="1"/>
        <v>2.8571428571428571E-2</v>
      </c>
      <c r="AD29" s="780"/>
      <c r="AF29" s="505"/>
      <c r="AG29" s="505"/>
      <c r="AH29" s="603">
        <f t="shared" ref="AH29:BH29" si="6">IF(SUM(AH19:AH28)&gt;0,SUM(AH19:AH28),"")</f>
        <v>1.4285714285714285E-2</v>
      </c>
      <c r="AI29" s="604">
        <f t="shared" si="6"/>
        <v>7.1428571428571425E-2</v>
      </c>
      <c r="AJ29" s="604">
        <f t="shared" si="6"/>
        <v>1.4285714285714285E-2</v>
      </c>
      <c r="AK29" s="604">
        <f t="shared" si="6"/>
        <v>4.2857142857142858E-2</v>
      </c>
      <c r="AL29" s="604">
        <f t="shared" si="6"/>
        <v>1.4285714285714285E-2</v>
      </c>
      <c r="AM29" s="604">
        <f t="shared" si="6"/>
        <v>4.2857142857142858E-2</v>
      </c>
      <c r="AN29" s="604">
        <f t="shared" si="6"/>
        <v>1.4285714285714285E-2</v>
      </c>
      <c r="AO29" s="604">
        <f t="shared" si="6"/>
        <v>1.4285714285714285E-2</v>
      </c>
      <c r="AP29" s="604">
        <f t="shared" si="6"/>
        <v>0.1</v>
      </c>
      <c r="AQ29" s="604">
        <f t="shared" si="6"/>
        <v>1.4285714285714285E-2</v>
      </c>
      <c r="AR29" s="604">
        <f t="shared" si="6"/>
        <v>1.4285714285714285E-2</v>
      </c>
      <c r="AS29" s="604">
        <f t="shared" si="6"/>
        <v>1.4285714285714285E-2</v>
      </c>
      <c r="AT29" s="604">
        <f t="shared" si="6"/>
        <v>4.2857142857142858E-2</v>
      </c>
      <c r="AU29" s="604">
        <f t="shared" si="6"/>
        <v>1.4285714285714285E-2</v>
      </c>
      <c r="AV29" s="604">
        <f t="shared" si="6"/>
        <v>8.5714285714285715E-2</v>
      </c>
      <c r="AW29" s="604">
        <f t="shared" si="6"/>
        <v>4.2857142857142858E-2</v>
      </c>
      <c r="AX29" s="604">
        <f t="shared" si="6"/>
        <v>5.7142857142857141E-2</v>
      </c>
      <c r="AY29" s="604">
        <f t="shared" si="6"/>
        <v>7.1428571428571425E-2</v>
      </c>
      <c r="AZ29" s="604">
        <f t="shared" si="6"/>
        <v>5.7142857142857141E-2</v>
      </c>
      <c r="BA29" s="604">
        <f t="shared" si="6"/>
        <v>4.2857142857142858E-2</v>
      </c>
      <c r="BB29" s="604">
        <f t="shared" si="6"/>
        <v>9.9999999999999992E-2</v>
      </c>
      <c r="BC29" s="604">
        <f t="shared" si="6"/>
        <v>2.8571428571428571E-2</v>
      </c>
      <c r="BD29" s="604">
        <f t="shared" si="6"/>
        <v>1.4285714285714285E-2</v>
      </c>
      <c r="BE29" s="604">
        <f t="shared" si="6"/>
        <v>1.4285714285714285E-2</v>
      </c>
      <c r="BF29" s="604">
        <f t="shared" si="6"/>
        <v>1.4285714285714285E-2</v>
      </c>
      <c r="BG29" s="604">
        <f t="shared" si="6"/>
        <v>2.8571428571428571E-2</v>
      </c>
      <c r="BH29" s="586">
        <f t="shared" si="6"/>
        <v>1.4285714285714285E-2</v>
      </c>
      <c r="BI29" s="616">
        <f>SUM(AH19:BH28)</f>
        <v>0.99999999999999878</v>
      </c>
      <c r="BJ29" s="504"/>
    </row>
    <row r="30" spans="1:62" ht="17.25" thickBot="1" x14ac:dyDescent="0.3">
      <c r="A30" s="517"/>
      <c r="B30" s="800"/>
      <c r="C30" s="530">
        <v>195</v>
      </c>
      <c r="D30" s="571" t="s">
        <v>177</v>
      </c>
      <c r="E30" s="572">
        <v>1</v>
      </c>
      <c r="F30" s="572" t="s">
        <v>177</v>
      </c>
      <c r="G30" s="572" t="s">
        <v>177</v>
      </c>
      <c r="H30" s="572" t="s">
        <v>177</v>
      </c>
      <c r="I30" s="572" t="s">
        <v>177</v>
      </c>
      <c r="J30" s="572" t="s">
        <v>177</v>
      </c>
      <c r="K30" s="572" t="s">
        <v>177</v>
      </c>
      <c r="L30" s="572" t="s">
        <v>177</v>
      </c>
      <c r="M30" s="573" t="s">
        <v>177</v>
      </c>
      <c r="N30" s="531">
        <v>1</v>
      </c>
      <c r="O30" s="781"/>
      <c r="Q30" s="784"/>
      <c r="R30" s="544">
        <v>195</v>
      </c>
      <c r="S30" s="565" t="str">
        <f t="shared" ref="S30:W30" si="7">IF(D30&lt;&gt;"",D30/$N$31,"")</f>
        <v/>
      </c>
      <c r="T30" s="566">
        <f t="shared" si="7"/>
        <v>1.4285714285714285E-2</v>
      </c>
      <c r="U30" s="566" t="str">
        <f t="shared" si="7"/>
        <v/>
      </c>
      <c r="V30" s="566" t="str">
        <f t="shared" si="7"/>
        <v/>
      </c>
      <c r="W30" s="566" t="str">
        <f t="shared" si="7"/>
        <v/>
      </c>
      <c r="X30" s="566" t="str">
        <f t="shared" si="5"/>
        <v/>
      </c>
      <c r="Y30" s="566" t="str">
        <f t="shared" si="5"/>
        <v/>
      </c>
      <c r="Z30" s="566" t="str">
        <f t="shared" si="5"/>
        <v/>
      </c>
      <c r="AA30" s="566" t="str">
        <f t="shared" si="5"/>
        <v/>
      </c>
      <c r="AB30" s="567" t="str">
        <f t="shared" si="5"/>
        <v/>
      </c>
      <c r="AC30" s="545">
        <f t="shared" si="1"/>
        <v>1.4285714285714285E-2</v>
      </c>
      <c r="AD30" s="781"/>
      <c r="AF30" s="504"/>
      <c r="AG30" s="504"/>
      <c r="AH30" s="808" t="s">
        <v>231</v>
      </c>
      <c r="AI30" s="809"/>
      <c r="AJ30" s="809"/>
      <c r="AK30" s="809"/>
      <c r="AL30" s="809"/>
      <c r="AM30" s="809"/>
      <c r="AN30" s="809"/>
      <c r="AO30" s="809"/>
      <c r="AP30" s="809"/>
      <c r="AQ30" s="809"/>
      <c r="AR30" s="809"/>
      <c r="AS30" s="809"/>
      <c r="AT30" s="809"/>
      <c r="AU30" s="809"/>
      <c r="AV30" s="809"/>
      <c r="AW30" s="809"/>
      <c r="AX30" s="809"/>
      <c r="AY30" s="809"/>
      <c r="AZ30" s="809"/>
      <c r="BA30" s="809"/>
      <c r="BB30" s="809"/>
      <c r="BC30" s="809"/>
      <c r="BD30" s="809"/>
      <c r="BE30" s="809"/>
      <c r="BF30" s="809"/>
      <c r="BG30" s="809"/>
      <c r="BH30" s="810"/>
      <c r="BI30" s="607"/>
      <c r="BJ30" s="504"/>
    </row>
    <row r="31" spans="1:62" x14ac:dyDescent="0.2">
      <c r="D31" s="542">
        <v>3</v>
      </c>
      <c r="E31" s="543">
        <v>10</v>
      </c>
      <c r="F31" s="543">
        <v>11</v>
      </c>
      <c r="G31" s="543">
        <v>14</v>
      </c>
      <c r="H31" s="543">
        <v>9</v>
      </c>
      <c r="I31" s="543">
        <v>6</v>
      </c>
      <c r="J31" s="543">
        <v>8</v>
      </c>
      <c r="K31" s="543">
        <v>6</v>
      </c>
      <c r="L31" s="543">
        <v>1</v>
      </c>
      <c r="M31" s="536">
        <v>2</v>
      </c>
      <c r="N31" s="509">
        <f>SUM(D4:M30)</f>
        <v>70</v>
      </c>
      <c r="Q31" s="516"/>
      <c r="S31" s="553">
        <f t="shared" ref="S31:AB31" si="8">IF(SUM(S4:S30)&gt;0,SUM(S4:S30),"")</f>
        <v>4.2857142857142858E-2</v>
      </c>
      <c r="T31" s="554">
        <f t="shared" si="8"/>
        <v>0.14285714285714285</v>
      </c>
      <c r="U31" s="554">
        <f t="shared" si="8"/>
        <v>0.15714285714285714</v>
      </c>
      <c r="V31" s="554">
        <f t="shared" si="8"/>
        <v>0.20000000000000004</v>
      </c>
      <c r="W31" s="554">
        <f t="shared" si="8"/>
        <v>0.12857142857142859</v>
      </c>
      <c r="X31" s="554">
        <f t="shared" si="8"/>
        <v>8.5714285714285715E-2</v>
      </c>
      <c r="Y31" s="554">
        <f t="shared" si="8"/>
        <v>0.1142857142857143</v>
      </c>
      <c r="Z31" s="554">
        <f t="shared" si="8"/>
        <v>8.5714285714285715E-2</v>
      </c>
      <c r="AA31" s="554">
        <f t="shared" si="8"/>
        <v>1.4285714285714285E-2</v>
      </c>
      <c r="AB31" s="548">
        <f t="shared" si="8"/>
        <v>2.8571428571428571E-2</v>
      </c>
      <c r="AC31" s="510">
        <f>SUM(S4:AB30)</f>
        <v>0.99999999999999889</v>
      </c>
    </row>
    <row r="32" spans="1:62" ht="18" thickBot="1" x14ac:dyDescent="0.25">
      <c r="D32" s="785" t="s">
        <v>221</v>
      </c>
      <c r="E32" s="786"/>
      <c r="F32" s="786"/>
      <c r="G32" s="786"/>
      <c r="H32" s="786"/>
      <c r="I32" s="786"/>
      <c r="J32" s="786"/>
      <c r="K32" s="786"/>
      <c r="L32" s="786"/>
      <c r="M32" s="787"/>
      <c r="Q32" s="516"/>
      <c r="S32" s="785" t="s">
        <v>222</v>
      </c>
      <c r="T32" s="786"/>
      <c r="U32" s="786"/>
      <c r="V32" s="786"/>
      <c r="W32" s="786"/>
      <c r="X32" s="786"/>
      <c r="Y32" s="786"/>
      <c r="Z32" s="786"/>
      <c r="AA32" s="786"/>
      <c r="AB32" s="787"/>
      <c r="AC32" s="509"/>
    </row>
    <row r="34" spans="32:62" ht="15" thickBot="1" x14ac:dyDescent="0.25"/>
    <row r="35" spans="32:62" ht="15" x14ac:dyDescent="0.25">
      <c r="AF35" s="801" t="s">
        <v>234</v>
      </c>
      <c r="AG35" s="802"/>
      <c r="AH35" s="801" t="s">
        <v>38</v>
      </c>
      <c r="AI35" s="805"/>
      <c r="AJ35" s="805"/>
      <c r="AK35" s="805"/>
      <c r="AL35" s="805"/>
      <c r="AM35" s="805"/>
      <c r="AN35" s="805"/>
      <c r="AO35" s="805"/>
      <c r="AP35" s="805"/>
      <c r="AQ35" s="805"/>
      <c r="AR35" s="805"/>
      <c r="AS35" s="805"/>
      <c r="AT35" s="805"/>
      <c r="AU35" s="805"/>
      <c r="AV35" s="805"/>
      <c r="AW35" s="805"/>
      <c r="AX35" s="805"/>
      <c r="AY35" s="805"/>
      <c r="AZ35" s="805"/>
      <c r="BA35" s="805"/>
      <c r="BB35" s="805"/>
      <c r="BC35" s="805"/>
      <c r="BD35" s="805"/>
      <c r="BE35" s="805"/>
      <c r="BF35" s="805"/>
      <c r="BG35" s="805"/>
      <c r="BH35" s="806"/>
      <c r="BI35" s="606"/>
      <c r="BJ35" s="504"/>
    </row>
    <row r="36" spans="32:62" ht="15.75" thickBot="1" x14ac:dyDescent="0.25">
      <c r="AF36" s="803"/>
      <c r="AG36" s="804"/>
      <c r="AH36" s="587">
        <v>155</v>
      </c>
      <c r="AI36" s="588">
        <v>160</v>
      </c>
      <c r="AJ36" s="588">
        <v>161</v>
      </c>
      <c r="AK36" s="588">
        <v>163</v>
      </c>
      <c r="AL36" s="588">
        <v>164</v>
      </c>
      <c r="AM36" s="588">
        <v>165</v>
      </c>
      <c r="AN36" s="588">
        <v>168</v>
      </c>
      <c r="AO36" s="588">
        <v>169</v>
      </c>
      <c r="AP36" s="588">
        <v>170</v>
      </c>
      <c r="AQ36" s="588">
        <v>171</v>
      </c>
      <c r="AR36" s="588">
        <v>172</v>
      </c>
      <c r="AS36" s="588">
        <v>173</v>
      </c>
      <c r="AT36" s="588">
        <v>174</v>
      </c>
      <c r="AU36" s="588">
        <v>175</v>
      </c>
      <c r="AV36" s="588">
        <v>176</v>
      </c>
      <c r="AW36" s="588">
        <v>178</v>
      </c>
      <c r="AX36" s="588">
        <v>180</v>
      </c>
      <c r="AY36" s="588">
        <v>182</v>
      </c>
      <c r="AZ36" s="588">
        <v>183</v>
      </c>
      <c r="BA36" s="588">
        <v>184</v>
      </c>
      <c r="BB36" s="588">
        <v>185</v>
      </c>
      <c r="BC36" s="588">
        <v>187</v>
      </c>
      <c r="BD36" s="588">
        <v>188</v>
      </c>
      <c r="BE36" s="588">
        <v>189</v>
      </c>
      <c r="BF36" s="588">
        <v>190</v>
      </c>
      <c r="BG36" s="588">
        <v>193</v>
      </c>
      <c r="BH36" s="580">
        <v>195</v>
      </c>
      <c r="BI36" s="607"/>
      <c r="BJ36" s="504"/>
    </row>
    <row r="37" spans="32:62" ht="15" customHeight="1" x14ac:dyDescent="0.2">
      <c r="AF37" s="801" t="s">
        <v>39</v>
      </c>
      <c r="AG37" s="581">
        <v>19</v>
      </c>
      <c r="AH37" s="622" t="str">
        <f>IF(AH19&lt;&gt;"",AH19/$BI19,"")</f>
        <v/>
      </c>
      <c r="AI37" s="623">
        <f t="shared" ref="AI37:BH37" si="9">IF(AI19&lt;&gt;"",AI19/$BI19,"")</f>
        <v>0.33333333333333331</v>
      </c>
      <c r="AJ37" s="623" t="str">
        <f t="shared" si="9"/>
        <v/>
      </c>
      <c r="AK37" s="623" t="str">
        <f t="shared" si="9"/>
        <v/>
      </c>
      <c r="AL37" s="623" t="str">
        <f t="shared" si="9"/>
        <v/>
      </c>
      <c r="AM37" s="623" t="str">
        <f t="shared" si="9"/>
        <v/>
      </c>
      <c r="AN37" s="623">
        <f t="shared" si="9"/>
        <v>0.33333333333333331</v>
      </c>
      <c r="AO37" s="623" t="str">
        <f t="shared" si="9"/>
        <v/>
      </c>
      <c r="AP37" s="623" t="str">
        <f t="shared" si="9"/>
        <v/>
      </c>
      <c r="AQ37" s="623" t="str">
        <f t="shared" si="9"/>
        <v/>
      </c>
      <c r="AR37" s="623" t="str">
        <f t="shared" si="9"/>
        <v/>
      </c>
      <c r="AS37" s="623" t="str">
        <f t="shared" si="9"/>
        <v/>
      </c>
      <c r="AT37" s="623" t="str">
        <f t="shared" si="9"/>
        <v/>
      </c>
      <c r="AU37" s="623" t="str">
        <f t="shared" si="9"/>
        <v/>
      </c>
      <c r="AV37" s="623" t="str">
        <f t="shared" si="9"/>
        <v/>
      </c>
      <c r="AW37" s="623" t="str">
        <f t="shared" si="9"/>
        <v/>
      </c>
      <c r="AX37" s="623" t="str">
        <f t="shared" si="9"/>
        <v/>
      </c>
      <c r="AY37" s="623">
        <f t="shared" si="9"/>
        <v>0.33333333333333331</v>
      </c>
      <c r="AZ37" s="623" t="str">
        <f t="shared" si="9"/>
        <v/>
      </c>
      <c r="BA37" s="623" t="str">
        <f t="shared" si="9"/>
        <v/>
      </c>
      <c r="BB37" s="623" t="str">
        <f t="shared" si="9"/>
        <v/>
      </c>
      <c r="BC37" s="623" t="str">
        <f t="shared" si="9"/>
        <v/>
      </c>
      <c r="BD37" s="623" t="str">
        <f t="shared" si="9"/>
        <v/>
      </c>
      <c r="BE37" s="623" t="str">
        <f t="shared" si="9"/>
        <v/>
      </c>
      <c r="BF37" s="623" t="str">
        <f t="shared" si="9"/>
        <v/>
      </c>
      <c r="BG37" s="623" t="str">
        <f t="shared" si="9"/>
        <v/>
      </c>
      <c r="BH37" s="624" t="str">
        <f t="shared" si="9"/>
        <v/>
      </c>
      <c r="BI37" s="649">
        <f t="shared" ref="BI37:BI46" si="10">IF(SUM(AH37:BH37)&gt;0,SUM(AH37:BH37),"")</f>
        <v>1</v>
      </c>
      <c r="BJ37" s="821" t="s">
        <v>210</v>
      </c>
    </row>
    <row r="38" spans="32:62" ht="15" x14ac:dyDescent="0.2">
      <c r="AF38" s="807"/>
      <c r="AG38" s="582">
        <v>20</v>
      </c>
      <c r="AH38" s="625" t="str">
        <f t="shared" ref="AH38:BH38" si="11">IF(AH20&lt;&gt;"",AH20/$BI20,"")</f>
        <v/>
      </c>
      <c r="AI38" s="626" t="str">
        <f t="shared" si="11"/>
        <v/>
      </c>
      <c r="AJ38" s="626" t="str">
        <f t="shared" si="11"/>
        <v/>
      </c>
      <c r="AK38" s="626">
        <f t="shared" si="11"/>
        <v>0.2</v>
      </c>
      <c r="AL38" s="626" t="str">
        <f t="shared" si="11"/>
        <v/>
      </c>
      <c r="AM38" s="626" t="str">
        <f t="shared" si="11"/>
        <v/>
      </c>
      <c r="AN38" s="626" t="str">
        <f t="shared" si="11"/>
        <v/>
      </c>
      <c r="AO38" s="626" t="str">
        <f t="shared" si="11"/>
        <v/>
      </c>
      <c r="AP38" s="626">
        <f t="shared" si="11"/>
        <v>0.1</v>
      </c>
      <c r="AQ38" s="626" t="str">
        <f t="shared" si="11"/>
        <v/>
      </c>
      <c r="AR38" s="626" t="str">
        <f t="shared" si="11"/>
        <v/>
      </c>
      <c r="AS38" s="626" t="str">
        <f t="shared" si="11"/>
        <v/>
      </c>
      <c r="AT38" s="626">
        <f t="shared" si="11"/>
        <v>0.1</v>
      </c>
      <c r="AU38" s="626" t="str">
        <f t="shared" si="11"/>
        <v/>
      </c>
      <c r="AV38" s="626" t="str">
        <f t="shared" si="11"/>
        <v/>
      </c>
      <c r="AW38" s="626" t="str">
        <f t="shared" si="11"/>
        <v/>
      </c>
      <c r="AX38" s="626">
        <f t="shared" si="11"/>
        <v>0.1</v>
      </c>
      <c r="AY38" s="626">
        <f t="shared" si="11"/>
        <v>0.1</v>
      </c>
      <c r="AZ38" s="626">
        <f t="shared" si="11"/>
        <v>0.2</v>
      </c>
      <c r="BA38" s="626" t="str">
        <f t="shared" si="11"/>
        <v/>
      </c>
      <c r="BB38" s="626">
        <f t="shared" si="11"/>
        <v>0.1</v>
      </c>
      <c r="BC38" s="626" t="str">
        <f t="shared" si="11"/>
        <v/>
      </c>
      <c r="BD38" s="626" t="str">
        <f t="shared" si="11"/>
        <v/>
      </c>
      <c r="BE38" s="626" t="str">
        <f t="shared" si="11"/>
        <v/>
      </c>
      <c r="BF38" s="626" t="str">
        <f t="shared" si="11"/>
        <v/>
      </c>
      <c r="BG38" s="626" t="str">
        <f t="shared" si="11"/>
        <v/>
      </c>
      <c r="BH38" s="627">
        <f t="shared" si="11"/>
        <v>0.1</v>
      </c>
      <c r="BI38" s="650">
        <f t="shared" si="10"/>
        <v>1</v>
      </c>
      <c r="BJ38" s="822"/>
    </row>
    <row r="39" spans="32:62" ht="15" x14ac:dyDescent="0.2">
      <c r="AF39" s="807"/>
      <c r="AG39" s="583">
        <v>21</v>
      </c>
      <c r="AH39" s="628" t="str">
        <f t="shared" ref="AH39:BH39" si="12">IF(AH21&lt;&gt;"",AH21/$BI21,"")</f>
        <v/>
      </c>
      <c r="AI39" s="629">
        <f t="shared" si="12"/>
        <v>9.0909090909090912E-2</v>
      </c>
      <c r="AJ39" s="629" t="str">
        <f t="shared" si="12"/>
        <v/>
      </c>
      <c r="AK39" s="629">
        <f t="shared" si="12"/>
        <v>9.0909090909090912E-2</v>
      </c>
      <c r="AL39" s="629" t="str">
        <f t="shared" si="12"/>
        <v/>
      </c>
      <c r="AM39" s="629">
        <f t="shared" si="12"/>
        <v>9.0909090909090912E-2</v>
      </c>
      <c r="AN39" s="629" t="str">
        <f t="shared" si="12"/>
        <v/>
      </c>
      <c r="AO39" s="629" t="str">
        <f t="shared" si="12"/>
        <v/>
      </c>
      <c r="AP39" s="629" t="str">
        <f t="shared" si="12"/>
        <v/>
      </c>
      <c r="AQ39" s="629" t="str">
        <f t="shared" si="12"/>
        <v/>
      </c>
      <c r="AR39" s="629" t="str">
        <f t="shared" si="12"/>
        <v/>
      </c>
      <c r="AS39" s="629">
        <f t="shared" si="12"/>
        <v>9.0909090909090912E-2</v>
      </c>
      <c r="AT39" s="629">
        <f t="shared" si="12"/>
        <v>9.0909090909090912E-2</v>
      </c>
      <c r="AU39" s="629" t="str">
        <f t="shared" si="12"/>
        <v/>
      </c>
      <c r="AV39" s="629">
        <f t="shared" si="12"/>
        <v>0.18181818181818182</v>
      </c>
      <c r="AW39" s="629">
        <f t="shared" si="12"/>
        <v>9.0909090909090912E-2</v>
      </c>
      <c r="AX39" s="629" t="str">
        <f t="shared" si="12"/>
        <v/>
      </c>
      <c r="AY39" s="629" t="str">
        <f t="shared" si="12"/>
        <v/>
      </c>
      <c r="AZ39" s="629" t="str">
        <f t="shared" si="12"/>
        <v/>
      </c>
      <c r="BA39" s="629">
        <f t="shared" si="12"/>
        <v>9.0909090909090912E-2</v>
      </c>
      <c r="BB39" s="629">
        <f t="shared" si="12"/>
        <v>0.18181818181818182</v>
      </c>
      <c r="BC39" s="629" t="str">
        <f t="shared" si="12"/>
        <v/>
      </c>
      <c r="BD39" s="629" t="str">
        <f t="shared" si="12"/>
        <v/>
      </c>
      <c r="BE39" s="629" t="str">
        <f t="shared" si="12"/>
        <v/>
      </c>
      <c r="BF39" s="629" t="str">
        <f t="shared" si="12"/>
        <v/>
      </c>
      <c r="BG39" s="629" t="str">
        <f t="shared" si="12"/>
        <v/>
      </c>
      <c r="BH39" s="630" t="str">
        <f t="shared" si="12"/>
        <v/>
      </c>
      <c r="BI39" s="651">
        <f t="shared" si="10"/>
        <v>1.0000000000000002</v>
      </c>
      <c r="BJ39" s="822"/>
    </row>
    <row r="40" spans="32:62" ht="15" x14ac:dyDescent="0.2">
      <c r="AF40" s="807"/>
      <c r="AG40" s="582">
        <v>22</v>
      </c>
      <c r="AH40" s="631" t="str">
        <f t="shared" ref="AH40:BH40" si="13">IF(AH22&lt;&gt;"",AH22/$BI22,"")</f>
        <v/>
      </c>
      <c r="AI40" s="632">
        <f t="shared" si="13"/>
        <v>7.1428571428571411E-2</v>
      </c>
      <c r="AJ40" s="632">
        <f t="shared" si="13"/>
        <v>7.1428571428571411E-2</v>
      </c>
      <c r="AK40" s="632" t="str">
        <f t="shared" si="13"/>
        <v/>
      </c>
      <c r="AL40" s="632" t="str">
        <f t="shared" si="13"/>
        <v/>
      </c>
      <c r="AM40" s="632">
        <f t="shared" si="13"/>
        <v>0.14285714285714282</v>
      </c>
      <c r="AN40" s="632" t="str">
        <f t="shared" si="13"/>
        <v/>
      </c>
      <c r="AO40" s="632" t="str">
        <f t="shared" si="13"/>
        <v/>
      </c>
      <c r="AP40" s="632">
        <f t="shared" si="13"/>
        <v>0.21428571428571425</v>
      </c>
      <c r="AQ40" s="632" t="str">
        <f t="shared" si="13"/>
        <v/>
      </c>
      <c r="AR40" s="632" t="str">
        <f t="shared" si="13"/>
        <v/>
      </c>
      <c r="AS40" s="632" t="str">
        <f t="shared" si="13"/>
        <v/>
      </c>
      <c r="AT40" s="632">
        <f t="shared" si="13"/>
        <v>7.1428571428571411E-2</v>
      </c>
      <c r="AU40" s="632" t="str">
        <f t="shared" si="13"/>
        <v/>
      </c>
      <c r="AV40" s="632" t="str">
        <f t="shared" si="13"/>
        <v/>
      </c>
      <c r="AW40" s="632" t="str">
        <f t="shared" si="13"/>
        <v/>
      </c>
      <c r="AX40" s="632">
        <f t="shared" si="13"/>
        <v>0.14285714285714282</v>
      </c>
      <c r="AY40" s="632" t="str">
        <f t="shared" si="13"/>
        <v/>
      </c>
      <c r="AZ40" s="632" t="str">
        <f t="shared" si="13"/>
        <v/>
      </c>
      <c r="BA40" s="632">
        <f t="shared" si="13"/>
        <v>7.1428571428571411E-2</v>
      </c>
      <c r="BB40" s="632">
        <f t="shared" si="13"/>
        <v>7.1428571428571411E-2</v>
      </c>
      <c r="BC40" s="632">
        <f t="shared" si="13"/>
        <v>7.1428571428571411E-2</v>
      </c>
      <c r="BD40" s="632">
        <f t="shared" si="13"/>
        <v>7.1428571428571411E-2</v>
      </c>
      <c r="BE40" s="632" t="str">
        <f t="shared" si="13"/>
        <v/>
      </c>
      <c r="BF40" s="632" t="str">
        <f t="shared" si="13"/>
        <v/>
      </c>
      <c r="BG40" s="632" t="str">
        <f t="shared" si="13"/>
        <v/>
      </c>
      <c r="BH40" s="633" t="str">
        <f t="shared" si="13"/>
        <v/>
      </c>
      <c r="BI40" s="652">
        <f t="shared" si="10"/>
        <v>0.99999999999999967</v>
      </c>
      <c r="BJ40" s="822"/>
    </row>
    <row r="41" spans="32:62" ht="15" x14ac:dyDescent="0.2">
      <c r="AF41" s="807"/>
      <c r="AG41" s="583">
        <v>23</v>
      </c>
      <c r="AH41" s="634">
        <f t="shared" ref="AH41:BH41" si="14">IF(AH23&lt;&gt;"",AH23/$BI23,"")</f>
        <v>0.11111111111111109</v>
      </c>
      <c r="AI41" s="635">
        <f t="shared" si="14"/>
        <v>0.11111111111111109</v>
      </c>
      <c r="AJ41" s="635" t="str">
        <f t="shared" si="14"/>
        <v/>
      </c>
      <c r="AK41" s="635" t="str">
        <f t="shared" si="14"/>
        <v/>
      </c>
      <c r="AL41" s="635" t="str">
        <f t="shared" si="14"/>
        <v/>
      </c>
      <c r="AM41" s="635" t="str">
        <f t="shared" si="14"/>
        <v/>
      </c>
      <c r="AN41" s="635" t="str">
        <f t="shared" si="14"/>
        <v/>
      </c>
      <c r="AO41" s="635" t="str">
        <f t="shared" si="14"/>
        <v/>
      </c>
      <c r="AP41" s="635">
        <f t="shared" si="14"/>
        <v>0.11111111111111109</v>
      </c>
      <c r="AQ41" s="635" t="str">
        <f t="shared" si="14"/>
        <v/>
      </c>
      <c r="AR41" s="635" t="str">
        <f t="shared" si="14"/>
        <v/>
      </c>
      <c r="AS41" s="635" t="str">
        <f t="shared" si="14"/>
        <v/>
      </c>
      <c r="AT41" s="635" t="str">
        <f t="shared" si="14"/>
        <v/>
      </c>
      <c r="AU41" s="635" t="str">
        <f t="shared" si="14"/>
        <v/>
      </c>
      <c r="AV41" s="635">
        <f t="shared" si="14"/>
        <v>0.22222222222222218</v>
      </c>
      <c r="AW41" s="635">
        <f t="shared" si="14"/>
        <v>0.11111111111111109</v>
      </c>
      <c r="AX41" s="635" t="str">
        <f t="shared" si="14"/>
        <v/>
      </c>
      <c r="AY41" s="635" t="str">
        <f t="shared" si="14"/>
        <v/>
      </c>
      <c r="AZ41" s="635" t="str">
        <f t="shared" si="14"/>
        <v/>
      </c>
      <c r="BA41" s="635" t="str">
        <f t="shared" si="14"/>
        <v/>
      </c>
      <c r="BB41" s="635">
        <f t="shared" si="14"/>
        <v>0.11111111111111109</v>
      </c>
      <c r="BC41" s="635" t="str">
        <f t="shared" si="14"/>
        <v/>
      </c>
      <c r="BD41" s="635" t="str">
        <f t="shared" si="14"/>
        <v/>
      </c>
      <c r="BE41" s="635">
        <f t="shared" si="14"/>
        <v>0.11111111111111109</v>
      </c>
      <c r="BF41" s="635" t="str">
        <f t="shared" si="14"/>
        <v/>
      </c>
      <c r="BG41" s="635">
        <f t="shared" si="14"/>
        <v>0.11111111111111109</v>
      </c>
      <c r="BH41" s="636" t="str">
        <f t="shared" si="14"/>
        <v/>
      </c>
      <c r="BI41" s="653">
        <f t="shared" si="10"/>
        <v>0.99999999999999967</v>
      </c>
      <c r="BJ41" s="822"/>
    </row>
    <row r="42" spans="32:62" ht="15" x14ac:dyDescent="0.2">
      <c r="AF42" s="807"/>
      <c r="AG42" s="582">
        <v>24</v>
      </c>
      <c r="AH42" s="637" t="str">
        <f t="shared" ref="AH42:BH42" si="15">IF(AH24&lt;&gt;"",AH24/$BI24,"")</f>
        <v/>
      </c>
      <c r="AI42" s="638">
        <f t="shared" si="15"/>
        <v>0.16666666666666666</v>
      </c>
      <c r="AJ42" s="638" t="str">
        <f t="shared" si="15"/>
        <v/>
      </c>
      <c r="AK42" s="638" t="str">
        <f t="shared" si="15"/>
        <v/>
      </c>
      <c r="AL42" s="638" t="str">
        <f t="shared" si="15"/>
        <v/>
      </c>
      <c r="AM42" s="638" t="str">
        <f t="shared" si="15"/>
        <v/>
      </c>
      <c r="AN42" s="638" t="str">
        <f t="shared" si="15"/>
        <v/>
      </c>
      <c r="AO42" s="638" t="str">
        <f t="shared" si="15"/>
        <v/>
      </c>
      <c r="AP42" s="638">
        <f t="shared" si="15"/>
        <v>0.16666666666666666</v>
      </c>
      <c r="AQ42" s="638">
        <f t="shared" si="15"/>
        <v>0.16666666666666666</v>
      </c>
      <c r="AR42" s="638" t="str">
        <f t="shared" si="15"/>
        <v/>
      </c>
      <c r="AS42" s="638" t="str">
        <f t="shared" si="15"/>
        <v/>
      </c>
      <c r="AT42" s="638" t="str">
        <f t="shared" si="15"/>
        <v/>
      </c>
      <c r="AU42" s="638" t="str">
        <f t="shared" si="15"/>
        <v/>
      </c>
      <c r="AV42" s="638" t="str">
        <f t="shared" si="15"/>
        <v/>
      </c>
      <c r="AW42" s="638" t="str">
        <f t="shared" si="15"/>
        <v/>
      </c>
      <c r="AX42" s="638" t="str">
        <f t="shared" si="15"/>
        <v/>
      </c>
      <c r="AY42" s="638">
        <f t="shared" si="15"/>
        <v>0.33333333333333331</v>
      </c>
      <c r="AZ42" s="638">
        <f t="shared" si="15"/>
        <v>0.16666666666666666</v>
      </c>
      <c r="BA42" s="638" t="str">
        <f t="shared" si="15"/>
        <v/>
      </c>
      <c r="BB42" s="638" t="str">
        <f t="shared" si="15"/>
        <v/>
      </c>
      <c r="BC42" s="638" t="str">
        <f t="shared" si="15"/>
        <v/>
      </c>
      <c r="BD42" s="638" t="str">
        <f t="shared" si="15"/>
        <v/>
      </c>
      <c r="BE42" s="638" t="str">
        <f t="shared" si="15"/>
        <v/>
      </c>
      <c r="BF42" s="638" t="str">
        <f t="shared" si="15"/>
        <v/>
      </c>
      <c r="BG42" s="638" t="str">
        <f t="shared" si="15"/>
        <v/>
      </c>
      <c r="BH42" s="639" t="str">
        <f t="shared" si="15"/>
        <v/>
      </c>
      <c r="BI42" s="654">
        <f t="shared" si="10"/>
        <v>0.99999999999999989</v>
      </c>
      <c r="BJ42" s="822"/>
    </row>
    <row r="43" spans="32:62" ht="15" x14ac:dyDescent="0.2">
      <c r="AF43" s="807"/>
      <c r="AG43" s="583">
        <v>25</v>
      </c>
      <c r="AH43" s="640" t="str">
        <f t="shared" ref="AH43:BH43" si="16">IF(AH25&lt;&gt;"",AH25/$BI25,"")</f>
        <v/>
      </c>
      <c r="AI43" s="641" t="str">
        <f t="shared" si="16"/>
        <v/>
      </c>
      <c r="AJ43" s="641" t="str">
        <f t="shared" si="16"/>
        <v/>
      </c>
      <c r="AK43" s="641" t="str">
        <f t="shared" si="16"/>
        <v/>
      </c>
      <c r="AL43" s="641" t="str">
        <f t="shared" si="16"/>
        <v/>
      </c>
      <c r="AM43" s="641" t="str">
        <f t="shared" si="16"/>
        <v/>
      </c>
      <c r="AN43" s="641" t="str">
        <f t="shared" si="16"/>
        <v/>
      </c>
      <c r="AO43" s="641" t="str">
        <f t="shared" si="16"/>
        <v/>
      </c>
      <c r="AP43" s="641">
        <f t="shared" si="16"/>
        <v>0.12499999999999999</v>
      </c>
      <c r="AQ43" s="641" t="str">
        <f t="shared" si="16"/>
        <v/>
      </c>
      <c r="AR43" s="641">
        <f t="shared" si="16"/>
        <v>0.12499999999999999</v>
      </c>
      <c r="AS43" s="641" t="str">
        <f t="shared" si="16"/>
        <v/>
      </c>
      <c r="AT43" s="641" t="str">
        <f t="shared" si="16"/>
        <v/>
      </c>
      <c r="AU43" s="641" t="str">
        <f t="shared" si="16"/>
        <v/>
      </c>
      <c r="AV43" s="641">
        <f t="shared" si="16"/>
        <v>0.24999999999999997</v>
      </c>
      <c r="AW43" s="641">
        <f t="shared" si="16"/>
        <v>0.12499999999999999</v>
      </c>
      <c r="AX43" s="641">
        <f t="shared" si="16"/>
        <v>0.12499999999999999</v>
      </c>
      <c r="AY43" s="641" t="str">
        <f t="shared" si="16"/>
        <v/>
      </c>
      <c r="AZ43" s="641">
        <f t="shared" si="16"/>
        <v>0.12499999999999999</v>
      </c>
      <c r="BA43" s="641" t="str">
        <f t="shared" si="16"/>
        <v/>
      </c>
      <c r="BB43" s="641" t="str">
        <f t="shared" si="16"/>
        <v/>
      </c>
      <c r="BC43" s="641">
        <f t="shared" si="16"/>
        <v>0.12499999999999999</v>
      </c>
      <c r="BD43" s="641" t="str">
        <f t="shared" si="16"/>
        <v/>
      </c>
      <c r="BE43" s="641" t="str">
        <f t="shared" si="16"/>
        <v/>
      </c>
      <c r="BF43" s="641" t="str">
        <f t="shared" si="16"/>
        <v/>
      </c>
      <c r="BG43" s="641" t="str">
        <f t="shared" si="16"/>
        <v/>
      </c>
      <c r="BH43" s="642" t="str">
        <f t="shared" si="16"/>
        <v/>
      </c>
      <c r="BI43" s="655">
        <f t="shared" si="10"/>
        <v>0.99999999999999989</v>
      </c>
      <c r="BJ43" s="822"/>
    </row>
    <row r="44" spans="32:62" ht="15" x14ac:dyDescent="0.2">
      <c r="AF44" s="807"/>
      <c r="AG44" s="582">
        <v>26</v>
      </c>
      <c r="AH44" s="637" t="str">
        <f t="shared" ref="AH44:BH44" si="17">IF(AH26&lt;&gt;"",AH26/$BI26,"")</f>
        <v/>
      </c>
      <c r="AI44" s="638" t="str">
        <f t="shared" si="17"/>
        <v/>
      </c>
      <c r="AJ44" s="638" t="str">
        <f t="shared" si="17"/>
        <v/>
      </c>
      <c r="AK44" s="638" t="str">
        <f t="shared" si="17"/>
        <v/>
      </c>
      <c r="AL44" s="638">
        <f t="shared" si="17"/>
        <v>0.16666666666666666</v>
      </c>
      <c r="AM44" s="638" t="str">
        <f t="shared" si="17"/>
        <v/>
      </c>
      <c r="AN44" s="638" t="str">
        <f t="shared" si="17"/>
        <v/>
      </c>
      <c r="AO44" s="638" t="str">
        <f t="shared" si="17"/>
        <v/>
      </c>
      <c r="AP44" s="638" t="str">
        <f t="shared" si="17"/>
        <v/>
      </c>
      <c r="AQ44" s="638" t="str">
        <f t="shared" si="17"/>
        <v/>
      </c>
      <c r="AR44" s="638" t="str">
        <f t="shared" si="17"/>
        <v/>
      </c>
      <c r="AS44" s="638" t="str">
        <f t="shared" si="17"/>
        <v/>
      </c>
      <c r="AT44" s="638" t="str">
        <f t="shared" si="17"/>
        <v/>
      </c>
      <c r="AU44" s="638">
        <f t="shared" si="17"/>
        <v>0.16666666666666666</v>
      </c>
      <c r="AV44" s="638" t="str">
        <f t="shared" si="17"/>
        <v/>
      </c>
      <c r="AW44" s="638" t="str">
        <f t="shared" si="17"/>
        <v/>
      </c>
      <c r="AX44" s="638" t="str">
        <f t="shared" si="17"/>
        <v/>
      </c>
      <c r="AY44" s="638">
        <f t="shared" si="17"/>
        <v>0.16666666666666666</v>
      </c>
      <c r="AZ44" s="638" t="str">
        <f t="shared" si="17"/>
        <v/>
      </c>
      <c r="BA44" s="638">
        <f t="shared" si="17"/>
        <v>0.16666666666666666</v>
      </c>
      <c r="BB44" s="638">
        <f t="shared" si="17"/>
        <v>0.33333333333333331</v>
      </c>
      <c r="BC44" s="638" t="str">
        <f t="shared" si="17"/>
        <v/>
      </c>
      <c r="BD44" s="638" t="str">
        <f t="shared" si="17"/>
        <v/>
      </c>
      <c r="BE44" s="638" t="str">
        <f t="shared" si="17"/>
        <v/>
      </c>
      <c r="BF44" s="638" t="str">
        <f t="shared" si="17"/>
        <v/>
      </c>
      <c r="BG44" s="638" t="str">
        <f t="shared" si="17"/>
        <v/>
      </c>
      <c r="BH44" s="639" t="str">
        <f t="shared" si="17"/>
        <v/>
      </c>
      <c r="BI44" s="654">
        <f t="shared" si="10"/>
        <v>1</v>
      </c>
      <c r="BJ44" s="822"/>
    </row>
    <row r="45" spans="32:62" ht="15" x14ac:dyDescent="0.2">
      <c r="AF45" s="807"/>
      <c r="AG45" s="583">
        <v>27</v>
      </c>
      <c r="AH45" s="643" t="str">
        <f t="shared" ref="AH45:BH45" si="18">IF(AH27&lt;&gt;"",AH27/$BI27,"")</f>
        <v/>
      </c>
      <c r="AI45" s="644" t="str">
        <f t="shared" si="18"/>
        <v/>
      </c>
      <c r="AJ45" s="644" t="str">
        <f t="shared" si="18"/>
        <v/>
      </c>
      <c r="AK45" s="644" t="str">
        <f t="shared" si="18"/>
        <v/>
      </c>
      <c r="AL45" s="644" t="str">
        <f t="shared" si="18"/>
        <v/>
      </c>
      <c r="AM45" s="644" t="str">
        <f t="shared" si="18"/>
        <v/>
      </c>
      <c r="AN45" s="644" t="str">
        <f t="shared" si="18"/>
        <v/>
      </c>
      <c r="AO45" s="644" t="str">
        <f t="shared" si="18"/>
        <v/>
      </c>
      <c r="AP45" s="644" t="str">
        <f t="shared" si="18"/>
        <v/>
      </c>
      <c r="AQ45" s="644" t="str">
        <f t="shared" si="18"/>
        <v/>
      </c>
      <c r="AR45" s="644" t="str">
        <f t="shared" si="18"/>
        <v/>
      </c>
      <c r="AS45" s="644" t="str">
        <f t="shared" si="18"/>
        <v/>
      </c>
      <c r="AT45" s="644" t="str">
        <f t="shared" si="18"/>
        <v/>
      </c>
      <c r="AU45" s="644" t="str">
        <f t="shared" si="18"/>
        <v/>
      </c>
      <c r="AV45" s="644" t="str">
        <f t="shared" si="18"/>
        <v/>
      </c>
      <c r="AW45" s="644" t="str">
        <f t="shared" si="18"/>
        <v/>
      </c>
      <c r="AX45" s="644" t="str">
        <f t="shared" si="18"/>
        <v/>
      </c>
      <c r="AY45" s="644" t="str">
        <f t="shared" si="18"/>
        <v/>
      </c>
      <c r="AZ45" s="644" t="str">
        <f t="shared" si="18"/>
        <v/>
      </c>
      <c r="BA45" s="644" t="str">
        <f t="shared" si="18"/>
        <v/>
      </c>
      <c r="BB45" s="644" t="str">
        <f t="shared" si="18"/>
        <v/>
      </c>
      <c r="BC45" s="644" t="str">
        <f t="shared" si="18"/>
        <v/>
      </c>
      <c r="BD45" s="644" t="str">
        <f t="shared" si="18"/>
        <v/>
      </c>
      <c r="BE45" s="644" t="str">
        <f t="shared" si="18"/>
        <v/>
      </c>
      <c r="BF45" s="644" t="str">
        <f t="shared" si="18"/>
        <v/>
      </c>
      <c r="BG45" s="644">
        <f t="shared" si="18"/>
        <v>1</v>
      </c>
      <c r="BH45" s="645" t="str">
        <f t="shared" si="18"/>
        <v/>
      </c>
      <c r="BI45" s="656">
        <f t="shared" si="10"/>
        <v>1</v>
      </c>
      <c r="BJ45" s="822"/>
    </row>
    <row r="46" spans="32:62" ht="15.75" thickBot="1" x14ac:dyDescent="0.25">
      <c r="AF46" s="803"/>
      <c r="AG46" s="584">
        <v>28</v>
      </c>
      <c r="AH46" s="646" t="str">
        <f t="shared" ref="AH46:BH46" si="19">IF(AH28&lt;&gt;"",AH28/$BI28,"")</f>
        <v/>
      </c>
      <c r="AI46" s="647" t="str">
        <f t="shared" si="19"/>
        <v/>
      </c>
      <c r="AJ46" s="647" t="str">
        <f t="shared" si="19"/>
        <v/>
      </c>
      <c r="AK46" s="647" t="str">
        <f t="shared" si="19"/>
        <v/>
      </c>
      <c r="AL46" s="647" t="str">
        <f t="shared" si="19"/>
        <v/>
      </c>
      <c r="AM46" s="647" t="str">
        <f t="shared" si="19"/>
        <v/>
      </c>
      <c r="AN46" s="647" t="str">
        <f t="shared" si="19"/>
        <v/>
      </c>
      <c r="AO46" s="647">
        <f t="shared" si="19"/>
        <v>0.5</v>
      </c>
      <c r="AP46" s="647" t="str">
        <f t="shared" si="19"/>
        <v/>
      </c>
      <c r="AQ46" s="647" t="str">
        <f t="shared" si="19"/>
        <v/>
      </c>
      <c r="AR46" s="647" t="str">
        <f t="shared" si="19"/>
        <v/>
      </c>
      <c r="AS46" s="647" t="str">
        <f t="shared" si="19"/>
        <v/>
      </c>
      <c r="AT46" s="647" t="str">
        <f t="shared" si="19"/>
        <v/>
      </c>
      <c r="AU46" s="647" t="str">
        <f t="shared" si="19"/>
        <v/>
      </c>
      <c r="AV46" s="647" t="str">
        <f t="shared" si="19"/>
        <v/>
      </c>
      <c r="AW46" s="647" t="str">
        <f t="shared" si="19"/>
        <v/>
      </c>
      <c r="AX46" s="647" t="str">
        <f t="shared" si="19"/>
        <v/>
      </c>
      <c r="AY46" s="647" t="str">
        <f t="shared" si="19"/>
        <v/>
      </c>
      <c r="AZ46" s="647" t="str">
        <f t="shared" si="19"/>
        <v/>
      </c>
      <c r="BA46" s="647" t="str">
        <f t="shared" si="19"/>
        <v/>
      </c>
      <c r="BB46" s="647" t="str">
        <f t="shared" si="19"/>
        <v/>
      </c>
      <c r="BC46" s="647" t="str">
        <f t="shared" si="19"/>
        <v/>
      </c>
      <c r="BD46" s="647" t="str">
        <f t="shared" si="19"/>
        <v/>
      </c>
      <c r="BE46" s="647" t="str">
        <f t="shared" si="19"/>
        <v/>
      </c>
      <c r="BF46" s="647">
        <f t="shared" si="19"/>
        <v>0.5</v>
      </c>
      <c r="BG46" s="647" t="str">
        <f t="shared" si="19"/>
        <v/>
      </c>
      <c r="BH46" s="648" t="str">
        <f t="shared" si="19"/>
        <v/>
      </c>
      <c r="BI46" s="657">
        <f t="shared" si="10"/>
        <v>1</v>
      </c>
      <c r="BJ46" s="823"/>
    </row>
    <row r="47" spans="32:62" ht="15" thickBot="1" x14ac:dyDescent="0.25"/>
    <row r="48" spans="32:62" ht="15" x14ac:dyDescent="0.25">
      <c r="AF48" s="801" t="s">
        <v>235</v>
      </c>
      <c r="AG48" s="802"/>
      <c r="AH48" s="801" t="s">
        <v>38</v>
      </c>
      <c r="AI48" s="805"/>
      <c r="AJ48" s="805"/>
      <c r="AK48" s="805"/>
      <c r="AL48" s="805"/>
      <c r="AM48" s="805"/>
      <c r="AN48" s="805"/>
      <c r="AO48" s="805"/>
      <c r="AP48" s="805"/>
      <c r="AQ48" s="805"/>
      <c r="AR48" s="805"/>
      <c r="AS48" s="805"/>
      <c r="AT48" s="805"/>
      <c r="AU48" s="805"/>
      <c r="AV48" s="805"/>
      <c r="AW48" s="805"/>
      <c r="AX48" s="805"/>
      <c r="AY48" s="805"/>
      <c r="AZ48" s="805"/>
      <c r="BA48" s="805"/>
      <c r="BB48" s="805"/>
      <c r="BC48" s="805"/>
      <c r="BD48" s="805"/>
      <c r="BE48" s="805"/>
      <c r="BF48" s="805"/>
      <c r="BG48" s="805"/>
      <c r="BH48" s="806"/>
      <c r="BI48" s="606"/>
      <c r="BJ48" s="504"/>
    </row>
    <row r="49" spans="32:62" ht="15.75" thickBot="1" x14ac:dyDescent="0.25">
      <c r="AF49" s="803"/>
      <c r="AG49" s="804"/>
      <c r="AH49" s="587">
        <v>155</v>
      </c>
      <c r="AI49" s="588">
        <v>160</v>
      </c>
      <c r="AJ49" s="588">
        <v>161</v>
      </c>
      <c r="AK49" s="588">
        <v>163</v>
      </c>
      <c r="AL49" s="588">
        <v>164</v>
      </c>
      <c r="AM49" s="588">
        <v>165</v>
      </c>
      <c r="AN49" s="588">
        <v>168</v>
      </c>
      <c r="AO49" s="588">
        <v>169</v>
      </c>
      <c r="AP49" s="588">
        <v>170</v>
      </c>
      <c r="AQ49" s="588">
        <v>171</v>
      </c>
      <c r="AR49" s="588">
        <v>172</v>
      </c>
      <c r="AS49" s="588">
        <v>173</v>
      </c>
      <c r="AT49" s="588">
        <v>174</v>
      </c>
      <c r="AU49" s="588">
        <v>175</v>
      </c>
      <c r="AV49" s="588">
        <v>176</v>
      </c>
      <c r="AW49" s="588">
        <v>178</v>
      </c>
      <c r="AX49" s="588">
        <v>180</v>
      </c>
      <c r="AY49" s="588">
        <v>182</v>
      </c>
      <c r="AZ49" s="588">
        <v>183</v>
      </c>
      <c r="BA49" s="588">
        <v>184</v>
      </c>
      <c r="BB49" s="588">
        <v>185</v>
      </c>
      <c r="BC49" s="588">
        <v>187</v>
      </c>
      <c r="BD49" s="588">
        <v>188</v>
      </c>
      <c r="BE49" s="588">
        <v>189</v>
      </c>
      <c r="BF49" s="588">
        <v>190</v>
      </c>
      <c r="BG49" s="588">
        <v>193</v>
      </c>
      <c r="BH49" s="580">
        <v>195</v>
      </c>
      <c r="BI49" s="607"/>
      <c r="BJ49" s="504"/>
    </row>
    <row r="50" spans="32:62" ht="15" x14ac:dyDescent="0.2">
      <c r="AF50" s="801" t="s">
        <v>39</v>
      </c>
      <c r="AG50" s="581">
        <v>19</v>
      </c>
      <c r="AH50" s="643" t="str">
        <f>IF(AH19&lt;&gt;"",AH19/AH$29,"")</f>
        <v/>
      </c>
      <c r="AI50" s="661">
        <f t="shared" ref="AI50:BH50" si="20">IF(AI19&lt;&gt;"",AI19/AI$29,"")</f>
        <v>0.2</v>
      </c>
      <c r="AJ50" s="644" t="str">
        <f t="shared" si="20"/>
        <v/>
      </c>
      <c r="AK50" s="671" t="str">
        <f t="shared" si="20"/>
        <v/>
      </c>
      <c r="AL50" s="644" t="str">
        <f t="shared" si="20"/>
        <v/>
      </c>
      <c r="AM50" s="671" t="str">
        <f t="shared" si="20"/>
        <v/>
      </c>
      <c r="AN50" s="644">
        <f t="shared" si="20"/>
        <v>1</v>
      </c>
      <c r="AO50" s="644" t="str">
        <f t="shared" si="20"/>
        <v/>
      </c>
      <c r="AP50" s="661" t="str">
        <f t="shared" si="20"/>
        <v/>
      </c>
      <c r="AQ50" s="644" t="str">
        <f t="shared" si="20"/>
        <v/>
      </c>
      <c r="AR50" s="644" t="str">
        <f t="shared" si="20"/>
        <v/>
      </c>
      <c r="AS50" s="644" t="str">
        <f t="shared" si="20"/>
        <v/>
      </c>
      <c r="AT50" s="623" t="str">
        <f t="shared" si="20"/>
        <v/>
      </c>
      <c r="AU50" s="644" t="str">
        <f t="shared" si="20"/>
        <v/>
      </c>
      <c r="AV50" s="623" t="str">
        <f t="shared" si="20"/>
        <v/>
      </c>
      <c r="AW50" s="623" t="str">
        <f t="shared" si="20"/>
        <v/>
      </c>
      <c r="AX50" s="623" t="str">
        <f t="shared" si="20"/>
        <v/>
      </c>
      <c r="AY50" s="677">
        <f t="shared" si="20"/>
        <v>0.2</v>
      </c>
      <c r="AZ50" s="623" t="str">
        <f t="shared" si="20"/>
        <v/>
      </c>
      <c r="BA50" s="623" t="str">
        <f t="shared" si="20"/>
        <v/>
      </c>
      <c r="BB50" s="661" t="str">
        <f t="shared" si="20"/>
        <v/>
      </c>
      <c r="BC50" s="671" t="str">
        <f t="shared" si="20"/>
        <v/>
      </c>
      <c r="BD50" s="644" t="str">
        <f t="shared" si="20"/>
        <v/>
      </c>
      <c r="BE50" s="644" t="str">
        <f t="shared" si="20"/>
        <v/>
      </c>
      <c r="BF50" s="644" t="str">
        <f t="shared" si="20"/>
        <v/>
      </c>
      <c r="BG50" s="671" t="str">
        <f t="shared" si="20"/>
        <v/>
      </c>
      <c r="BH50" s="645" t="str">
        <f t="shared" si="20"/>
        <v/>
      </c>
      <c r="BI50" s="517"/>
    </row>
    <row r="51" spans="32:62" ht="15" x14ac:dyDescent="0.2">
      <c r="AF51" s="807"/>
      <c r="AG51" s="582">
        <v>20</v>
      </c>
      <c r="AH51" s="658" t="str">
        <f t="shared" ref="AH51:BH51" si="21">IF(AH20&lt;&gt;"",AH20/AH$29,"")</f>
        <v/>
      </c>
      <c r="AI51" s="662" t="str">
        <f t="shared" si="21"/>
        <v/>
      </c>
      <c r="AJ51" s="665" t="str">
        <f t="shared" si="21"/>
        <v/>
      </c>
      <c r="AK51" s="672">
        <f t="shared" si="21"/>
        <v>0.66666666666666663</v>
      </c>
      <c r="AL51" s="665" t="str">
        <f t="shared" si="21"/>
        <v/>
      </c>
      <c r="AM51" s="672" t="str">
        <f t="shared" si="21"/>
        <v/>
      </c>
      <c r="AN51" s="665" t="str">
        <f t="shared" si="21"/>
        <v/>
      </c>
      <c r="AO51" s="665" t="str">
        <f t="shared" si="21"/>
        <v/>
      </c>
      <c r="AP51" s="662">
        <f t="shared" si="21"/>
        <v>0.14285714285714285</v>
      </c>
      <c r="AQ51" s="665" t="str">
        <f t="shared" si="21"/>
        <v/>
      </c>
      <c r="AR51" s="665" t="str">
        <f t="shared" si="21"/>
        <v/>
      </c>
      <c r="AS51" s="665" t="str">
        <f t="shared" si="21"/>
        <v/>
      </c>
      <c r="AT51" s="674">
        <f t="shared" si="21"/>
        <v>0.33333333333333331</v>
      </c>
      <c r="AU51" s="665" t="str">
        <f t="shared" si="21"/>
        <v/>
      </c>
      <c r="AV51" s="674" t="str">
        <f t="shared" si="21"/>
        <v/>
      </c>
      <c r="AW51" s="674" t="str">
        <f t="shared" si="21"/>
        <v/>
      </c>
      <c r="AX51" s="674">
        <f t="shared" si="21"/>
        <v>0.25</v>
      </c>
      <c r="AY51" s="678">
        <f t="shared" si="21"/>
        <v>0.2</v>
      </c>
      <c r="AZ51" s="674">
        <f t="shared" si="21"/>
        <v>0.5</v>
      </c>
      <c r="BA51" s="674" t="str">
        <f t="shared" si="21"/>
        <v/>
      </c>
      <c r="BB51" s="662">
        <f t="shared" si="21"/>
        <v>0.14285714285714288</v>
      </c>
      <c r="BC51" s="672" t="str">
        <f t="shared" si="21"/>
        <v/>
      </c>
      <c r="BD51" s="665" t="str">
        <f t="shared" si="21"/>
        <v/>
      </c>
      <c r="BE51" s="665" t="str">
        <f t="shared" si="21"/>
        <v/>
      </c>
      <c r="BF51" s="665" t="str">
        <f t="shared" si="21"/>
        <v/>
      </c>
      <c r="BG51" s="672" t="str">
        <f t="shared" si="21"/>
        <v/>
      </c>
      <c r="BH51" s="668">
        <f t="shared" si="21"/>
        <v>1</v>
      </c>
      <c r="BI51" s="517"/>
    </row>
    <row r="52" spans="32:62" ht="15" x14ac:dyDescent="0.2">
      <c r="AF52" s="807"/>
      <c r="AG52" s="583">
        <v>21</v>
      </c>
      <c r="AH52" s="643" t="str">
        <f t="shared" ref="AH52:BH52" si="22">IF(AH21&lt;&gt;"",AH21/AH$29,"")</f>
        <v/>
      </c>
      <c r="AI52" s="661">
        <f t="shared" si="22"/>
        <v>0.2</v>
      </c>
      <c r="AJ52" s="644" t="str">
        <f t="shared" si="22"/>
        <v/>
      </c>
      <c r="AK52" s="671">
        <f t="shared" si="22"/>
        <v>0.33333333333333331</v>
      </c>
      <c r="AL52" s="644" t="str">
        <f t="shared" si="22"/>
        <v/>
      </c>
      <c r="AM52" s="671">
        <f t="shared" si="22"/>
        <v>0.33333333333333331</v>
      </c>
      <c r="AN52" s="644" t="str">
        <f t="shared" si="22"/>
        <v/>
      </c>
      <c r="AO52" s="644" t="str">
        <f t="shared" si="22"/>
        <v/>
      </c>
      <c r="AP52" s="661" t="str">
        <f t="shared" si="22"/>
        <v/>
      </c>
      <c r="AQ52" s="644" t="str">
        <f t="shared" si="22"/>
        <v/>
      </c>
      <c r="AR52" s="644" t="str">
        <f t="shared" si="22"/>
        <v/>
      </c>
      <c r="AS52" s="644">
        <f t="shared" si="22"/>
        <v>1</v>
      </c>
      <c r="AT52" s="623">
        <f t="shared" si="22"/>
        <v>0.33333333333333331</v>
      </c>
      <c r="AU52" s="644" t="str">
        <f t="shared" si="22"/>
        <v/>
      </c>
      <c r="AV52" s="623">
        <f t="shared" si="22"/>
        <v>0.33333333333333331</v>
      </c>
      <c r="AW52" s="623">
        <f t="shared" si="22"/>
        <v>0.33333333333333331</v>
      </c>
      <c r="AX52" s="623" t="str">
        <f t="shared" si="22"/>
        <v/>
      </c>
      <c r="AY52" s="677" t="str">
        <f t="shared" si="22"/>
        <v/>
      </c>
      <c r="AZ52" s="623" t="str">
        <f t="shared" si="22"/>
        <v/>
      </c>
      <c r="BA52" s="623">
        <f t="shared" si="22"/>
        <v>0.33333333333333331</v>
      </c>
      <c r="BB52" s="661">
        <f t="shared" si="22"/>
        <v>0.28571428571428575</v>
      </c>
      <c r="BC52" s="671" t="str">
        <f t="shared" si="22"/>
        <v/>
      </c>
      <c r="BD52" s="644" t="str">
        <f t="shared" si="22"/>
        <v/>
      </c>
      <c r="BE52" s="644" t="str">
        <f t="shared" si="22"/>
        <v/>
      </c>
      <c r="BF52" s="644" t="str">
        <f t="shared" si="22"/>
        <v/>
      </c>
      <c r="BG52" s="671" t="str">
        <f t="shared" si="22"/>
        <v/>
      </c>
      <c r="BH52" s="645" t="str">
        <f t="shared" si="22"/>
        <v/>
      </c>
      <c r="BI52" s="517"/>
    </row>
    <row r="53" spans="32:62" ht="15" x14ac:dyDescent="0.2">
      <c r="AF53" s="807"/>
      <c r="AG53" s="582">
        <v>22</v>
      </c>
      <c r="AH53" s="658" t="str">
        <f t="shared" ref="AH53:BH53" si="23">IF(AH22&lt;&gt;"",AH22/AH$29,"")</f>
        <v/>
      </c>
      <c r="AI53" s="662">
        <f t="shared" si="23"/>
        <v>0.2</v>
      </c>
      <c r="AJ53" s="665">
        <f t="shared" si="23"/>
        <v>1</v>
      </c>
      <c r="AK53" s="672" t="str">
        <f t="shared" si="23"/>
        <v/>
      </c>
      <c r="AL53" s="665" t="str">
        <f t="shared" si="23"/>
        <v/>
      </c>
      <c r="AM53" s="672">
        <f t="shared" si="23"/>
        <v>0.66666666666666663</v>
      </c>
      <c r="AN53" s="665" t="str">
        <f t="shared" si="23"/>
        <v/>
      </c>
      <c r="AO53" s="665" t="str">
        <f t="shared" si="23"/>
        <v/>
      </c>
      <c r="AP53" s="662">
        <f t="shared" si="23"/>
        <v>0.42857142857142855</v>
      </c>
      <c r="AQ53" s="665" t="str">
        <f t="shared" si="23"/>
        <v/>
      </c>
      <c r="AR53" s="665" t="str">
        <f t="shared" si="23"/>
        <v/>
      </c>
      <c r="AS53" s="665" t="str">
        <f t="shared" si="23"/>
        <v/>
      </c>
      <c r="AT53" s="674">
        <f t="shared" si="23"/>
        <v>0.33333333333333331</v>
      </c>
      <c r="AU53" s="665" t="str">
        <f t="shared" si="23"/>
        <v/>
      </c>
      <c r="AV53" s="674" t="str">
        <f t="shared" si="23"/>
        <v/>
      </c>
      <c r="AW53" s="674" t="str">
        <f t="shared" si="23"/>
        <v/>
      </c>
      <c r="AX53" s="674">
        <f t="shared" si="23"/>
        <v>0.5</v>
      </c>
      <c r="AY53" s="678" t="str">
        <f t="shared" si="23"/>
        <v/>
      </c>
      <c r="AZ53" s="674" t="str">
        <f t="shared" si="23"/>
        <v/>
      </c>
      <c r="BA53" s="674">
        <f t="shared" si="23"/>
        <v>0.33333333333333331</v>
      </c>
      <c r="BB53" s="662">
        <f t="shared" si="23"/>
        <v>0.14285714285714288</v>
      </c>
      <c r="BC53" s="672">
        <f t="shared" si="23"/>
        <v>0.5</v>
      </c>
      <c r="BD53" s="665">
        <f t="shared" si="23"/>
        <v>1</v>
      </c>
      <c r="BE53" s="665" t="str">
        <f t="shared" si="23"/>
        <v/>
      </c>
      <c r="BF53" s="665" t="str">
        <f t="shared" si="23"/>
        <v/>
      </c>
      <c r="BG53" s="672" t="str">
        <f t="shared" si="23"/>
        <v/>
      </c>
      <c r="BH53" s="668" t="str">
        <f t="shared" si="23"/>
        <v/>
      </c>
      <c r="BI53" s="517"/>
    </row>
    <row r="54" spans="32:62" ht="15" x14ac:dyDescent="0.2">
      <c r="AF54" s="807"/>
      <c r="AG54" s="583">
        <v>23</v>
      </c>
      <c r="AH54" s="643">
        <f t="shared" ref="AH54:BH54" si="24">IF(AH23&lt;&gt;"",AH23/AH$29,"")</f>
        <v>1</v>
      </c>
      <c r="AI54" s="661">
        <f t="shared" si="24"/>
        <v>0.2</v>
      </c>
      <c r="AJ54" s="644" t="str">
        <f t="shared" si="24"/>
        <v/>
      </c>
      <c r="AK54" s="671" t="str">
        <f t="shared" si="24"/>
        <v/>
      </c>
      <c r="AL54" s="644" t="str">
        <f t="shared" si="24"/>
        <v/>
      </c>
      <c r="AM54" s="671" t="str">
        <f t="shared" si="24"/>
        <v/>
      </c>
      <c r="AN54" s="644" t="str">
        <f t="shared" si="24"/>
        <v/>
      </c>
      <c r="AO54" s="644" t="str">
        <f t="shared" si="24"/>
        <v/>
      </c>
      <c r="AP54" s="661">
        <f t="shared" si="24"/>
        <v>0.14285714285714285</v>
      </c>
      <c r="AQ54" s="644" t="str">
        <f t="shared" si="24"/>
        <v/>
      </c>
      <c r="AR54" s="644" t="str">
        <f t="shared" si="24"/>
        <v/>
      </c>
      <c r="AS54" s="644" t="str">
        <f t="shared" si="24"/>
        <v/>
      </c>
      <c r="AT54" s="623" t="str">
        <f t="shared" si="24"/>
        <v/>
      </c>
      <c r="AU54" s="644" t="str">
        <f t="shared" si="24"/>
        <v/>
      </c>
      <c r="AV54" s="623">
        <f t="shared" si="24"/>
        <v>0.33333333333333331</v>
      </c>
      <c r="AW54" s="623">
        <f t="shared" si="24"/>
        <v>0.33333333333333331</v>
      </c>
      <c r="AX54" s="623" t="str">
        <f t="shared" si="24"/>
        <v/>
      </c>
      <c r="AY54" s="677" t="str">
        <f t="shared" si="24"/>
        <v/>
      </c>
      <c r="AZ54" s="623" t="str">
        <f t="shared" si="24"/>
        <v/>
      </c>
      <c r="BA54" s="623" t="str">
        <f t="shared" si="24"/>
        <v/>
      </c>
      <c r="BB54" s="661">
        <f t="shared" si="24"/>
        <v>0.14285714285714288</v>
      </c>
      <c r="BC54" s="671" t="str">
        <f t="shared" si="24"/>
        <v/>
      </c>
      <c r="BD54" s="644" t="str">
        <f t="shared" si="24"/>
        <v/>
      </c>
      <c r="BE54" s="644">
        <f t="shared" si="24"/>
        <v>1</v>
      </c>
      <c r="BF54" s="644" t="str">
        <f t="shared" si="24"/>
        <v/>
      </c>
      <c r="BG54" s="671">
        <f t="shared" si="24"/>
        <v>0.5</v>
      </c>
      <c r="BH54" s="645" t="str">
        <f t="shared" si="24"/>
        <v/>
      </c>
      <c r="BI54" s="517"/>
    </row>
    <row r="55" spans="32:62" ht="15" x14ac:dyDescent="0.2">
      <c r="AF55" s="807"/>
      <c r="AG55" s="582">
        <v>24</v>
      </c>
      <c r="AH55" s="658" t="str">
        <f t="shared" ref="AH55:BH55" si="25">IF(AH24&lt;&gt;"",AH24/AH$29,"")</f>
        <v/>
      </c>
      <c r="AI55" s="662">
        <f t="shared" si="25"/>
        <v>0.2</v>
      </c>
      <c r="AJ55" s="665" t="str">
        <f t="shared" si="25"/>
        <v/>
      </c>
      <c r="AK55" s="672" t="str">
        <f t="shared" si="25"/>
        <v/>
      </c>
      <c r="AL55" s="665" t="str">
        <f t="shared" si="25"/>
        <v/>
      </c>
      <c r="AM55" s="672" t="str">
        <f t="shared" si="25"/>
        <v/>
      </c>
      <c r="AN55" s="665" t="str">
        <f t="shared" si="25"/>
        <v/>
      </c>
      <c r="AO55" s="665" t="str">
        <f t="shared" si="25"/>
        <v/>
      </c>
      <c r="AP55" s="662">
        <f t="shared" si="25"/>
        <v>0.14285714285714285</v>
      </c>
      <c r="AQ55" s="665">
        <f t="shared" si="25"/>
        <v>1</v>
      </c>
      <c r="AR55" s="665" t="str">
        <f t="shared" si="25"/>
        <v/>
      </c>
      <c r="AS55" s="665" t="str">
        <f t="shared" si="25"/>
        <v/>
      </c>
      <c r="AT55" s="674" t="str">
        <f t="shared" si="25"/>
        <v/>
      </c>
      <c r="AU55" s="665" t="str">
        <f t="shared" si="25"/>
        <v/>
      </c>
      <c r="AV55" s="674" t="str">
        <f t="shared" si="25"/>
        <v/>
      </c>
      <c r="AW55" s="674" t="str">
        <f t="shared" si="25"/>
        <v/>
      </c>
      <c r="AX55" s="674" t="str">
        <f t="shared" si="25"/>
        <v/>
      </c>
      <c r="AY55" s="678">
        <f t="shared" si="25"/>
        <v>0.4</v>
      </c>
      <c r="AZ55" s="674">
        <f t="shared" si="25"/>
        <v>0.25</v>
      </c>
      <c r="BA55" s="674" t="str">
        <f t="shared" si="25"/>
        <v/>
      </c>
      <c r="BB55" s="662" t="str">
        <f t="shared" si="25"/>
        <v/>
      </c>
      <c r="BC55" s="672" t="str">
        <f t="shared" si="25"/>
        <v/>
      </c>
      <c r="BD55" s="665" t="str">
        <f t="shared" si="25"/>
        <v/>
      </c>
      <c r="BE55" s="665" t="str">
        <f t="shared" si="25"/>
        <v/>
      </c>
      <c r="BF55" s="665" t="str">
        <f t="shared" si="25"/>
        <v/>
      </c>
      <c r="BG55" s="672" t="str">
        <f t="shared" si="25"/>
        <v/>
      </c>
      <c r="BH55" s="668" t="str">
        <f t="shared" si="25"/>
        <v/>
      </c>
      <c r="BI55" s="517"/>
    </row>
    <row r="56" spans="32:62" ht="15" x14ac:dyDescent="0.2">
      <c r="AF56" s="807"/>
      <c r="AG56" s="583">
        <v>25</v>
      </c>
      <c r="AH56" s="643" t="str">
        <f t="shared" ref="AH56:BH56" si="26">IF(AH25&lt;&gt;"",AH25/AH$29,"")</f>
        <v/>
      </c>
      <c r="AI56" s="661" t="str">
        <f t="shared" si="26"/>
        <v/>
      </c>
      <c r="AJ56" s="644" t="str">
        <f t="shared" si="26"/>
        <v/>
      </c>
      <c r="AK56" s="671" t="str">
        <f t="shared" si="26"/>
        <v/>
      </c>
      <c r="AL56" s="644" t="str">
        <f t="shared" si="26"/>
        <v/>
      </c>
      <c r="AM56" s="671" t="str">
        <f t="shared" si="26"/>
        <v/>
      </c>
      <c r="AN56" s="644" t="str">
        <f t="shared" si="26"/>
        <v/>
      </c>
      <c r="AO56" s="644" t="str">
        <f t="shared" si="26"/>
        <v/>
      </c>
      <c r="AP56" s="661">
        <f t="shared" si="26"/>
        <v>0.14285714285714285</v>
      </c>
      <c r="AQ56" s="644" t="str">
        <f t="shared" si="26"/>
        <v/>
      </c>
      <c r="AR56" s="644">
        <f t="shared" si="26"/>
        <v>1</v>
      </c>
      <c r="AS56" s="644" t="str">
        <f t="shared" si="26"/>
        <v/>
      </c>
      <c r="AT56" s="623" t="str">
        <f t="shared" si="26"/>
        <v/>
      </c>
      <c r="AU56" s="644" t="str">
        <f t="shared" si="26"/>
        <v/>
      </c>
      <c r="AV56" s="623">
        <f t="shared" si="26"/>
        <v>0.33333333333333331</v>
      </c>
      <c r="AW56" s="623">
        <f t="shared" si="26"/>
        <v>0.33333333333333331</v>
      </c>
      <c r="AX56" s="623">
        <f t="shared" si="26"/>
        <v>0.25</v>
      </c>
      <c r="AY56" s="677" t="str">
        <f t="shared" si="26"/>
        <v/>
      </c>
      <c r="AZ56" s="623">
        <f t="shared" si="26"/>
        <v>0.25</v>
      </c>
      <c r="BA56" s="623" t="str">
        <f t="shared" si="26"/>
        <v/>
      </c>
      <c r="BB56" s="661" t="str">
        <f t="shared" si="26"/>
        <v/>
      </c>
      <c r="BC56" s="671">
        <f t="shared" si="26"/>
        <v>0.5</v>
      </c>
      <c r="BD56" s="644" t="str">
        <f t="shared" si="26"/>
        <v/>
      </c>
      <c r="BE56" s="644" t="str">
        <f t="shared" si="26"/>
        <v/>
      </c>
      <c r="BF56" s="644" t="str">
        <f t="shared" si="26"/>
        <v/>
      </c>
      <c r="BG56" s="671" t="str">
        <f t="shared" si="26"/>
        <v/>
      </c>
      <c r="BH56" s="645" t="str">
        <f t="shared" si="26"/>
        <v/>
      </c>
      <c r="BI56" s="517"/>
    </row>
    <row r="57" spans="32:62" ht="15" x14ac:dyDescent="0.2">
      <c r="AF57" s="807"/>
      <c r="AG57" s="582">
        <v>26</v>
      </c>
      <c r="AH57" s="658" t="str">
        <f t="shared" ref="AH57:BH57" si="27">IF(AH26&lt;&gt;"",AH26/AH$29,"")</f>
        <v/>
      </c>
      <c r="AI57" s="662" t="str">
        <f t="shared" si="27"/>
        <v/>
      </c>
      <c r="AJ57" s="665" t="str">
        <f t="shared" si="27"/>
        <v/>
      </c>
      <c r="AK57" s="672" t="str">
        <f t="shared" si="27"/>
        <v/>
      </c>
      <c r="AL57" s="665">
        <f t="shared" si="27"/>
        <v>1</v>
      </c>
      <c r="AM57" s="672" t="str">
        <f t="shared" si="27"/>
        <v/>
      </c>
      <c r="AN57" s="665" t="str">
        <f t="shared" si="27"/>
        <v/>
      </c>
      <c r="AO57" s="665" t="str">
        <f t="shared" si="27"/>
        <v/>
      </c>
      <c r="AP57" s="662" t="str">
        <f t="shared" si="27"/>
        <v/>
      </c>
      <c r="AQ57" s="665" t="str">
        <f t="shared" si="27"/>
        <v/>
      </c>
      <c r="AR57" s="665" t="str">
        <f t="shared" si="27"/>
        <v/>
      </c>
      <c r="AS57" s="665" t="str">
        <f t="shared" si="27"/>
        <v/>
      </c>
      <c r="AT57" s="674" t="str">
        <f t="shared" si="27"/>
        <v/>
      </c>
      <c r="AU57" s="665">
        <f t="shared" si="27"/>
        <v>1</v>
      </c>
      <c r="AV57" s="674" t="str">
        <f t="shared" si="27"/>
        <v/>
      </c>
      <c r="AW57" s="674" t="str">
        <f t="shared" si="27"/>
        <v/>
      </c>
      <c r="AX57" s="674" t="str">
        <f t="shared" si="27"/>
        <v/>
      </c>
      <c r="AY57" s="678">
        <f t="shared" si="27"/>
        <v>0.2</v>
      </c>
      <c r="AZ57" s="674" t="str">
        <f t="shared" si="27"/>
        <v/>
      </c>
      <c r="BA57" s="674">
        <f t="shared" si="27"/>
        <v>0.33333333333333331</v>
      </c>
      <c r="BB57" s="662">
        <f t="shared" si="27"/>
        <v>0.28571428571428575</v>
      </c>
      <c r="BC57" s="672" t="str">
        <f t="shared" si="27"/>
        <v/>
      </c>
      <c r="BD57" s="665" t="str">
        <f t="shared" si="27"/>
        <v/>
      </c>
      <c r="BE57" s="665" t="str">
        <f t="shared" si="27"/>
        <v/>
      </c>
      <c r="BF57" s="665" t="str">
        <f t="shared" si="27"/>
        <v/>
      </c>
      <c r="BG57" s="672" t="str">
        <f t="shared" si="27"/>
        <v/>
      </c>
      <c r="BH57" s="668" t="str">
        <f t="shared" si="27"/>
        <v/>
      </c>
      <c r="BI57" s="517"/>
    </row>
    <row r="58" spans="32:62" ht="15" x14ac:dyDescent="0.2">
      <c r="AF58" s="807"/>
      <c r="AG58" s="583">
        <v>27</v>
      </c>
      <c r="AH58" s="643" t="str">
        <f t="shared" ref="AH58:BH58" si="28">IF(AH27&lt;&gt;"",AH27/AH$29,"")</f>
        <v/>
      </c>
      <c r="AI58" s="661" t="str">
        <f t="shared" si="28"/>
        <v/>
      </c>
      <c r="AJ58" s="644" t="str">
        <f t="shared" si="28"/>
        <v/>
      </c>
      <c r="AK58" s="671" t="str">
        <f t="shared" si="28"/>
        <v/>
      </c>
      <c r="AL58" s="644" t="str">
        <f t="shared" si="28"/>
        <v/>
      </c>
      <c r="AM58" s="671" t="str">
        <f t="shared" si="28"/>
        <v/>
      </c>
      <c r="AN58" s="644" t="str">
        <f t="shared" si="28"/>
        <v/>
      </c>
      <c r="AO58" s="644" t="str">
        <f t="shared" si="28"/>
        <v/>
      </c>
      <c r="AP58" s="661" t="str">
        <f t="shared" si="28"/>
        <v/>
      </c>
      <c r="AQ58" s="644" t="str">
        <f t="shared" si="28"/>
        <v/>
      </c>
      <c r="AR58" s="644" t="str">
        <f t="shared" si="28"/>
        <v/>
      </c>
      <c r="AS58" s="644" t="str">
        <f t="shared" si="28"/>
        <v/>
      </c>
      <c r="AT58" s="623" t="str">
        <f t="shared" si="28"/>
        <v/>
      </c>
      <c r="AU58" s="644" t="str">
        <f t="shared" si="28"/>
        <v/>
      </c>
      <c r="AV58" s="623" t="str">
        <f t="shared" si="28"/>
        <v/>
      </c>
      <c r="AW58" s="623" t="str">
        <f t="shared" si="28"/>
        <v/>
      </c>
      <c r="AX58" s="623" t="str">
        <f t="shared" si="28"/>
        <v/>
      </c>
      <c r="AY58" s="677" t="str">
        <f t="shared" si="28"/>
        <v/>
      </c>
      <c r="AZ58" s="623" t="str">
        <f t="shared" si="28"/>
        <v/>
      </c>
      <c r="BA58" s="623" t="str">
        <f t="shared" si="28"/>
        <v/>
      </c>
      <c r="BB58" s="661" t="str">
        <f t="shared" si="28"/>
        <v/>
      </c>
      <c r="BC58" s="671" t="str">
        <f t="shared" si="28"/>
        <v/>
      </c>
      <c r="BD58" s="644" t="str">
        <f t="shared" si="28"/>
        <v/>
      </c>
      <c r="BE58" s="644" t="str">
        <f t="shared" si="28"/>
        <v/>
      </c>
      <c r="BF58" s="644" t="str">
        <f t="shared" si="28"/>
        <v/>
      </c>
      <c r="BG58" s="671">
        <f t="shared" si="28"/>
        <v>0.5</v>
      </c>
      <c r="BH58" s="645" t="str">
        <f t="shared" si="28"/>
        <v/>
      </c>
      <c r="BI58" s="517"/>
    </row>
    <row r="59" spans="32:62" ht="15.75" thickBot="1" x14ac:dyDescent="0.25">
      <c r="AF59" s="803"/>
      <c r="AG59" s="584">
        <v>28</v>
      </c>
      <c r="AH59" s="659" t="str">
        <f t="shared" ref="AH59:BH59" si="29">IF(AH28&lt;&gt;"",AH28/AH$29,"")</f>
        <v/>
      </c>
      <c r="AI59" s="663" t="str">
        <f t="shared" si="29"/>
        <v/>
      </c>
      <c r="AJ59" s="666" t="str">
        <f t="shared" si="29"/>
        <v/>
      </c>
      <c r="AK59" s="647" t="str">
        <f t="shared" si="29"/>
        <v/>
      </c>
      <c r="AL59" s="666" t="str">
        <f t="shared" si="29"/>
        <v/>
      </c>
      <c r="AM59" s="647" t="str">
        <f t="shared" si="29"/>
        <v/>
      </c>
      <c r="AN59" s="666" t="str">
        <f t="shared" si="29"/>
        <v/>
      </c>
      <c r="AO59" s="666">
        <f t="shared" si="29"/>
        <v>1</v>
      </c>
      <c r="AP59" s="663" t="str">
        <f t="shared" si="29"/>
        <v/>
      </c>
      <c r="AQ59" s="666" t="str">
        <f t="shared" si="29"/>
        <v/>
      </c>
      <c r="AR59" s="666" t="str">
        <f t="shared" si="29"/>
        <v/>
      </c>
      <c r="AS59" s="666" t="str">
        <f t="shared" si="29"/>
        <v/>
      </c>
      <c r="AT59" s="675" t="str">
        <f t="shared" si="29"/>
        <v/>
      </c>
      <c r="AU59" s="666" t="str">
        <f t="shared" si="29"/>
        <v/>
      </c>
      <c r="AV59" s="675" t="str">
        <f t="shared" si="29"/>
        <v/>
      </c>
      <c r="AW59" s="675" t="str">
        <f t="shared" si="29"/>
        <v/>
      </c>
      <c r="AX59" s="675" t="str">
        <f t="shared" si="29"/>
        <v/>
      </c>
      <c r="AY59" s="679" t="str">
        <f t="shared" si="29"/>
        <v/>
      </c>
      <c r="AZ59" s="675" t="str">
        <f t="shared" si="29"/>
        <v/>
      </c>
      <c r="BA59" s="675" t="str">
        <f t="shared" si="29"/>
        <v/>
      </c>
      <c r="BB59" s="663" t="str">
        <f t="shared" si="29"/>
        <v/>
      </c>
      <c r="BC59" s="647" t="str">
        <f t="shared" si="29"/>
        <v/>
      </c>
      <c r="BD59" s="666" t="str">
        <f t="shared" si="29"/>
        <v/>
      </c>
      <c r="BE59" s="666" t="str">
        <f t="shared" si="29"/>
        <v/>
      </c>
      <c r="BF59" s="666">
        <f t="shared" si="29"/>
        <v>1</v>
      </c>
      <c r="BG59" s="647" t="str">
        <f t="shared" si="29"/>
        <v/>
      </c>
      <c r="BH59" s="669" t="str">
        <f t="shared" si="29"/>
        <v/>
      </c>
      <c r="BI59" s="517"/>
    </row>
    <row r="60" spans="32:62" ht="15" x14ac:dyDescent="0.2">
      <c r="AF60" s="505"/>
      <c r="AG60" s="505"/>
      <c r="AH60" s="660">
        <f t="shared" ref="AH60" si="30">IF(SUM(AH50:AH59)&gt;0,SUM(AH50:AH59),"")</f>
        <v>1</v>
      </c>
      <c r="AI60" s="664">
        <f t="shared" ref="AI60" si="31">IF(SUM(AI50:AI59)&gt;0,SUM(AI50:AI59),"")</f>
        <v>1</v>
      </c>
      <c r="AJ60" s="667">
        <f t="shared" ref="AJ60" si="32">IF(SUM(AJ50:AJ59)&gt;0,SUM(AJ50:AJ59),"")</f>
        <v>1</v>
      </c>
      <c r="AK60" s="673">
        <f t="shared" ref="AK60" si="33">IF(SUM(AK50:AK59)&gt;0,SUM(AK50:AK59),"")</f>
        <v>1</v>
      </c>
      <c r="AL60" s="667">
        <f t="shared" ref="AL60" si="34">IF(SUM(AL50:AL59)&gt;0,SUM(AL50:AL59),"")</f>
        <v>1</v>
      </c>
      <c r="AM60" s="673">
        <f t="shared" ref="AM60" si="35">IF(SUM(AM50:AM59)&gt;0,SUM(AM50:AM59),"")</f>
        <v>1</v>
      </c>
      <c r="AN60" s="667">
        <f t="shared" ref="AN60" si="36">IF(SUM(AN50:AN59)&gt;0,SUM(AN50:AN59),"")</f>
        <v>1</v>
      </c>
      <c r="AO60" s="667">
        <f t="shared" ref="AO60" si="37">IF(SUM(AO50:AO59)&gt;0,SUM(AO50:AO59),"")</f>
        <v>1</v>
      </c>
      <c r="AP60" s="664">
        <f t="shared" ref="AP60" si="38">IF(SUM(AP50:AP59)&gt;0,SUM(AP50:AP59),"")</f>
        <v>0.99999999999999978</v>
      </c>
      <c r="AQ60" s="667">
        <f t="shared" ref="AQ60" si="39">IF(SUM(AQ50:AQ59)&gt;0,SUM(AQ50:AQ59),"")</f>
        <v>1</v>
      </c>
      <c r="AR60" s="667">
        <f t="shared" ref="AR60" si="40">IF(SUM(AR50:AR59)&gt;0,SUM(AR50:AR59),"")</f>
        <v>1</v>
      </c>
      <c r="AS60" s="667">
        <f t="shared" ref="AS60" si="41">IF(SUM(AS50:AS59)&gt;0,SUM(AS50:AS59),"")</f>
        <v>1</v>
      </c>
      <c r="AT60" s="676">
        <f t="shared" ref="AT60" si="42">IF(SUM(AT50:AT59)&gt;0,SUM(AT50:AT59),"")</f>
        <v>1</v>
      </c>
      <c r="AU60" s="667">
        <f t="shared" ref="AU60" si="43">IF(SUM(AU50:AU59)&gt;0,SUM(AU50:AU59),"")</f>
        <v>1</v>
      </c>
      <c r="AV60" s="676">
        <f t="shared" ref="AV60" si="44">IF(SUM(AV50:AV59)&gt;0,SUM(AV50:AV59),"")</f>
        <v>1</v>
      </c>
      <c r="AW60" s="676">
        <f t="shared" ref="AW60" si="45">IF(SUM(AW50:AW59)&gt;0,SUM(AW50:AW59),"")</f>
        <v>1</v>
      </c>
      <c r="AX60" s="676">
        <f t="shared" ref="AX60" si="46">IF(SUM(AX50:AX59)&gt;0,SUM(AX50:AX59),"")</f>
        <v>1</v>
      </c>
      <c r="AY60" s="680">
        <f t="shared" ref="AY60" si="47">IF(SUM(AY50:AY59)&gt;0,SUM(AY50:AY59),"")</f>
        <v>1</v>
      </c>
      <c r="AZ60" s="676">
        <f t="shared" ref="AZ60" si="48">IF(SUM(AZ50:AZ59)&gt;0,SUM(AZ50:AZ59),"")</f>
        <v>1</v>
      </c>
      <c r="BA60" s="676">
        <f t="shared" ref="BA60" si="49">IF(SUM(BA50:BA59)&gt;0,SUM(BA50:BA59),"")</f>
        <v>1</v>
      </c>
      <c r="BB60" s="664">
        <f t="shared" ref="BB60" si="50">IF(SUM(BB50:BB59)&gt;0,SUM(BB50:BB59),"")</f>
        <v>1.0000000000000002</v>
      </c>
      <c r="BC60" s="673">
        <f t="shared" ref="BC60" si="51">IF(SUM(BC50:BC59)&gt;0,SUM(BC50:BC59),"")</f>
        <v>1</v>
      </c>
      <c r="BD60" s="667">
        <f t="shared" ref="BD60" si="52">IF(SUM(BD50:BD59)&gt;0,SUM(BD50:BD59),"")</f>
        <v>1</v>
      </c>
      <c r="BE60" s="667">
        <f t="shared" ref="BE60" si="53">IF(SUM(BE50:BE59)&gt;0,SUM(BE50:BE59),"")</f>
        <v>1</v>
      </c>
      <c r="BF60" s="667">
        <f t="shared" ref="BF60" si="54">IF(SUM(BF50:BF59)&gt;0,SUM(BF50:BF59),"")</f>
        <v>1</v>
      </c>
      <c r="BG60" s="673">
        <f t="shared" ref="BG60" si="55">IF(SUM(BG50:BG59)&gt;0,SUM(BG50:BG59),"")</f>
        <v>1</v>
      </c>
      <c r="BH60" s="670">
        <f t="shared" ref="BH60" si="56">IF(SUM(BH50:BH59)&gt;0,SUM(BH50:BH59),"")</f>
        <v>1</v>
      </c>
      <c r="BI60" s="616"/>
      <c r="BJ60" s="504"/>
    </row>
    <row r="61" spans="32:62" ht="15.75" thickBot="1" x14ac:dyDescent="0.25">
      <c r="AF61" s="504"/>
      <c r="AG61" s="504"/>
      <c r="AH61" s="818" t="s">
        <v>210</v>
      </c>
      <c r="AI61" s="819"/>
      <c r="AJ61" s="819"/>
      <c r="AK61" s="819"/>
      <c r="AL61" s="819"/>
      <c r="AM61" s="819"/>
      <c r="AN61" s="819"/>
      <c r="AO61" s="819"/>
      <c r="AP61" s="819"/>
      <c r="AQ61" s="819"/>
      <c r="AR61" s="819"/>
      <c r="AS61" s="819"/>
      <c r="AT61" s="819"/>
      <c r="AU61" s="819"/>
      <c r="AV61" s="819"/>
      <c r="AW61" s="819"/>
      <c r="AX61" s="819"/>
      <c r="AY61" s="819"/>
      <c r="AZ61" s="819"/>
      <c r="BA61" s="819"/>
      <c r="BB61" s="819"/>
      <c r="BC61" s="819"/>
      <c r="BD61" s="819"/>
      <c r="BE61" s="819"/>
      <c r="BF61" s="819"/>
      <c r="BG61" s="819"/>
      <c r="BH61" s="820"/>
      <c r="BI61" s="607"/>
      <c r="BJ61" s="504"/>
    </row>
  </sheetData>
  <mergeCells count="28">
    <mergeCell ref="AH61:BH61"/>
    <mergeCell ref="AF37:AF46"/>
    <mergeCell ref="BJ37:BJ46"/>
    <mergeCell ref="AF48:AG49"/>
    <mergeCell ref="AH48:BH48"/>
    <mergeCell ref="AF50:AF59"/>
    <mergeCell ref="AH30:BH30"/>
    <mergeCell ref="D32:M32"/>
    <mergeCell ref="S32:AB32"/>
    <mergeCell ref="AF35:AG36"/>
    <mergeCell ref="AH35:BH35"/>
    <mergeCell ref="B4:B30"/>
    <mergeCell ref="O4:O30"/>
    <mergeCell ref="Q4:Q30"/>
    <mergeCell ref="AD4:AD30"/>
    <mergeCell ref="AF4:AF13"/>
    <mergeCell ref="BJ4:BJ13"/>
    <mergeCell ref="AH15:BH15"/>
    <mergeCell ref="AF17:AG18"/>
    <mergeCell ref="AH17:BH17"/>
    <mergeCell ref="AF19:AF28"/>
    <mergeCell ref="BJ19:BJ28"/>
    <mergeCell ref="AH2:BH2"/>
    <mergeCell ref="B2:C3"/>
    <mergeCell ref="D2:M2"/>
    <mergeCell ref="Q2:R3"/>
    <mergeCell ref="S2:AB2"/>
    <mergeCell ref="AF2:AG3"/>
  </mergeCells>
  <pageMargins left="0" right="0" top="0" bottom="0" header="0" footer="0"/>
  <pageSetup paperSize="9" scale="98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B2:AK59"/>
  <sheetViews>
    <sheetView topLeftCell="A28" workbookViewId="0">
      <selection activeCell="AD57" sqref="AD57"/>
    </sheetView>
  </sheetViews>
  <sheetFormatPr baseColWidth="10" defaultColWidth="11.42578125" defaultRowHeight="15" x14ac:dyDescent="0.25"/>
  <cols>
    <col min="1" max="1" width="11.42578125" style="6"/>
    <col min="2" max="3" width="6.7109375" style="6" customWidth="1"/>
    <col min="4" max="6" width="6.7109375" style="7" customWidth="1"/>
    <col min="7" max="7" width="6.7109375" style="8" customWidth="1"/>
    <col min="8" max="8" width="4.7109375" style="8" customWidth="1"/>
    <col min="9" max="14" width="6.7109375" style="6" customWidth="1"/>
    <col min="15" max="15" width="1.7109375" style="6" customWidth="1"/>
    <col min="16" max="16" width="1.7109375" style="406" customWidth="1"/>
    <col min="17" max="17" width="1.7109375" style="6" customWidth="1"/>
    <col min="18" max="18" width="6.7109375" style="6" customWidth="1"/>
    <col min="19" max="19" width="4.7109375" style="6" customWidth="1"/>
    <col min="20" max="21" width="8.7109375" style="6" customWidth="1"/>
    <col min="22" max="22" width="1.7109375" style="6" customWidth="1"/>
    <col min="23" max="23" width="1.7109375" style="406" customWidth="1"/>
    <col min="24" max="24" width="1.7109375" style="6" customWidth="1"/>
    <col min="25" max="26" width="6.7109375" style="6" customWidth="1"/>
    <col min="27" max="28" width="8.7109375" style="6" customWidth="1"/>
    <col min="29" max="39" width="6.7109375" style="6" customWidth="1"/>
    <col min="40" max="41" width="8.7109375" style="6" customWidth="1"/>
    <col min="42" max="16384" width="11.42578125" style="6"/>
  </cols>
  <sheetData>
    <row r="2" spans="2:37" x14ac:dyDescent="0.25">
      <c r="B2" s="834" t="s">
        <v>172</v>
      </c>
      <c r="C2" s="834"/>
      <c r="D2" s="834"/>
      <c r="E2" s="834"/>
      <c r="F2" s="834"/>
      <c r="G2" s="835"/>
      <c r="H2" s="835"/>
      <c r="I2" s="834"/>
      <c r="J2" s="834"/>
      <c r="K2" s="834"/>
      <c r="L2" s="834"/>
      <c r="M2" s="834"/>
      <c r="N2" s="834"/>
      <c r="R2" s="837" t="s">
        <v>174</v>
      </c>
      <c r="S2" s="837"/>
      <c r="T2" s="837"/>
      <c r="U2" s="837"/>
      <c r="Y2" s="836" t="s">
        <v>173</v>
      </c>
      <c r="Z2" s="836"/>
      <c r="AA2" s="836"/>
      <c r="AB2" s="836"/>
      <c r="AC2" s="836"/>
      <c r="AD2" s="751"/>
      <c r="AE2" s="751"/>
      <c r="AF2" s="836"/>
      <c r="AG2" s="836"/>
      <c r="AH2" s="836"/>
      <c r="AI2" s="836"/>
      <c r="AJ2" s="836"/>
      <c r="AK2" s="836"/>
    </row>
    <row r="3" spans="2:37" ht="15.75" thickBot="1" x14ac:dyDescent="0.3"/>
    <row r="4" spans="2:37" ht="15" customHeight="1" x14ac:dyDescent="0.25">
      <c r="B4" s="841" t="s">
        <v>175</v>
      </c>
      <c r="C4" s="842"/>
      <c r="D4" s="769" t="s">
        <v>54</v>
      </c>
      <c r="E4" s="770"/>
      <c r="I4" s="769" t="s">
        <v>171</v>
      </c>
      <c r="J4" s="770"/>
      <c r="K4" s="769" t="s">
        <v>54</v>
      </c>
      <c r="L4" s="770"/>
      <c r="M4" s="7"/>
      <c r="N4" s="8"/>
      <c r="R4" s="828" t="s">
        <v>56</v>
      </c>
      <c r="S4" s="829"/>
      <c r="T4" s="832" t="s">
        <v>54</v>
      </c>
      <c r="U4" s="770"/>
      <c r="Y4" s="769" t="s">
        <v>171</v>
      </c>
      <c r="Z4" s="770"/>
      <c r="AA4" s="769" t="s">
        <v>54</v>
      </c>
      <c r="AB4" s="770"/>
      <c r="AC4" s="7"/>
      <c r="AD4" s="8"/>
      <c r="AF4" s="824" t="s">
        <v>176</v>
      </c>
      <c r="AG4" s="825"/>
      <c r="AH4" s="769" t="s">
        <v>54</v>
      </c>
      <c r="AI4" s="770"/>
      <c r="AJ4" s="7"/>
      <c r="AK4" s="8"/>
    </row>
    <row r="5" spans="2:37" s="7" customFormat="1" ht="24" customHeight="1" thickBot="1" x14ac:dyDescent="0.3">
      <c r="B5" s="843"/>
      <c r="C5" s="844"/>
      <c r="D5" s="23" t="s">
        <v>17</v>
      </c>
      <c r="E5" s="24" t="s">
        <v>19</v>
      </c>
      <c r="I5" s="771"/>
      <c r="J5" s="772"/>
      <c r="K5" s="23" t="s">
        <v>17</v>
      </c>
      <c r="L5" s="24" t="s">
        <v>19</v>
      </c>
      <c r="N5" s="8"/>
      <c r="P5" s="407"/>
      <c r="R5" s="830"/>
      <c r="S5" s="831"/>
      <c r="T5" s="12" t="s">
        <v>17</v>
      </c>
      <c r="U5" s="24" t="s">
        <v>19</v>
      </c>
      <c r="W5" s="407"/>
      <c r="Y5" s="771"/>
      <c r="Z5" s="772"/>
      <c r="AA5" s="23" t="s">
        <v>17</v>
      </c>
      <c r="AB5" s="24" t="s">
        <v>19</v>
      </c>
      <c r="AD5" s="8"/>
      <c r="AF5" s="826"/>
      <c r="AG5" s="827"/>
      <c r="AH5" s="23" t="s">
        <v>17</v>
      </c>
      <c r="AI5" s="24" t="s">
        <v>19</v>
      </c>
    </row>
    <row r="6" spans="2:37" ht="15.75" customHeight="1" x14ac:dyDescent="0.25">
      <c r="B6" s="769" t="s">
        <v>38</v>
      </c>
      <c r="C6" s="351">
        <f>Häufigkeiten!$E$7</f>
        <v>155</v>
      </c>
      <c r="D6" s="376">
        <f>IF(COUNTIFS(Urlisten!$C$16:$EL$16,$C6,Urlisten!$C$18:$EL$18,D$5)&gt;0,COUNTIFS(Urlisten!$C$16:$EL$16,$C6,Urlisten!$C$18:$EL$18,D$5),0)</f>
        <v>0</v>
      </c>
      <c r="E6" s="377">
        <f>IF(COUNTIFS(Urlisten!$C$16:$EL$16,$C6,Urlisten!$C$18:$EL$18,E$5)&gt;0,COUNTIFS(Urlisten!$C$16:$EL$16,$C6,Urlisten!$C$18:$EL$18,E$5),0)</f>
        <v>1</v>
      </c>
      <c r="F6" s="360">
        <f>IF(SUM(D6:E6)&gt;0,SUM(D6:E6),"")</f>
        <v>1</v>
      </c>
      <c r="G6" s="838" t="s">
        <v>165</v>
      </c>
      <c r="H6" s="22"/>
      <c r="I6" s="769" t="s">
        <v>38</v>
      </c>
      <c r="J6" s="351">
        <f>Häufigkeiten!$E$7</f>
        <v>155</v>
      </c>
      <c r="K6" s="385" t="str">
        <f>IF(D6&gt;0,D6/$F$51,"")</f>
        <v/>
      </c>
      <c r="L6" s="386">
        <f>IF(E6&gt;0,E6/$F$51,"")</f>
        <v>1.4285714285714285E-2</v>
      </c>
      <c r="M6" s="393">
        <f>IF(SUM(K6:L6)&gt;0,SUM(K6:L6),"")</f>
        <v>1.4285714285714285E-2</v>
      </c>
      <c r="N6" s="757" t="s">
        <v>169</v>
      </c>
      <c r="R6" s="769" t="s">
        <v>38</v>
      </c>
      <c r="S6" s="351">
        <f>Häufigkeiten!$E$7</f>
        <v>155</v>
      </c>
      <c r="T6" s="392">
        <f t="shared" ref="T6:T50" si="0">IF($F6&lt;&gt;"",(D6-AH6)^2/AH6,"")</f>
        <v>0.67142857142857126</v>
      </c>
      <c r="U6" s="395">
        <f t="shared" ref="U6:U50" si="1">IF($F6&lt;&gt;"",(E6-AI6)^2/AI6,"")</f>
        <v>1.3720496894409933</v>
      </c>
      <c r="Y6" s="769" t="s">
        <v>38</v>
      </c>
      <c r="Z6" s="351">
        <f>Häufigkeiten!$E$7</f>
        <v>155</v>
      </c>
      <c r="AA6" s="400">
        <f t="shared" ref="AA6:AB10" si="2">IF($M6&lt;&gt;"",$M6*K$51,"")</f>
        <v>9.5918367346938746E-3</v>
      </c>
      <c r="AB6" s="401">
        <f t="shared" si="2"/>
        <v>4.6938775510204089E-3</v>
      </c>
      <c r="AC6" s="363">
        <f>IF(SUM(AA6:AB6)&gt;0,SUM(AA6:AB6),"")</f>
        <v>1.4285714285714284E-2</v>
      </c>
      <c r="AD6" s="757" t="s">
        <v>169</v>
      </c>
      <c r="AF6" s="769" t="s">
        <v>38</v>
      </c>
      <c r="AG6" s="351">
        <f>Häufigkeiten!$E$7</f>
        <v>155</v>
      </c>
      <c r="AH6" s="392">
        <f>IF(AA6&lt;&gt;"",AA6*$F$51,"")</f>
        <v>0.67142857142857126</v>
      </c>
      <c r="AI6" s="395">
        <f>IF(AB6&lt;&gt;"",AB6*$F$51,"")</f>
        <v>0.32857142857142863</v>
      </c>
      <c r="AJ6" s="360">
        <f>IF(SUM(AH6:AI6)&gt;0,SUM(AH6:AI6),"")</f>
        <v>0.99999999999999989</v>
      </c>
      <c r="AK6" s="838" t="s">
        <v>165</v>
      </c>
    </row>
    <row r="7" spans="2:37" x14ac:dyDescent="0.25">
      <c r="B7" s="777"/>
      <c r="C7" s="352">
        <f>C6+1</f>
        <v>156</v>
      </c>
      <c r="D7" s="378">
        <f>IF(COUNTIFS(Urlisten!$C$16:$EL$16,$C7,Urlisten!$C$18:$EL$18,D$5)&gt;0,COUNTIFS(Urlisten!$C$16:$EL$16,$C7,Urlisten!$C$18:$EL$18,D$5),0)</f>
        <v>0</v>
      </c>
      <c r="E7" s="379">
        <f>IF(COUNTIFS(Urlisten!$C$16:$EL$16,$C7,Urlisten!$C$18:$EL$18,E$5)&gt;0,COUNTIFS(Urlisten!$C$16:$EL$16,$C7,Urlisten!$C$18:$EL$18,E$5),0)</f>
        <v>0</v>
      </c>
      <c r="F7" s="361" t="str">
        <f t="shared" ref="F7:F50" si="3">IF(SUM(D7:E7)&gt;0,SUM(D7:E7),"")</f>
        <v/>
      </c>
      <c r="G7" s="839"/>
      <c r="H7" s="22"/>
      <c r="I7" s="777"/>
      <c r="J7" s="352">
        <f>J6+1</f>
        <v>156</v>
      </c>
      <c r="K7" s="387" t="str">
        <f t="shared" ref="K7:K50" si="4">IF(D7&gt;0,D7/$F$51,"")</f>
        <v/>
      </c>
      <c r="L7" s="388" t="str">
        <f t="shared" ref="L7:L50" si="5">IF(E7&gt;0,E7/$F$51,"")</f>
        <v/>
      </c>
      <c r="M7" s="364" t="str">
        <f t="shared" ref="M7:M50" si="6">IF(SUM(K7:L7)&gt;0,SUM(K7:L7),"")</f>
        <v/>
      </c>
      <c r="N7" s="758"/>
      <c r="R7" s="777"/>
      <c r="S7" s="352">
        <f>S6+1</f>
        <v>156</v>
      </c>
      <c r="T7" s="396" t="str">
        <f t="shared" si="0"/>
        <v/>
      </c>
      <c r="U7" s="397" t="str">
        <f t="shared" si="1"/>
        <v/>
      </c>
      <c r="Y7" s="777"/>
      <c r="Z7" s="352">
        <f>Z6+1</f>
        <v>156</v>
      </c>
      <c r="AA7" s="402" t="str">
        <f t="shared" si="2"/>
        <v/>
      </c>
      <c r="AB7" s="403" t="str">
        <f t="shared" si="2"/>
        <v/>
      </c>
      <c r="AC7" s="364" t="str">
        <f t="shared" ref="AC7:AC17" si="7">IF(SUM(AA7:AB7)&gt;0,SUM(AA7:AB7),"")</f>
        <v/>
      </c>
      <c r="AD7" s="758"/>
      <c r="AF7" s="777"/>
      <c r="AG7" s="352">
        <f>AG6+1</f>
        <v>156</v>
      </c>
      <c r="AH7" s="396" t="str">
        <f t="shared" ref="AH7:AH26" si="8">IF(AA7&lt;&gt;"",AA7*$F$51,"")</f>
        <v/>
      </c>
      <c r="AI7" s="397" t="str">
        <f t="shared" ref="AI7:AI26" si="9">IF(AB7&lt;&gt;"",AB7*$F$51,"")</f>
        <v/>
      </c>
      <c r="AJ7" s="361" t="str">
        <f t="shared" ref="AJ7:AJ50" si="10">IF(SUM(AH7:AI7)&gt;0,SUM(AH7:AI7),"")</f>
        <v/>
      </c>
      <c r="AK7" s="839"/>
    </row>
    <row r="8" spans="2:37" x14ac:dyDescent="0.25">
      <c r="B8" s="777"/>
      <c r="C8" s="352">
        <f t="shared" ref="C8:C50" si="11">C7+1</f>
        <v>157</v>
      </c>
      <c r="D8" s="378">
        <f>IF(COUNTIFS(Urlisten!$C$16:$EL$16,$C8,Urlisten!$C$18:$EL$18,D$5)&gt;0,COUNTIFS(Urlisten!$C$16:$EL$16,$C8,Urlisten!$C$18:$EL$18,D$5),0)</f>
        <v>0</v>
      </c>
      <c r="E8" s="379">
        <f>IF(COUNTIFS(Urlisten!$C$16:$EL$16,$C8,Urlisten!$C$18:$EL$18,E$5)&gt;0,COUNTIFS(Urlisten!$C$16:$EL$16,$C8,Urlisten!$C$18:$EL$18,E$5),0)</f>
        <v>0</v>
      </c>
      <c r="F8" s="361" t="str">
        <f t="shared" si="3"/>
        <v/>
      </c>
      <c r="G8" s="839"/>
      <c r="H8" s="22"/>
      <c r="I8" s="777"/>
      <c r="J8" s="352">
        <f t="shared" ref="J8:J50" si="12">J7+1</f>
        <v>157</v>
      </c>
      <c r="K8" s="387" t="str">
        <f t="shared" si="4"/>
        <v/>
      </c>
      <c r="L8" s="388" t="str">
        <f t="shared" si="5"/>
        <v/>
      </c>
      <c r="M8" s="364" t="str">
        <f t="shared" si="6"/>
        <v/>
      </c>
      <c r="N8" s="758"/>
      <c r="R8" s="777"/>
      <c r="S8" s="352">
        <f t="shared" ref="S8:S50" si="13">S7+1</f>
        <v>157</v>
      </c>
      <c r="T8" s="396" t="str">
        <f t="shared" si="0"/>
        <v/>
      </c>
      <c r="U8" s="397" t="str">
        <f t="shared" si="1"/>
        <v/>
      </c>
      <c r="Y8" s="777"/>
      <c r="Z8" s="352">
        <f t="shared" ref="Z8:Z50" si="14">Z7+1</f>
        <v>157</v>
      </c>
      <c r="AA8" s="402" t="str">
        <f t="shared" si="2"/>
        <v/>
      </c>
      <c r="AB8" s="403" t="str">
        <f t="shared" si="2"/>
        <v/>
      </c>
      <c r="AC8" s="364" t="str">
        <f t="shared" si="7"/>
        <v/>
      </c>
      <c r="AD8" s="758"/>
      <c r="AF8" s="777"/>
      <c r="AG8" s="352">
        <f t="shared" ref="AG8:AG50" si="15">AG7+1</f>
        <v>157</v>
      </c>
      <c r="AH8" s="396" t="str">
        <f t="shared" si="8"/>
        <v/>
      </c>
      <c r="AI8" s="397" t="str">
        <f t="shared" si="9"/>
        <v/>
      </c>
      <c r="AJ8" s="361" t="str">
        <f t="shared" si="10"/>
        <v/>
      </c>
      <c r="AK8" s="839"/>
    </row>
    <row r="9" spans="2:37" x14ac:dyDescent="0.25">
      <c r="B9" s="777"/>
      <c r="C9" s="352">
        <f t="shared" si="11"/>
        <v>158</v>
      </c>
      <c r="D9" s="378">
        <f>IF(COUNTIFS(Urlisten!$C$16:$EL$16,$C9,Urlisten!$C$18:$EL$18,D$5)&gt;0,COUNTIFS(Urlisten!$C$16:$EL$16,$C9,Urlisten!$C$18:$EL$18,D$5),0)</f>
        <v>0</v>
      </c>
      <c r="E9" s="379">
        <f>IF(COUNTIFS(Urlisten!$C$16:$EL$16,$C9,Urlisten!$C$18:$EL$18,E$5)&gt;0,COUNTIFS(Urlisten!$C$16:$EL$16,$C9,Urlisten!$C$18:$EL$18,E$5),0)</f>
        <v>0</v>
      </c>
      <c r="F9" s="361" t="str">
        <f t="shared" si="3"/>
        <v/>
      </c>
      <c r="G9" s="839"/>
      <c r="H9" s="22"/>
      <c r="I9" s="777"/>
      <c r="J9" s="352">
        <f t="shared" si="12"/>
        <v>158</v>
      </c>
      <c r="K9" s="387" t="str">
        <f t="shared" si="4"/>
        <v/>
      </c>
      <c r="L9" s="388" t="str">
        <f t="shared" si="5"/>
        <v/>
      </c>
      <c r="M9" s="364" t="str">
        <f t="shared" si="6"/>
        <v/>
      </c>
      <c r="N9" s="758"/>
      <c r="R9" s="777"/>
      <c r="S9" s="352">
        <f t="shared" si="13"/>
        <v>158</v>
      </c>
      <c r="T9" s="396" t="str">
        <f t="shared" si="0"/>
        <v/>
      </c>
      <c r="U9" s="397" t="str">
        <f t="shared" si="1"/>
        <v/>
      </c>
      <c r="Y9" s="777"/>
      <c r="Z9" s="352">
        <f t="shared" si="14"/>
        <v>158</v>
      </c>
      <c r="AA9" s="402" t="str">
        <f t="shared" si="2"/>
        <v/>
      </c>
      <c r="AB9" s="403" t="str">
        <f t="shared" si="2"/>
        <v/>
      </c>
      <c r="AC9" s="364" t="str">
        <f t="shared" si="7"/>
        <v/>
      </c>
      <c r="AD9" s="758"/>
      <c r="AF9" s="777"/>
      <c r="AG9" s="352">
        <f t="shared" si="15"/>
        <v>158</v>
      </c>
      <c r="AH9" s="396" t="str">
        <f t="shared" si="8"/>
        <v/>
      </c>
      <c r="AI9" s="397" t="str">
        <f t="shared" si="9"/>
        <v/>
      </c>
      <c r="AJ9" s="361" t="str">
        <f t="shared" si="10"/>
        <v/>
      </c>
      <c r="AK9" s="839"/>
    </row>
    <row r="10" spans="2:37" x14ac:dyDescent="0.25">
      <c r="B10" s="777"/>
      <c r="C10" s="352">
        <f t="shared" si="11"/>
        <v>159</v>
      </c>
      <c r="D10" s="378">
        <f>IF(COUNTIFS(Urlisten!$C$16:$EL$16,$C10,Urlisten!$C$18:$EL$18,D$5)&gt;0,COUNTIFS(Urlisten!$C$16:$EL$16,$C10,Urlisten!$C$18:$EL$18,D$5),0)</f>
        <v>0</v>
      </c>
      <c r="E10" s="379">
        <f>IF(COUNTIFS(Urlisten!$C$16:$EL$16,$C10,Urlisten!$C$18:$EL$18,E$5)&gt;0,COUNTIFS(Urlisten!$C$16:$EL$16,$C10,Urlisten!$C$18:$EL$18,E$5),0)</f>
        <v>0</v>
      </c>
      <c r="F10" s="361" t="str">
        <f t="shared" si="3"/>
        <v/>
      </c>
      <c r="G10" s="839"/>
      <c r="H10" s="22"/>
      <c r="I10" s="777"/>
      <c r="J10" s="352">
        <f t="shared" si="12"/>
        <v>159</v>
      </c>
      <c r="K10" s="387" t="str">
        <f t="shared" si="4"/>
        <v/>
      </c>
      <c r="L10" s="388" t="str">
        <f t="shared" si="5"/>
        <v/>
      </c>
      <c r="M10" s="364" t="str">
        <f t="shared" si="6"/>
        <v/>
      </c>
      <c r="N10" s="758"/>
      <c r="R10" s="777"/>
      <c r="S10" s="352">
        <f t="shared" si="13"/>
        <v>159</v>
      </c>
      <c r="T10" s="396" t="str">
        <f t="shared" si="0"/>
        <v/>
      </c>
      <c r="U10" s="397" t="str">
        <f t="shared" si="1"/>
        <v/>
      </c>
      <c r="Y10" s="777"/>
      <c r="Z10" s="352">
        <f t="shared" si="14"/>
        <v>159</v>
      </c>
      <c r="AA10" s="402" t="str">
        <f t="shared" si="2"/>
        <v/>
      </c>
      <c r="AB10" s="403" t="str">
        <f t="shared" si="2"/>
        <v/>
      </c>
      <c r="AC10" s="364" t="str">
        <f t="shared" si="7"/>
        <v/>
      </c>
      <c r="AD10" s="758"/>
      <c r="AF10" s="777"/>
      <c r="AG10" s="352">
        <f t="shared" si="15"/>
        <v>159</v>
      </c>
      <c r="AH10" s="396" t="str">
        <f t="shared" si="8"/>
        <v/>
      </c>
      <c r="AI10" s="397" t="str">
        <f t="shared" si="9"/>
        <v/>
      </c>
      <c r="AJ10" s="361" t="str">
        <f t="shared" si="10"/>
        <v/>
      </c>
      <c r="AK10" s="839"/>
    </row>
    <row r="11" spans="2:37" x14ac:dyDescent="0.25">
      <c r="B11" s="777"/>
      <c r="C11" s="352">
        <f t="shared" si="11"/>
        <v>160</v>
      </c>
      <c r="D11" s="378">
        <f>IF(COUNTIFS(Urlisten!$C$16:$EL$16,$C11,Urlisten!$C$18:$EL$18,D$5)&gt;0,COUNTIFS(Urlisten!$C$16:$EL$16,$C11,Urlisten!$C$18:$EL$18,D$5),0)</f>
        <v>0</v>
      </c>
      <c r="E11" s="379">
        <f>IF(COUNTIFS(Urlisten!$C$16:$EL$16,$C11,Urlisten!$C$18:$EL$18,E$5)&gt;0,COUNTIFS(Urlisten!$C$16:$EL$16,$C11,Urlisten!$C$18:$EL$18,E$5),0)</f>
        <v>5</v>
      </c>
      <c r="F11" s="361">
        <f t="shared" si="3"/>
        <v>5</v>
      </c>
      <c r="G11" s="839"/>
      <c r="H11" s="22"/>
      <c r="I11" s="777"/>
      <c r="J11" s="352">
        <f t="shared" si="12"/>
        <v>160</v>
      </c>
      <c r="K11" s="387" t="str">
        <f t="shared" si="4"/>
        <v/>
      </c>
      <c r="L11" s="388">
        <f t="shared" si="5"/>
        <v>7.1428571428571425E-2</v>
      </c>
      <c r="M11" s="364">
        <f t="shared" si="6"/>
        <v>7.1428571428571425E-2</v>
      </c>
      <c r="N11" s="758"/>
      <c r="R11" s="777"/>
      <c r="S11" s="352">
        <f t="shared" si="13"/>
        <v>160</v>
      </c>
      <c r="T11" s="396">
        <f t="shared" si="0"/>
        <v>3.3571428571428559</v>
      </c>
      <c r="U11" s="397">
        <f t="shared" si="1"/>
        <v>6.8602484472049658</v>
      </c>
      <c r="Y11" s="777"/>
      <c r="Z11" s="352">
        <f t="shared" si="14"/>
        <v>160</v>
      </c>
      <c r="AA11" s="402">
        <f t="shared" ref="AA11:AA50" si="16">IF($M11&lt;&gt;"",$M11*K$51,"")</f>
        <v>4.7959183673469373E-2</v>
      </c>
      <c r="AB11" s="403">
        <f t="shared" ref="AB11:AB50" si="17">IF($M11&lt;&gt;"",$M11*L$51,"")</f>
        <v>2.3469387755102045E-2</v>
      </c>
      <c r="AC11" s="364">
        <f t="shared" si="7"/>
        <v>7.1428571428571425E-2</v>
      </c>
      <c r="AD11" s="758"/>
      <c r="AF11" s="777"/>
      <c r="AG11" s="352">
        <f t="shared" si="15"/>
        <v>160</v>
      </c>
      <c r="AH11" s="396">
        <f t="shared" si="8"/>
        <v>3.3571428571428563</v>
      </c>
      <c r="AI11" s="397">
        <f t="shared" si="9"/>
        <v>1.6428571428571432</v>
      </c>
      <c r="AJ11" s="361">
        <f t="shared" si="10"/>
        <v>5</v>
      </c>
      <c r="AK11" s="839"/>
    </row>
    <row r="12" spans="2:37" x14ac:dyDescent="0.25">
      <c r="B12" s="777"/>
      <c r="C12" s="352">
        <f t="shared" si="11"/>
        <v>161</v>
      </c>
      <c r="D12" s="378">
        <f>IF(COUNTIFS(Urlisten!$C$16:$EL$16,$C12,Urlisten!$C$18:$EL$18,D$5)&gt;0,COUNTIFS(Urlisten!$C$16:$EL$16,$C12,Urlisten!$C$18:$EL$18,D$5),0)</f>
        <v>0</v>
      </c>
      <c r="E12" s="379">
        <f>IF(COUNTIFS(Urlisten!$C$16:$EL$16,$C12,Urlisten!$C$18:$EL$18,E$5)&gt;0,COUNTIFS(Urlisten!$C$16:$EL$16,$C12,Urlisten!$C$18:$EL$18,E$5),0)</f>
        <v>1</v>
      </c>
      <c r="F12" s="361">
        <f t="shared" si="3"/>
        <v>1</v>
      </c>
      <c r="G12" s="839"/>
      <c r="H12" s="22"/>
      <c r="I12" s="777"/>
      <c r="J12" s="352">
        <f t="shared" si="12"/>
        <v>161</v>
      </c>
      <c r="K12" s="387" t="str">
        <f t="shared" si="4"/>
        <v/>
      </c>
      <c r="L12" s="388">
        <f t="shared" si="5"/>
        <v>1.4285714285714285E-2</v>
      </c>
      <c r="M12" s="364">
        <f t="shared" si="6"/>
        <v>1.4285714285714285E-2</v>
      </c>
      <c r="N12" s="758"/>
      <c r="R12" s="777"/>
      <c r="S12" s="352">
        <f t="shared" si="13"/>
        <v>161</v>
      </c>
      <c r="T12" s="396">
        <f t="shared" si="0"/>
        <v>0.67142857142857126</v>
      </c>
      <c r="U12" s="397">
        <f t="shared" si="1"/>
        <v>1.3720496894409933</v>
      </c>
      <c r="Y12" s="777"/>
      <c r="Z12" s="352">
        <f t="shared" si="14"/>
        <v>161</v>
      </c>
      <c r="AA12" s="402">
        <f t="shared" si="16"/>
        <v>9.5918367346938746E-3</v>
      </c>
      <c r="AB12" s="403">
        <f t="shared" si="17"/>
        <v>4.6938775510204089E-3</v>
      </c>
      <c r="AC12" s="364">
        <f t="shared" si="7"/>
        <v>1.4285714285714284E-2</v>
      </c>
      <c r="AD12" s="758"/>
      <c r="AF12" s="777"/>
      <c r="AG12" s="352">
        <f t="shared" si="15"/>
        <v>161</v>
      </c>
      <c r="AH12" s="396">
        <f t="shared" si="8"/>
        <v>0.67142857142857126</v>
      </c>
      <c r="AI12" s="397">
        <f t="shared" si="9"/>
        <v>0.32857142857142863</v>
      </c>
      <c r="AJ12" s="361">
        <f t="shared" si="10"/>
        <v>0.99999999999999989</v>
      </c>
      <c r="AK12" s="839"/>
    </row>
    <row r="13" spans="2:37" x14ac:dyDescent="0.25">
      <c r="B13" s="777"/>
      <c r="C13" s="352">
        <f t="shared" si="11"/>
        <v>162</v>
      </c>
      <c r="D13" s="378">
        <f>IF(COUNTIFS(Urlisten!$C$16:$EL$16,$C13,Urlisten!$C$18:$EL$18,D$5)&gt;0,COUNTIFS(Urlisten!$C$16:$EL$16,$C13,Urlisten!$C$18:$EL$18,D$5),0)</f>
        <v>0</v>
      </c>
      <c r="E13" s="379">
        <f>IF(COUNTIFS(Urlisten!$C$16:$EL$16,$C13,Urlisten!$C$18:$EL$18,E$5)&gt;0,COUNTIFS(Urlisten!$C$16:$EL$16,$C13,Urlisten!$C$18:$EL$18,E$5),0)</f>
        <v>0</v>
      </c>
      <c r="F13" s="361" t="str">
        <f t="shared" si="3"/>
        <v/>
      </c>
      <c r="G13" s="839"/>
      <c r="H13" s="22"/>
      <c r="I13" s="777"/>
      <c r="J13" s="352">
        <f t="shared" si="12"/>
        <v>162</v>
      </c>
      <c r="K13" s="387" t="str">
        <f t="shared" si="4"/>
        <v/>
      </c>
      <c r="L13" s="388" t="str">
        <f t="shared" si="5"/>
        <v/>
      </c>
      <c r="M13" s="364" t="str">
        <f t="shared" si="6"/>
        <v/>
      </c>
      <c r="N13" s="758"/>
      <c r="R13" s="777"/>
      <c r="S13" s="352">
        <f t="shared" si="13"/>
        <v>162</v>
      </c>
      <c r="T13" s="396" t="str">
        <f t="shared" si="0"/>
        <v/>
      </c>
      <c r="U13" s="397" t="str">
        <f t="shared" si="1"/>
        <v/>
      </c>
      <c r="Y13" s="777"/>
      <c r="Z13" s="352">
        <f t="shared" si="14"/>
        <v>162</v>
      </c>
      <c r="AA13" s="402" t="str">
        <f t="shared" si="16"/>
        <v/>
      </c>
      <c r="AB13" s="403" t="str">
        <f t="shared" si="17"/>
        <v/>
      </c>
      <c r="AC13" s="364" t="str">
        <f t="shared" si="7"/>
        <v/>
      </c>
      <c r="AD13" s="758"/>
      <c r="AF13" s="777"/>
      <c r="AG13" s="352">
        <f t="shared" si="15"/>
        <v>162</v>
      </c>
      <c r="AH13" s="396" t="str">
        <f t="shared" si="8"/>
        <v/>
      </c>
      <c r="AI13" s="397" t="str">
        <f t="shared" si="9"/>
        <v/>
      </c>
      <c r="AJ13" s="361" t="str">
        <f t="shared" si="10"/>
        <v/>
      </c>
      <c r="AK13" s="839"/>
    </row>
    <row r="14" spans="2:37" x14ac:dyDescent="0.25">
      <c r="B14" s="777"/>
      <c r="C14" s="352">
        <f t="shared" si="11"/>
        <v>163</v>
      </c>
      <c r="D14" s="378">
        <f>IF(COUNTIFS(Urlisten!$C$16:$EL$16,$C14,Urlisten!$C$18:$EL$18,D$5)&gt;0,COUNTIFS(Urlisten!$C$16:$EL$16,$C14,Urlisten!$C$18:$EL$18,D$5),0)</f>
        <v>0</v>
      </c>
      <c r="E14" s="379">
        <f>IF(COUNTIFS(Urlisten!$C$16:$EL$16,$C14,Urlisten!$C$18:$EL$18,E$5)&gt;0,COUNTIFS(Urlisten!$C$16:$EL$16,$C14,Urlisten!$C$18:$EL$18,E$5),0)</f>
        <v>3</v>
      </c>
      <c r="F14" s="361">
        <f t="shared" si="3"/>
        <v>3</v>
      </c>
      <c r="G14" s="839"/>
      <c r="H14" s="22"/>
      <c r="I14" s="777"/>
      <c r="J14" s="352">
        <f t="shared" si="12"/>
        <v>163</v>
      </c>
      <c r="K14" s="387" t="str">
        <f t="shared" si="4"/>
        <v/>
      </c>
      <c r="L14" s="388">
        <f t="shared" si="5"/>
        <v>4.2857142857142858E-2</v>
      </c>
      <c r="M14" s="364">
        <f t="shared" si="6"/>
        <v>4.2857142857142858E-2</v>
      </c>
      <c r="N14" s="758"/>
      <c r="R14" s="777"/>
      <c r="S14" s="352">
        <f t="shared" si="13"/>
        <v>163</v>
      </c>
      <c r="T14" s="396">
        <f t="shared" si="0"/>
        <v>2.0142857142857138</v>
      </c>
      <c r="U14" s="397">
        <f t="shared" si="1"/>
        <v>4.1161490683229802</v>
      </c>
      <c r="Y14" s="777"/>
      <c r="Z14" s="352">
        <f t="shared" si="14"/>
        <v>163</v>
      </c>
      <c r="AA14" s="402">
        <f t="shared" si="16"/>
        <v>2.8775510204081627E-2</v>
      </c>
      <c r="AB14" s="403">
        <f t="shared" si="17"/>
        <v>1.4081632653061227E-2</v>
      </c>
      <c r="AC14" s="364">
        <f t="shared" si="7"/>
        <v>4.2857142857142858E-2</v>
      </c>
      <c r="AD14" s="758"/>
      <c r="AF14" s="777"/>
      <c r="AG14" s="352">
        <f t="shared" si="15"/>
        <v>163</v>
      </c>
      <c r="AH14" s="396">
        <f t="shared" si="8"/>
        <v>2.0142857142857138</v>
      </c>
      <c r="AI14" s="397">
        <f t="shared" si="9"/>
        <v>0.98571428571428588</v>
      </c>
      <c r="AJ14" s="361">
        <f t="shared" si="10"/>
        <v>2.9999999999999996</v>
      </c>
      <c r="AK14" s="839"/>
    </row>
    <row r="15" spans="2:37" x14ac:dyDescent="0.25">
      <c r="B15" s="777"/>
      <c r="C15" s="352">
        <f t="shared" si="11"/>
        <v>164</v>
      </c>
      <c r="D15" s="378">
        <f>IF(COUNTIFS(Urlisten!$C$16:$EL$16,$C15,Urlisten!$C$18:$EL$18,D$5)&gt;0,COUNTIFS(Urlisten!$C$16:$EL$16,$C15,Urlisten!$C$18:$EL$18,D$5),0)</f>
        <v>1</v>
      </c>
      <c r="E15" s="379">
        <f>IF(COUNTIFS(Urlisten!$C$16:$EL$16,$C15,Urlisten!$C$18:$EL$18,E$5)&gt;0,COUNTIFS(Urlisten!$C$16:$EL$16,$C15,Urlisten!$C$18:$EL$18,E$5),0)</f>
        <v>0</v>
      </c>
      <c r="F15" s="361">
        <f t="shared" si="3"/>
        <v>1</v>
      </c>
      <c r="G15" s="839"/>
      <c r="H15" s="22"/>
      <c r="I15" s="777"/>
      <c r="J15" s="352">
        <f t="shared" si="12"/>
        <v>164</v>
      </c>
      <c r="K15" s="387">
        <f t="shared" si="4"/>
        <v>1.4285714285714285E-2</v>
      </c>
      <c r="L15" s="388" t="str">
        <f t="shared" si="5"/>
        <v/>
      </c>
      <c r="M15" s="364">
        <f t="shared" si="6"/>
        <v>1.4285714285714285E-2</v>
      </c>
      <c r="N15" s="758"/>
      <c r="R15" s="777"/>
      <c r="S15" s="352">
        <f t="shared" si="13"/>
        <v>164</v>
      </c>
      <c r="T15" s="396">
        <f t="shared" si="0"/>
        <v>0.16079027355623121</v>
      </c>
      <c r="U15" s="397">
        <f t="shared" si="1"/>
        <v>0.32857142857142863</v>
      </c>
      <c r="Y15" s="777"/>
      <c r="Z15" s="352">
        <f t="shared" si="14"/>
        <v>164</v>
      </c>
      <c r="AA15" s="402">
        <f t="shared" si="16"/>
        <v>9.5918367346938746E-3</v>
      </c>
      <c r="AB15" s="403">
        <f t="shared" si="17"/>
        <v>4.6938775510204089E-3</v>
      </c>
      <c r="AC15" s="364">
        <f t="shared" si="7"/>
        <v>1.4285714285714284E-2</v>
      </c>
      <c r="AD15" s="758"/>
      <c r="AF15" s="777"/>
      <c r="AG15" s="352">
        <f t="shared" si="15"/>
        <v>164</v>
      </c>
      <c r="AH15" s="396">
        <f t="shared" si="8"/>
        <v>0.67142857142857126</v>
      </c>
      <c r="AI15" s="397">
        <f t="shared" si="9"/>
        <v>0.32857142857142863</v>
      </c>
      <c r="AJ15" s="361">
        <f t="shared" si="10"/>
        <v>0.99999999999999989</v>
      </c>
      <c r="AK15" s="839"/>
    </row>
    <row r="16" spans="2:37" x14ac:dyDescent="0.25">
      <c r="B16" s="777"/>
      <c r="C16" s="352">
        <f t="shared" si="11"/>
        <v>165</v>
      </c>
      <c r="D16" s="378">
        <f>IF(COUNTIFS(Urlisten!$C$16:$EL$16,$C16,Urlisten!$C$18:$EL$18,D$5)&gt;0,COUNTIFS(Urlisten!$C$16:$EL$16,$C16,Urlisten!$C$18:$EL$18,D$5),0)</f>
        <v>1</v>
      </c>
      <c r="E16" s="379">
        <f>IF(COUNTIFS(Urlisten!$C$16:$EL$16,$C16,Urlisten!$C$18:$EL$18,E$5)&gt;0,COUNTIFS(Urlisten!$C$16:$EL$16,$C16,Urlisten!$C$18:$EL$18,E$5),0)</f>
        <v>2</v>
      </c>
      <c r="F16" s="361">
        <f t="shared" si="3"/>
        <v>3</v>
      </c>
      <c r="G16" s="839"/>
      <c r="H16" s="22"/>
      <c r="I16" s="777"/>
      <c r="J16" s="352">
        <f t="shared" si="12"/>
        <v>165</v>
      </c>
      <c r="K16" s="387">
        <f t="shared" si="4"/>
        <v>1.4285714285714285E-2</v>
      </c>
      <c r="L16" s="388">
        <f t="shared" si="5"/>
        <v>2.8571428571428571E-2</v>
      </c>
      <c r="M16" s="364">
        <f t="shared" si="6"/>
        <v>4.2857142857142858E-2</v>
      </c>
      <c r="N16" s="758"/>
      <c r="R16" s="777"/>
      <c r="S16" s="352">
        <f t="shared" si="13"/>
        <v>165</v>
      </c>
      <c r="T16" s="396">
        <f t="shared" si="0"/>
        <v>0.5107396149949337</v>
      </c>
      <c r="U16" s="397">
        <f t="shared" si="1"/>
        <v>1.043685300207039</v>
      </c>
      <c r="Y16" s="777"/>
      <c r="Z16" s="352">
        <f t="shared" si="14"/>
        <v>165</v>
      </c>
      <c r="AA16" s="402">
        <f t="shared" si="16"/>
        <v>2.8775510204081627E-2</v>
      </c>
      <c r="AB16" s="403">
        <f t="shared" si="17"/>
        <v>1.4081632653061227E-2</v>
      </c>
      <c r="AC16" s="364">
        <f t="shared" si="7"/>
        <v>4.2857142857142858E-2</v>
      </c>
      <c r="AD16" s="758"/>
      <c r="AF16" s="777"/>
      <c r="AG16" s="352">
        <f t="shared" si="15"/>
        <v>165</v>
      </c>
      <c r="AH16" s="396">
        <f t="shared" si="8"/>
        <v>2.0142857142857138</v>
      </c>
      <c r="AI16" s="397">
        <f t="shared" si="9"/>
        <v>0.98571428571428588</v>
      </c>
      <c r="AJ16" s="361">
        <f t="shared" si="10"/>
        <v>2.9999999999999996</v>
      </c>
      <c r="AK16" s="839"/>
    </row>
    <row r="17" spans="2:37" x14ac:dyDescent="0.25">
      <c r="B17" s="777"/>
      <c r="C17" s="352">
        <f t="shared" si="11"/>
        <v>166</v>
      </c>
      <c r="D17" s="378">
        <f>IF(COUNTIFS(Urlisten!$C$16:$EL$16,$C17,Urlisten!$C$18:$EL$18,D$5)&gt;0,COUNTIFS(Urlisten!$C$16:$EL$16,$C17,Urlisten!$C$18:$EL$18,D$5),0)</f>
        <v>0</v>
      </c>
      <c r="E17" s="379">
        <f>IF(COUNTIFS(Urlisten!$C$16:$EL$16,$C17,Urlisten!$C$18:$EL$18,E$5)&gt;0,COUNTIFS(Urlisten!$C$16:$EL$16,$C17,Urlisten!$C$18:$EL$18,E$5),0)</f>
        <v>0</v>
      </c>
      <c r="F17" s="361" t="str">
        <f t="shared" si="3"/>
        <v/>
      </c>
      <c r="G17" s="839"/>
      <c r="H17" s="22"/>
      <c r="I17" s="777"/>
      <c r="J17" s="352">
        <f t="shared" si="12"/>
        <v>166</v>
      </c>
      <c r="K17" s="387" t="str">
        <f t="shared" si="4"/>
        <v/>
      </c>
      <c r="L17" s="388" t="str">
        <f t="shared" si="5"/>
        <v/>
      </c>
      <c r="M17" s="364" t="str">
        <f t="shared" si="6"/>
        <v/>
      </c>
      <c r="N17" s="758"/>
      <c r="R17" s="777"/>
      <c r="S17" s="352">
        <f t="shared" si="13"/>
        <v>166</v>
      </c>
      <c r="T17" s="396" t="str">
        <f t="shared" si="0"/>
        <v/>
      </c>
      <c r="U17" s="397" t="str">
        <f t="shared" si="1"/>
        <v/>
      </c>
      <c r="Y17" s="777"/>
      <c r="Z17" s="352">
        <f t="shared" si="14"/>
        <v>166</v>
      </c>
      <c r="AA17" s="402" t="str">
        <f t="shared" si="16"/>
        <v/>
      </c>
      <c r="AB17" s="403" t="str">
        <f t="shared" si="17"/>
        <v/>
      </c>
      <c r="AC17" s="364" t="str">
        <f t="shared" si="7"/>
        <v/>
      </c>
      <c r="AD17" s="758"/>
      <c r="AF17" s="777"/>
      <c r="AG17" s="352">
        <f t="shared" si="15"/>
        <v>166</v>
      </c>
      <c r="AH17" s="396" t="str">
        <f t="shared" si="8"/>
        <v/>
      </c>
      <c r="AI17" s="397" t="str">
        <f t="shared" si="9"/>
        <v/>
      </c>
      <c r="AJ17" s="361" t="str">
        <f t="shared" si="10"/>
        <v/>
      </c>
      <c r="AK17" s="839"/>
    </row>
    <row r="18" spans="2:37" x14ac:dyDescent="0.25">
      <c r="B18" s="777"/>
      <c r="C18" s="352">
        <f t="shared" si="11"/>
        <v>167</v>
      </c>
      <c r="D18" s="378">
        <f>IF(COUNTIFS(Urlisten!$C$16:$EL$16,$C18,Urlisten!$C$18:$EL$18,D$5)&gt;0,COUNTIFS(Urlisten!$C$16:$EL$16,$C18,Urlisten!$C$18:$EL$18,D$5),0)</f>
        <v>0</v>
      </c>
      <c r="E18" s="379">
        <f>IF(COUNTIFS(Urlisten!$C$16:$EL$16,$C18,Urlisten!$C$18:$EL$18,E$5)&gt;0,COUNTIFS(Urlisten!$C$16:$EL$16,$C18,Urlisten!$C$18:$EL$18,E$5),0)</f>
        <v>0</v>
      </c>
      <c r="F18" s="361" t="str">
        <f t="shared" si="3"/>
        <v/>
      </c>
      <c r="G18" s="839"/>
      <c r="H18" s="22"/>
      <c r="I18" s="777"/>
      <c r="J18" s="352">
        <f t="shared" si="12"/>
        <v>167</v>
      </c>
      <c r="K18" s="387" t="str">
        <f t="shared" si="4"/>
        <v/>
      </c>
      <c r="L18" s="388" t="str">
        <f t="shared" si="5"/>
        <v/>
      </c>
      <c r="M18" s="364" t="str">
        <f t="shared" si="6"/>
        <v/>
      </c>
      <c r="N18" s="758"/>
      <c r="R18" s="777"/>
      <c r="S18" s="352">
        <f t="shared" si="13"/>
        <v>167</v>
      </c>
      <c r="T18" s="396" t="str">
        <f t="shared" si="0"/>
        <v/>
      </c>
      <c r="U18" s="397" t="str">
        <f t="shared" si="1"/>
        <v/>
      </c>
      <c r="Y18" s="777"/>
      <c r="Z18" s="352">
        <f t="shared" si="14"/>
        <v>167</v>
      </c>
      <c r="AA18" s="402" t="str">
        <f t="shared" si="16"/>
        <v/>
      </c>
      <c r="AB18" s="403" t="str">
        <f t="shared" si="17"/>
        <v/>
      </c>
      <c r="AC18" s="364" t="str">
        <f t="shared" ref="AC18:AC50" si="18">IF(SUM(AA18:AB18)&gt;0,SUM(AA18:AB18),"")</f>
        <v/>
      </c>
      <c r="AD18" s="758"/>
      <c r="AF18" s="777"/>
      <c r="AG18" s="352">
        <f t="shared" si="15"/>
        <v>167</v>
      </c>
      <c r="AH18" s="396" t="str">
        <f t="shared" si="8"/>
        <v/>
      </c>
      <c r="AI18" s="397" t="str">
        <f t="shared" si="9"/>
        <v/>
      </c>
      <c r="AJ18" s="361" t="str">
        <f t="shared" si="10"/>
        <v/>
      </c>
      <c r="AK18" s="839"/>
    </row>
    <row r="19" spans="2:37" x14ac:dyDescent="0.25">
      <c r="B19" s="777"/>
      <c r="C19" s="352">
        <f t="shared" si="11"/>
        <v>168</v>
      </c>
      <c r="D19" s="378">
        <f>IF(COUNTIFS(Urlisten!$C$16:$EL$16,$C19,Urlisten!$C$18:$EL$18,D$5)&gt;0,COUNTIFS(Urlisten!$C$16:$EL$16,$C19,Urlisten!$C$18:$EL$18,D$5),0)</f>
        <v>0</v>
      </c>
      <c r="E19" s="379">
        <f>IF(COUNTIFS(Urlisten!$C$16:$EL$16,$C19,Urlisten!$C$18:$EL$18,E$5)&gt;0,COUNTIFS(Urlisten!$C$16:$EL$16,$C19,Urlisten!$C$18:$EL$18,E$5),0)</f>
        <v>1</v>
      </c>
      <c r="F19" s="361">
        <f t="shared" si="3"/>
        <v>1</v>
      </c>
      <c r="G19" s="839"/>
      <c r="H19" s="22"/>
      <c r="I19" s="777"/>
      <c r="J19" s="352">
        <f t="shared" si="12"/>
        <v>168</v>
      </c>
      <c r="K19" s="387" t="str">
        <f t="shared" si="4"/>
        <v/>
      </c>
      <c r="L19" s="388">
        <f t="shared" si="5"/>
        <v>1.4285714285714285E-2</v>
      </c>
      <c r="M19" s="364">
        <f t="shared" si="6"/>
        <v>1.4285714285714285E-2</v>
      </c>
      <c r="N19" s="758"/>
      <c r="R19" s="777"/>
      <c r="S19" s="352">
        <f t="shared" si="13"/>
        <v>168</v>
      </c>
      <c r="T19" s="396">
        <f t="shared" si="0"/>
        <v>0.67142857142857126</v>
      </c>
      <c r="U19" s="397">
        <f t="shared" si="1"/>
        <v>1.3720496894409933</v>
      </c>
      <c r="Y19" s="777"/>
      <c r="Z19" s="352">
        <f t="shared" si="14"/>
        <v>168</v>
      </c>
      <c r="AA19" s="402">
        <f t="shared" si="16"/>
        <v>9.5918367346938746E-3</v>
      </c>
      <c r="AB19" s="403">
        <f t="shared" si="17"/>
        <v>4.6938775510204089E-3</v>
      </c>
      <c r="AC19" s="364">
        <f t="shared" si="18"/>
        <v>1.4285714285714284E-2</v>
      </c>
      <c r="AD19" s="758"/>
      <c r="AF19" s="777"/>
      <c r="AG19" s="352">
        <f t="shared" si="15"/>
        <v>168</v>
      </c>
      <c r="AH19" s="396">
        <f t="shared" si="8"/>
        <v>0.67142857142857126</v>
      </c>
      <c r="AI19" s="397">
        <f t="shared" si="9"/>
        <v>0.32857142857142863</v>
      </c>
      <c r="AJ19" s="361">
        <f t="shared" si="10"/>
        <v>0.99999999999999989</v>
      </c>
      <c r="AK19" s="839"/>
    </row>
    <row r="20" spans="2:37" x14ac:dyDescent="0.25">
      <c r="B20" s="777"/>
      <c r="C20" s="352">
        <f t="shared" si="11"/>
        <v>169</v>
      </c>
      <c r="D20" s="378">
        <f>IF(COUNTIFS(Urlisten!$C$16:$EL$16,$C20,Urlisten!$C$18:$EL$18,D$5)&gt;0,COUNTIFS(Urlisten!$C$16:$EL$16,$C20,Urlisten!$C$18:$EL$18,D$5),0)</f>
        <v>0</v>
      </c>
      <c r="E20" s="379">
        <f>IF(COUNTIFS(Urlisten!$C$16:$EL$16,$C20,Urlisten!$C$18:$EL$18,E$5)&gt;0,COUNTIFS(Urlisten!$C$16:$EL$16,$C20,Urlisten!$C$18:$EL$18,E$5),0)</f>
        <v>1</v>
      </c>
      <c r="F20" s="361">
        <f t="shared" si="3"/>
        <v>1</v>
      </c>
      <c r="G20" s="839"/>
      <c r="H20" s="22"/>
      <c r="I20" s="777"/>
      <c r="J20" s="352">
        <f t="shared" si="12"/>
        <v>169</v>
      </c>
      <c r="K20" s="387" t="str">
        <f t="shared" si="4"/>
        <v/>
      </c>
      <c r="L20" s="388">
        <f t="shared" si="5"/>
        <v>1.4285714285714285E-2</v>
      </c>
      <c r="M20" s="364">
        <f t="shared" si="6"/>
        <v>1.4285714285714285E-2</v>
      </c>
      <c r="N20" s="758"/>
      <c r="R20" s="777"/>
      <c r="S20" s="352">
        <f t="shared" si="13"/>
        <v>169</v>
      </c>
      <c r="T20" s="396">
        <f t="shared" si="0"/>
        <v>0.67142857142857126</v>
      </c>
      <c r="U20" s="397">
        <f t="shared" si="1"/>
        <v>1.3720496894409933</v>
      </c>
      <c r="Y20" s="777"/>
      <c r="Z20" s="352">
        <f t="shared" si="14"/>
        <v>169</v>
      </c>
      <c r="AA20" s="402">
        <f t="shared" si="16"/>
        <v>9.5918367346938746E-3</v>
      </c>
      <c r="AB20" s="403">
        <f t="shared" si="17"/>
        <v>4.6938775510204089E-3</v>
      </c>
      <c r="AC20" s="364">
        <f t="shared" si="18"/>
        <v>1.4285714285714284E-2</v>
      </c>
      <c r="AD20" s="758"/>
      <c r="AF20" s="777"/>
      <c r="AG20" s="352">
        <f t="shared" si="15"/>
        <v>169</v>
      </c>
      <c r="AH20" s="396">
        <f t="shared" si="8"/>
        <v>0.67142857142857126</v>
      </c>
      <c r="AI20" s="397">
        <f t="shared" si="9"/>
        <v>0.32857142857142863</v>
      </c>
      <c r="AJ20" s="361">
        <f t="shared" si="10"/>
        <v>0.99999999999999989</v>
      </c>
      <c r="AK20" s="839"/>
    </row>
    <row r="21" spans="2:37" x14ac:dyDescent="0.25">
      <c r="B21" s="777"/>
      <c r="C21" s="352">
        <f t="shared" si="11"/>
        <v>170</v>
      </c>
      <c r="D21" s="378">
        <f>IF(COUNTIFS(Urlisten!$C$16:$EL$16,$C21,Urlisten!$C$18:$EL$18,D$5)&gt;0,COUNTIFS(Urlisten!$C$16:$EL$16,$C21,Urlisten!$C$18:$EL$18,D$5),0)</f>
        <v>5</v>
      </c>
      <c r="E21" s="379">
        <f>IF(COUNTIFS(Urlisten!$C$16:$EL$16,$C21,Urlisten!$C$18:$EL$18,E$5)&gt;0,COUNTIFS(Urlisten!$C$16:$EL$16,$C21,Urlisten!$C$18:$EL$18,E$5),0)</f>
        <v>2</v>
      </c>
      <c r="F21" s="361">
        <f t="shared" si="3"/>
        <v>7</v>
      </c>
      <c r="G21" s="839"/>
      <c r="H21" s="22"/>
      <c r="I21" s="777"/>
      <c r="J21" s="352">
        <f t="shared" si="12"/>
        <v>170</v>
      </c>
      <c r="K21" s="387">
        <f t="shared" si="4"/>
        <v>7.1428571428571425E-2</v>
      </c>
      <c r="L21" s="388">
        <f t="shared" si="5"/>
        <v>2.8571428571428571E-2</v>
      </c>
      <c r="M21" s="364">
        <f t="shared" si="6"/>
        <v>9.9999999999999992E-2</v>
      </c>
      <c r="N21" s="758"/>
      <c r="R21" s="777"/>
      <c r="S21" s="352">
        <f t="shared" si="13"/>
        <v>170</v>
      </c>
      <c r="T21" s="396">
        <f t="shared" si="0"/>
        <v>1.9148936170212974E-2</v>
      </c>
      <c r="U21" s="397">
        <f t="shared" si="1"/>
        <v>3.9130434782608761E-2</v>
      </c>
      <c r="Y21" s="777"/>
      <c r="Z21" s="352">
        <f t="shared" si="14"/>
        <v>170</v>
      </c>
      <c r="AA21" s="402">
        <f t="shared" si="16"/>
        <v>6.7142857142857115E-2</v>
      </c>
      <c r="AB21" s="403">
        <f t="shared" si="17"/>
        <v>3.2857142857142863E-2</v>
      </c>
      <c r="AC21" s="364">
        <f t="shared" si="18"/>
        <v>9.9999999999999978E-2</v>
      </c>
      <c r="AD21" s="758"/>
      <c r="AF21" s="777"/>
      <c r="AG21" s="352">
        <f t="shared" si="15"/>
        <v>170</v>
      </c>
      <c r="AH21" s="396">
        <f t="shared" si="8"/>
        <v>4.6999999999999984</v>
      </c>
      <c r="AI21" s="397">
        <f t="shared" si="9"/>
        <v>2.3000000000000003</v>
      </c>
      <c r="AJ21" s="361">
        <f t="shared" si="10"/>
        <v>6.9999999999999982</v>
      </c>
      <c r="AK21" s="839"/>
    </row>
    <row r="22" spans="2:37" x14ac:dyDescent="0.25">
      <c r="B22" s="777"/>
      <c r="C22" s="352">
        <f t="shared" si="11"/>
        <v>171</v>
      </c>
      <c r="D22" s="378">
        <f>IF(COUNTIFS(Urlisten!$C$16:$EL$16,$C22,Urlisten!$C$18:$EL$18,D$5)&gt;0,COUNTIFS(Urlisten!$C$16:$EL$16,$C22,Urlisten!$C$18:$EL$18,D$5),0)</f>
        <v>1</v>
      </c>
      <c r="E22" s="379">
        <f>IF(COUNTIFS(Urlisten!$C$16:$EL$16,$C22,Urlisten!$C$18:$EL$18,E$5)&gt;0,COUNTIFS(Urlisten!$C$16:$EL$16,$C22,Urlisten!$C$18:$EL$18,E$5),0)</f>
        <v>0</v>
      </c>
      <c r="F22" s="361">
        <f t="shared" si="3"/>
        <v>1</v>
      </c>
      <c r="G22" s="839"/>
      <c r="H22" s="22"/>
      <c r="I22" s="777"/>
      <c r="J22" s="352">
        <f t="shared" si="12"/>
        <v>171</v>
      </c>
      <c r="K22" s="387">
        <f t="shared" si="4"/>
        <v>1.4285714285714285E-2</v>
      </c>
      <c r="L22" s="388" t="str">
        <f t="shared" si="5"/>
        <v/>
      </c>
      <c r="M22" s="364">
        <f t="shared" si="6"/>
        <v>1.4285714285714285E-2</v>
      </c>
      <c r="N22" s="758"/>
      <c r="R22" s="777"/>
      <c r="S22" s="352">
        <f t="shared" si="13"/>
        <v>171</v>
      </c>
      <c r="T22" s="396">
        <f t="shared" si="0"/>
        <v>0.16079027355623121</v>
      </c>
      <c r="U22" s="397">
        <f t="shared" si="1"/>
        <v>0.32857142857142863</v>
      </c>
      <c r="Y22" s="777"/>
      <c r="Z22" s="352">
        <f t="shared" si="14"/>
        <v>171</v>
      </c>
      <c r="AA22" s="402">
        <f t="shared" si="16"/>
        <v>9.5918367346938746E-3</v>
      </c>
      <c r="AB22" s="403">
        <f t="shared" si="17"/>
        <v>4.6938775510204089E-3</v>
      </c>
      <c r="AC22" s="364">
        <f t="shared" si="18"/>
        <v>1.4285714285714284E-2</v>
      </c>
      <c r="AD22" s="758"/>
      <c r="AF22" s="777"/>
      <c r="AG22" s="352">
        <f t="shared" si="15"/>
        <v>171</v>
      </c>
      <c r="AH22" s="396">
        <f t="shared" si="8"/>
        <v>0.67142857142857126</v>
      </c>
      <c r="AI22" s="397">
        <f t="shared" si="9"/>
        <v>0.32857142857142863</v>
      </c>
      <c r="AJ22" s="361">
        <f t="shared" si="10"/>
        <v>0.99999999999999989</v>
      </c>
      <c r="AK22" s="839"/>
    </row>
    <row r="23" spans="2:37" x14ac:dyDescent="0.25">
      <c r="B23" s="777"/>
      <c r="C23" s="352">
        <f t="shared" si="11"/>
        <v>172</v>
      </c>
      <c r="D23" s="378">
        <f>IF(COUNTIFS(Urlisten!$C$16:$EL$16,$C23,Urlisten!$C$18:$EL$18,D$5)&gt;0,COUNTIFS(Urlisten!$C$16:$EL$16,$C23,Urlisten!$C$18:$EL$18,D$5),0)</f>
        <v>0</v>
      </c>
      <c r="E23" s="379">
        <f>IF(COUNTIFS(Urlisten!$C$16:$EL$16,$C23,Urlisten!$C$18:$EL$18,E$5)&gt;0,COUNTIFS(Urlisten!$C$16:$EL$16,$C23,Urlisten!$C$18:$EL$18,E$5),0)</f>
        <v>1</v>
      </c>
      <c r="F23" s="361">
        <f t="shared" si="3"/>
        <v>1</v>
      </c>
      <c r="G23" s="839"/>
      <c r="H23" s="22"/>
      <c r="I23" s="777"/>
      <c r="J23" s="352">
        <f t="shared" si="12"/>
        <v>172</v>
      </c>
      <c r="K23" s="387" t="str">
        <f t="shared" si="4"/>
        <v/>
      </c>
      <c r="L23" s="388">
        <f t="shared" si="5"/>
        <v>1.4285714285714285E-2</v>
      </c>
      <c r="M23" s="364">
        <f t="shared" si="6"/>
        <v>1.4285714285714285E-2</v>
      </c>
      <c r="N23" s="758"/>
      <c r="R23" s="777"/>
      <c r="S23" s="352">
        <f t="shared" si="13"/>
        <v>172</v>
      </c>
      <c r="T23" s="396">
        <f t="shared" si="0"/>
        <v>0.67142857142857126</v>
      </c>
      <c r="U23" s="397">
        <f t="shared" si="1"/>
        <v>1.3720496894409933</v>
      </c>
      <c r="Y23" s="777"/>
      <c r="Z23" s="352">
        <f t="shared" si="14"/>
        <v>172</v>
      </c>
      <c r="AA23" s="402">
        <f t="shared" si="16"/>
        <v>9.5918367346938746E-3</v>
      </c>
      <c r="AB23" s="403">
        <f t="shared" si="17"/>
        <v>4.6938775510204089E-3</v>
      </c>
      <c r="AC23" s="364">
        <f t="shared" si="18"/>
        <v>1.4285714285714284E-2</v>
      </c>
      <c r="AD23" s="758"/>
      <c r="AF23" s="777"/>
      <c r="AG23" s="352">
        <f t="shared" si="15"/>
        <v>172</v>
      </c>
      <c r="AH23" s="396">
        <f t="shared" si="8"/>
        <v>0.67142857142857126</v>
      </c>
      <c r="AI23" s="397">
        <f t="shared" si="9"/>
        <v>0.32857142857142863</v>
      </c>
      <c r="AJ23" s="361">
        <f t="shared" si="10"/>
        <v>0.99999999999999989</v>
      </c>
      <c r="AK23" s="839"/>
    </row>
    <row r="24" spans="2:37" x14ac:dyDescent="0.25">
      <c r="B24" s="777"/>
      <c r="C24" s="352">
        <f t="shared" si="11"/>
        <v>173</v>
      </c>
      <c r="D24" s="378">
        <f>IF(COUNTIFS(Urlisten!$C$16:$EL$16,$C24,Urlisten!$C$18:$EL$18,D$5)&gt;0,COUNTIFS(Urlisten!$C$16:$EL$16,$C24,Urlisten!$C$18:$EL$18,D$5),0)</f>
        <v>0</v>
      </c>
      <c r="E24" s="379">
        <f>IF(COUNTIFS(Urlisten!$C$16:$EL$16,$C24,Urlisten!$C$18:$EL$18,E$5)&gt;0,COUNTIFS(Urlisten!$C$16:$EL$16,$C24,Urlisten!$C$18:$EL$18,E$5),0)</f>
        <v>1</v>
      </c>
      <c r="F24" s="361">
        <f t="shared" si="3"/>
        <v>1</v>
      </c>
      <c r="G24" s="839"/>
      <c r="H24" s="22"/>
      <c r="I24" s="777"/>
      <c r="J24" s="352">
        <f t="shared" si="12"/>
        <v>173</v>
      </c>
      <c r="K24" s="387" t="str">
        <f t="shared" si="4"/>
        <v/>
      </c>
      <c r="L24" s="388">
        <f t="shared" si="5"/>
        <v>1.4285714285714285E-2</v>
      </c>
      <c r="M24" s="364">
        <f t="shared" si="6"/>
        <v>1.4285714285714285E-2</v>
      </c>
      <c r="N24" s="758"/>
      <c r="R24" s="777"/>
      <c r="S24" s="352">
        <f t="shared" si="13"/>
        <v>173</v>
      </c>
      <c r="T24" s="396">
        <f t="shared" si="0"/>
        <v>0.67142857142857126</v>
      </c>
      <c r="U24" s="397">
        <f t="shared" si="1"/>
        <v>1.3720496894409933</v>
      </c>
      <c r="Y24" s="777"/>
      <c r="Z24" s="352">
        <f t="shared" si="14"/>
        <v>173</v>
      </c>
      <c r="AA24" s="402">
        <f t="shared" si="16"/>
        <v>9.5918367346938746E-3</v>
      </c>
      <c r="AB24" s="403">
        <f t="shared" si="17"/>
        <v>4.6938775510204089E-3</v>
      </c>
      <c r="AC24" s="364">
        <f t="shared" si="18"/>
        <v>1.4285714285714284E-2</v>
      </c>
      <c r="AD24" s="758"/>
      <c r="AF24" s="777"/>
      <c r="AG24" s="352">
        <f t="shared" si="15"/>
        <v>173</v>
      </c>
      <c r="AH24" s="396">
        <f t="shared" si="8"/>
        <v>0.67142857142857126</v>
      </c>
      <c r="AI24" s="397">
        <f t="shared" si="9"/>
        <v>0.32857142857142863</v>
      </c>
      <c r="AJ24" s="361">
        <f t="shared" si="10"/>
        <v>0.99999999999999989</v>
      </c>
      <c r="AK24" s="839"/>
    </row>
    <row r="25" spans="2:37" x14ac:dyDescent="0.25">
      <c r="B25" s="777"/>
      <c r="C25" s="352">
        <f t="shared" si="11"/>
        <v>174</v>
      </c>
      <c r="D25" s="378">
        <f>IF(COUNTIFS(Urlisten!$C$16:$EL$16,$C25,Urlisten!$C$18:$EL$18,D$5)&gt;0,COUNTIFS(Urlisten!$C$16:$EL$16,$C25,Urlisten!$C$18:$EL$18,D$5),0)</f>
        <v>1</v>
      </c>
      <c r="E25" s="379">
        <f>IF(COUNTIFS(Urlisten!$C$16:$EL$16,$C25,Urlisten!$C$18:$EL$18,E$5)&gt;0,COUNTIFS(Urlisten!$C$16:$EL$16,$C25,Urlisten!$C$18:$EL$18,E$5),0)</f>
        <v>2</v>
      </c>
      <c r="F25" s="361">
        <f t="shared" si="3"/>
        <v>3</v>
      </c>
      <c r="G25" s="839"/>
      <c r="H25" s="22"/>
      <c r="I25" s="777"/>
      <c r="J25" s="352">
        <f t="shared" si="12"/>
        <v>174</v>
      </c>
      <c r="K25" s="387">
        <f t="shared" si="4"/>
        <v>1.4285714285714285E-2</v>
      </c>
      <c r="L25" s="388">
        <f t="shared" si="5"/>
        <v>2.8571428571428571E-2</v>
      </c>
      <c r="M25" s="364">
        <f t="shared" si="6"/>
        <v>4.2857142857142858E-2</v>
      </c>
      <c r="N25" s="758"/>
      <c r="R25" s="777"/>
      <c r="S25" s="352">
        <f t="shared" si="13"/>
        <v>174</v>
      </c>
      <c r="T25" s="396">
        <f t="shared" si="0"/>
        <v>0.5107396149949337</v>
      </c>
      <c r="U25" s="397">
        <f t="shared" si="1"/>
        <v>1.043685300207039</v>
      </c>
      <c r="Y25" s="777"/>
      <c r="Z25" s="352">
        <f t="shared" si="14"/>
        <v>174</v>
      </c>
      <c r="AA25" s="402">
        <f t="shared" si="16"/>
        <v>2.8775510204081627E-2</v>
      </c>
      <c r="AB25" s="403">
        <f t="shared" si="17"/>
        <v>1.4081632653061227E-2</v>
      </c>
      <c r="AC25" s="364">
        <f t="shared" si="18"/>
        <v>4.2857142857142858E-2</v>
      </c>
      <c r="AD25" s="758"/>
      <c r="AF25" s="777"/>
      <c r="AG25" s="352">
        <f t="shared" si="15"/>
        <v>174</v>
      </c>
      <c r="AH25" s="396">
        <f t="shared" si="8"/>
        <v>2.0142857142857138</v>
      </c>
      <c r="AI25" s="397">
        <f t="shared" si="9"/>
        <v>0.98571428571428588</v>
      </c>
      <c r="AJ25" s="361">
        <f t="shared" si="10"/>
        <v>2.9999999999999996</v>
      </c>
      <c r="AK25" s="839"/>
    </row>
    <row r="26" spans="2:37" x14ac:dyDescent="0.25">
      <c r="B26" s="777"/>
      <c r="C26" s="352">
        <f t="shared" si="11"/>
        <v>175</v>
      </c>
      <c r="D26" s="378">
        <f>IF(COUNTIFS(Urlisten!$C$16:$EL$16,$C26,Urlisten!$C$18:$EL$18,D$5)&gt;0,COUNTIFS(Urlisten!$C$16:$EL$16,$C26,Urlisten!$C$18:$EL$18,D$5),0)</f>
        <v>1</v>
      </c>
      <c r="E26" s="379">
        <f>IF(COUNTIFS(Urlisten!$C$16:$EL$16,$C26,Urlisten!$C$18:$EL$18,E$5)&gt;0,COUNTIFS(Urlisten!$C$16:$EL$16,$C26,Urlisten!$C$18:$EL$18,E$5),0)</f>
        <v>0</v>
      </c>
      <c r="F26" s="361">
        <f t="shared" si="3"/>
        <v>1</v>
      </c>
      <c r="G26" s="839"/>
      <c r="H26" s="22"/>
      <c r="I26" s="777"/>
      <c r="J26" s="352">
        <f t="shared" si="12"/>
        <v>175</v>
      </c>
      <c r="K26" s="387">
        <f t="shared" si="4"/>
        <v>1.4285714285714285E-2</v>
      </c>
      <c r="L26" s="388" t="str">
        <f t="shared" si="5"/>
        <v/>
      </c>
      <c r="M26" s="364">
        <f t="shared" si="6"/>
        <v>1.4285714285714285E-2</v>
      </c>
      <c r="N26" s="758"/>
      <c r="R26" s="777"/>
      <c r="S26" s="352">
        <f t="shared" si="13"/>
        <v>175</v>
      </c>
      <c r="T26" s="396">
        <f t="shared" si="0"/>
        <v>0.16079027355623121</v>
      </c>
      <c r="U26" s="397">
        <f t="shared" si="1"/>
        <v>0.32857142857142863</v>
      </c>
      <c r="Y26" s="777"/>
      <c r="Z26" s="352">
        <f t="shared" si="14"/>
        <v>175</v>
      </c>
      <c r="AA26" s="402">
        <f t="shared" si="16"/>
        <v>9.5918367346938746E-3</v>
      </c>
      <c r="AB26" s="403">
        <f t="shared" si="17"/>
        <v>4.6938775510204089E-3</v>
      </c>
      <c r="AC26" s="364">
        <f t="shared" si="18"/>
        <v>1.4285714285714284E-2</v>
      </c>
      <c r="AD26" s="758"/>
      <c r="AF26" s="777"/>
      <c r="AG26" s="352">
        <f t="shared" si="15"/>
        <v>175</v>
      </c>
      <c r="AH26" s="396">
        <f t="shared" si="8"/>
        <v>0.67142857142857126</v>
      </c>
      <c r="AI26" s="397">
        <f t="shared" si="9"/>
        <v>0.32857142857142863</v>
      </c>
      <c r="AJ26" s="361">
        <f t="shared" si="10"/>
        <v>0.99999999999999989</v>
      </c>
      <c r="AK26" s="839"/>
    </row>
    <row r="27" spans="2:37" x14ac:dyDescent="0.25">
      <c r="B27" s="777"/>
      <c r="C27" s="352">
        <f t="shared" si="11"/>
        <v>176</v>
      </c>
      <c r="D27" s="378">
        <f>IF(COUNTIFS(Urlisten!$C$16:$EL$16,$C27,Urlisten!$C$18:$EL$18,D$5)&gt;0,COUNTIFS(Urlisten!$C$16:$EL$16,$C27,Urlisten!$C$18:$EL$18,D$5),0)</f>
        <v>4</v>
      </c>
      <c r="E27" s="379">
        <f>IF(COUNTIFS(Urlisten!$C$16:$EL$16,$C27,Urlisten!$C$18:$EL$18,E$5)&gt;0,COUNTIFS(Urlisten!$C$16:$EL$16,$C27,Urlisten!$C$18:$EL$18,E$5),0)</f>
        <v>2</v>
      </c>
      <c r="F27" s="361">
        <f t="shared" si="3"/>
        <v>6</v>
      </c>
      <c r="G27" s="839"/>
      <c r="H27" s="22"/>
      <c r="I27" s="777"/>
      <c r="J27" s="352">
        <f t="shared" si="12"/>
        <v>176</v>
      </c>
      <c r="K27" s="387">
        <f t="shared" si="4"/>
        <v>5.7142857142857141E-2</v>
      </c>
      <c r="L27" s="388">
        <f t="shared" si="5"/>
        <v>2.8571428571428571E-2</v>
      </c>
      <c r="M27" s="364">
        <f t="shared" si="6"/>
        <v>8.5714285714285715E-2</v>
      </c>
      <c r="N27" s="758"/>
      <c r="R27" s="777"/>
      <c r="S27" s="352">
        <f t="shared" si="13"/>
        <v>176</v>
      </c>
      <c r="T27" s="396">
        <f t="shared" si="0"/>
        <v>2.0263424518742268E-4</v>
      </c>
      <c r="U27" s="397">
        <f t="shared" si="1"/>
        <v>4.1407867494823073E-4</v>
      </c>
      <c r="Y27" s="777"/>
      <c r="Z27" s="352">
        <f t="shared" si="14"/>
        <v>176</v>
      </c>
      <c r="AA27" s="402">
        <f t="shared" si="16"/>
        <v>5.7551020408163255E-2</v>
      </c>
      <c r="AB27" s="403">
        <f t="shared" si="17"/>
        <v>2.8163265306122454E-2</v>
      </c>
      <c r="AC27" s="364">
        <f t="shared" si="18"/>
        <v>8.5714285714285715E-2</v>
      </c>
      <c r="AD27" s="758"/>
      <c r="AF27" s="777"/>
      <c r="AG27" s="352">
        <f t="shared" si="15"/>
        <v>176</v>
      </c>
      <c r="AH27" s="396">
        <f t="shared" ref="AH27:AH50" si="19">IF(AA27&lt;&gt;"",AA27*$F$51,"")</f>
        <v>4.0285714285714276</v>
      </c>
      <c r="AI27" s="397">
        <f t="shared" ref="AI27:AI50" si="20">IF(AB27&lt;&gt;"",AB27*$F$51,"")</f>
        <v>1.9714285714285718</v>
      </c>
      <c r="AJ27" s="361">
        <f t="shared" si="10"/>
        <v>5.9999999999999991</v>
      </c>
      <c r="AK27" s="839"/>
    </row>
    <row r="28" spans="2:37" x14ac:dyDescent="0.25">
      <c r="B28" s="777"/>
      <c r="C28" s="352">
        <f t="shared" si="11"/>
        <v>177</v>
      </c>
      <c r="D28" s="378">
        <f>IF(COUNTIFS(Urlisten!$C$16:$EL$16,$C28,Urlisten!$C$18:$EL$18,D$5)&gt;0,COUNTIFS(Urlisten!$C$16:$EL$16,$C28,Urlisten!$C$18:$EL$18,D$5),0)</f>
        <v>0</v>
      </c>
      <c r="E28" s="379">
        <f>IF(COUNTIFS(Urlisten!$C$16:$EL$16,$C28,Urlisten!$C$18:$EL$18,E$5)&gt;0,COUNTIFS(Urlisten!$C$16:$EL$16,$C28,Urlisten!$C$18:$EL$18,E$5),0)</f>
        <v>0</v>
      </c>
      <c r="F28" s="361" t="str">
        <f t="shared" si="3"/>
        <v/>
      </c>
      <c r="G28" s="839"/>
      <c r="H28" s="22"/>
      <c r="I28" s="777"/>
      <c r="J28" s="352">
        <f t="shared" si="12"/>
        <v>177</v>
      </c>
      <c r="K28" s="387" t="str">
        <f t="shared" si="4"/>
        <v/>
      </c>
      <c r="L28" s="388" t="str">
        <f t="shared" si="5"/>
        <v/>
      </c>
      <c r="M28" s="364" t="str">
        <f t="shared" si="6"/>
        <v/>
      </c>
      <c r="N28" s="758"/>
      <c r="R28" s="777"/>
      <c r="S28" s="352">
        <f t="shared" si="13"/>
        <v>177</v>
      </c>
      <c r="T28" s="396" t="str">
        <f t="shared" si="0"/>
        <v/>
      </c>
      <c r="U28" s="397" t="str">
        <f t="shared" si="1"/>
        <v/>
      </c>
      <c r="Y28" s="777"/>
      <c r="Z28" s="352">
        <f t="shared" si="14"/>
        <v>177</v>
      </c>
      <c r="AA28" s="402" t="str">
        <f t="shared" si="16"/>
        <v/>
      </c>
      <c r="AB28" s="403" t="str">
        <f t="shared" si="17"/>
        <v/>
      </c>
      <c r="AC28" s="364" t="str">
        <f t="shared" si="18"/>
        <v/>
      </c>
      <c r="AD28" s="758"/>
      <c r="AF28" s="777"/>
      <c r="AG28" s="352">
        <f t="shared" si="15"/>
        <v>177</v>
      </c>
      <c r="AH28" s="396" t="str">
        <f t="shared" si="19"/>
        <v/>
      </c>
      <c r="AI28" s="397" t="str">
        <f t="shared" si="20"/>
        <v/>
      </c>
      <c r="AJ28" s="361" t="str">
        <f t="shared" si="10"/>
        <v/>
      </c>
      <c r="AK28" s="839"/>
    </row>
    <row r="29" spans="2:37" x14ac:dyDescent="0.25">
      <c r="B29" s="777"/>
      <c r="C29" s="352">
        <f t="shared" si="11"/>
        <v>178</v>
      </c>
      <c r="D29" s="378">
        <f>IF(COUNTIFS(Urlisten!$C$16:$EL$16,$C29,Urlisten!$C$18:$EL$18,D$5)&gt;0,COUNTIFS(Urlisten!$C$16:$EL$16,$C29,Urlisten!$C$18:$EL$18,D$5),0)</f>
        <v>3</v>
      </c>
      <c r="E29" s="379">
        <f>IF(COUNTIFS(Urlisten!$C$16:$EL$16,$C29,Urlisten!$C$18:$EL$18,E$5)&gt;0,COUNTIFS(Urlisten!$C$16:$EL$16,$C29,Urlisten!$C$18:$EL$18,E$5),0)</f>
        <v>0</v>
      </c>
      <c r="F29" s="361">
        <f t="shared" si="3"/>
        <v>3</v>
      </c>
      <c r="G29" s="839"/>
      <c r="H29" s="22"/>
      <c r="I29" s="777"/>
      <c r="J29" s="352">
        <f t="shared" si="12"/>
        <v>178</v>
      </c>
      <c r="K29" s="387">
        <f t="shared" si="4"/>
        <v>4.2857142857142858E-2</v>
      </c>
      <c r="L29" s="388" t="str">
        <f t="shared" si="5"/>
        <v/>
      </c>
      <c r="M29" s="364">
        <f t="shared" si="6"/>
        <v>4.2857142857142858E-2</v>
      </c>
      <c r="N29" s="758"/>
      <c r="R29" s="777"/>
      <c r="S29" s="352">
        <f t="shared" si="13"/>
        <v>178</v>
      </c>
      <c r="T29" s="396">
        <f t="shared" si="0"/>
        <v>0.48237082066869363</v>
      </c>
      <c r="U29" s="397">
        <f t="shared" si="1"/>
        <v>0.98571428571428588</v>
      </c>
      <c r="Y29" s="777"/>
      <c r="Z29" s="352">
        <f t="shared" si="14"/>
        <v>178</v>
      </c>
      <c r="AA29" s="402">
        <f t="shared" si="16"/>
        <v>2.8775510204081627E-2</v>
      </c>
      <c r="AB29" s="403">
        <f t="shared" si="17"/>
        <v>1.4081632653061227E-2</v>
      </c>
      <c r="AC29" s="364">
        <f t="shared" si="18"/>
        <v>4.2857142857142858E-2</v>
      </c>
      <c r="AD29" s="758"/>
      <c r="AF29" s="777"/>
      <c r="AG29" s="352">
        <f t="shared" si="15"/>
        <v>178</v>
      </c>
      <c r="AH29" s="396">
        <f t="shared" si="19"/>
        <v>2.0142857142857138</v>
      </c>
      <c r="AI29" s="397">
        <f t="shared" si="20"/>
        <v>0.98571428571428588</v>
      </c>
      <c r="AJ29" s="361">
        <f t="shared" si="10"/>
        <v>2.9999999999999996</v>
      </c>
      <c r="AK29" s="839"/>
    </row>
    <row r="30" spans="2:37" x14ac:dyDescent="0.25">
      <c r="B30" s="777"/>
      <c r="C30" s="352">
        <f t="shared" si="11"/>
        <v>179</v>
      </c>
      <c r="D30" s="378">
        <f>IF(COUNTIFS(Urlisten!$C$16:$EL$16,$C30,Urlisten!$C$18:$EL$18,D$5)&gt;0,COUNTIFS(Urlisten!$C$16:$EL$16,$C30,Urlisten!$C$18:$EL$18,D$5),0)</f>
        <v>0</v>
      </c>
      <c r="E30" s="379">
        <f>IF(COUNTIFS(Urlisten!$C$16:$EL$16,$C30,Urlisten!$C$18:$EL$18,E$5)&gt;0,COUNTIFS(Urlisten!$C$16:$EL$16,$C30,Urlisten!$C$18:$EL$18,E$5),0)</f>
        <v>0</v>
      </c>
      <c r="F30" s="361" t="str">
        <f t="shared" si="3"/>
        <v/>
      </c>
      <c r="G30" s="839"/>
      <c r="H30" s="22"/>
      <c r="I30" s="777"/>
      <c r="J30" s="352">
        <f t="shared" si="12"/>
        <v>179</v>
      </c>
      <c r="K30" s="387" t="str">
        <f t="shared" si="4"/>
        <v/>
      </c>
      <c r="L30" s="388" t="str">
        <f t="shared" si="5"/>
        <v/>
      </c>
      <c r="M30" s="364" t="str">
        <f t="shared" si="6"/>
        <v/>
      </c>
      <c r="N30" s="758"/>
      <c r="R30" s="777"/>
      <c r="S30" s="352">
        <f t="shared" si="13"/>
        <v>179</v>
      </c>
      <c r="T30" s="396" t="str">
        <f t="shared" si="0"/>
        <v/>
      </c>
      <c r="U30" s="397" t="str">
        <f t="shared" si="1"/>
        <v/>
      </c>
      <c r="Y30" s="777"/>
      <c r="Z30" s="352">
        <f t="shared" si="14"/>
        <v>179</v>
      </c>
      <c r="AA30" s="402" t="str">
        <f t="shared" si="16"/>
        <v/>
      </c>
      <c r="AB30" s="403" t="str">
        <f t="shared" si="17"/>
        <v/>
      </c>
      <c r="AC30" s="364" t="str">
        <f t="shared" si="18"/>
        <v/>
      </c>
      <c r="AD30" s="758"/>
      <c r="AF30" s="777"/>
      <c r="AG30" s="352">
        <f t="shared" si="15"/>
        <v>179</v>
      </c>
      <c r="AH30" s="396" t="str">
        <f t="shared" si="19"/>
        <v/>
      </c>
      <c r="AI30" s="397" t="str">
        <f t="shared" si="20"/>
        <v/>
      </c>
      <c r="AJ30" s="361" t="str">
        <f t="shared" si="10"/>
        <v/>
      </c>
      <c r="AK30" s="839"/>
    </row>
    <row r="31" spans="2:37" x14ac:dyDescent="0.25">
      <c r="B31" s="777"/>
      <c r="C31" s="352">
        <f t="shared" si="11"/>
        <v>180</v>
      </c>
      <c r="D31" s="378">
        <f>IF(COUNTIFS(Urlisten!$C$16:$EL$16,$C31,Urlisten!$C$18:$EL$18,D$5)&gt;0,COUNTIFS(Urlisten!$C$16:$EL$16,$C31,Urlisten!$C$18:$EL$18,D$5),0)</f>
        <v>4</v>
      </c>
      <c r="E31" s="379">
        <f>IF(COUNTIFS(Urlisten!$C$16:$EL$16,$C31,Urlisten!$C$18:$EL$18,E$5)&gt;0,COUNTIFS(Urlisten!$C$16:$EL$16,$C31,Urlisten!$C$18:$EL$18,E$5),0)</f>
        <v>0</v>
      </c>
      <c r="F31" s="361">
        <f t="shared" si="3"/>
        <v>4</v>
      </c>
      <c r="G31" s="839"/>
      <c r="H31" s="22"/>
      <c r="I31" s="777"/>
      <c r="J31" s="352">
        <f t="shared" si="12"/>
        <v>180</v>
      </c>
      <c r="K31" s="387">
        <f t="shared" si="4"/>
        <v>5.7142857142857141E-2</v>
      </c>
      <c r="L31" s="388" t="str">
        <f t="shared" si="5"/>
        <v/>
      </c>
      <c r="M31" s="364">
        <f t="shared" si="6"/>
        <v>5.7142857142857141E-2</v>
      </c>
      <c r="N31" s="758"/>
      <c r="R31" s="777"/>
      <c r="S31" s="352">
        <f t="shared" si="13"/>
        <v>180</v>
      </c>
      <c r="T31" s="396">
        <f t="shared" si="0"/>
        <v>0.64316109422492485</v>
      </c>
      <c r="U31" s="397">
        <f t="shared" si="1"/>
        <v>1.3142857142857145</v>
      </c>
      <c r="Y31" s="777"/>
      <c r="Z31" s="352">
        <f t="shared" si="14"/>
        <v>180</v>
      </c>
      <c r="AA31" s="402">
        <f t="shared" si="16"/>
        <v>3.8367346938775498E-2</v>
      </c>
      <c r="AB31" s="403">
        <f t="shared" si="17"/>
        <v>1.8775510204081636E-2</v>
      </c>
      <c r="AC31" s="364">
        <f t="shared" si="18"/>
        <v>5.7142857142857134E-2</v>
      </c>
      <c r="AD31" s="758"/>
      <c r="AF31" s="777"/>
      <c r="AG31" s="352">
        <f t="shared" si="15"/>
        <v>180</v>
      </c>
      <c r="AH31" s="396">
        <f t="shared" si="19"/>
        <v>2.6857142857142851</v>
      </c>
      <c r="AI31" s="397">
        <f t="shared" si="20"/>
        <v>1.3142857142857145</v>
      </c>
      <c r="AJ31" s="361">
        <f t="shared" si="10"/>
        <v>3.9999999999999996</v>
      </c>
      <c r="AK31" s="839"/>
    </row>
    <row r="32" spans="2:37" x14ac:dyDescent="0.25">
      <c r="B32" s="777"/>
      <c r="C32" s="352">
        <f t="shared" si="11"/>
        <v>181</v>
      </c>
      <c r="D32" s="378">
        <f>IF(COUNTIFS(Urlisten!$C$16:$EL$16,$C32,Urlisten!$C$18:$EL$18,D$5)&gt;0,COUNTIFS(Urlisten!$C$16:$EL$16,$C32,Urlisten!$C$18:$EL$18,D$5),0)</f>
        <v>0</v>
      </c>
      <c r="E32" s="379">
        <f>IF(COUNTIFS(Urlisten!$C$16:$EL$16,$C32,Urlisten!$C$18:$EL$18,E$5)&gt;0,COUNTIFS(Urlisten!$C$16:$EL$16,$C32,Urlisten!$C$18:$EL$18,E$5),0)</f>
        <v>0</v>
      </c>
      <c r="F32" s="361" t="str">
        <f t="shared" si="3"/>
        <v/>
      </c>
      <c r="G32" s="839"/>
      <c r="H32" s="22"/>
      <c r="I32" s="777"/>
      <c r="J32" s="352">
        <f t="shared" si="12"/>
        <v>181</v>
      </c>
      <c r="K32" s="387" t="str">
        <f t="shared" si="4"/>
        <v/>
      </c>
      <c r="L32" s="388" t="str">
        <f t="shared" si="5"/>
        <v/>
      </c>
      <c r="M32" s="364" t="str">
        <f t="shared" si="6"/>
        <v/>
      </c>
      <c r="N32" s="758"/>
      <c r="R32" s="777"/>
      <c r="S32" s="352">
        <f t="shared" si="13"/>
        <v>181</v>
      </c>
      <c r="T32" s="396" t="str">
        <f t="shared" si="0"/>
        <v/>
      </c>
      <c r="U32" s="397" t="str">
        <f t="shared" si="1"/>
        <v/>
      </c>
      <c r="Y32" s="777"/>
      <c r="Z32" s="352">
        <f t="shared" si="14"/>
        <v>181</v>
      </c>
      <c r="AA32" s="402" t="str">
        <f t="shared" si="16"/>
        <v/>
      </c>
      <c r="AB32" s="403" t="str">
        <f t="shared" si="17"/>
        <v/>
      </c>
      <c r="AC32" s="364" t="str">
        <f t="shared" si="18"/>
        <v/>
      </c>
      <c r="AD32" s="758"/>
      <c r="AF32" s="777"/>
      <c r="AG32" s="352">
        <f t="shared" si="15"/>
        <v>181</v>
      </c>
      <c r="AH32" s="396" t="str">
        <f t="shared" si="19"/>
        <v/>
      </c>
      <c r="AI32" s="397" t="str">
        <f t="shared" si="20"/>
        <v/>
      </c>
      <c r="AJ32" s="361" t="str">
        <f t="shared" si="10"/>
        <v/>
      </c>
      <c r="AK32" s="839"/>
    </row>
    <row r="33" spans="2:37" x14ac:dyDescent="0.25">
      <c r="B33" s="777"/>
      <c r="C33" s="352">
        <f t="shared" si="11"/>
        <v>182</v>
      </c>
      <c r="D33" s="378">
        <f>IF(COUNTIFS(Urlisten!$C$16:$EL$16,$C33,Urlisten!$C$18:$EL$18,D$5)&gt;0,COUNTIFS(Urlisten!$C$16:$EL$16,$C33,Urlisten!$C$18:$EL$18,D$5),0)</f>
        <v>4</v>
      </c>
      <c r="E33" s="379">
        <f>IF(COUNTIFS(Urlisten!$C$16:$EL$16,$C33,Urlisten!$C$18:$EL$18,E$5)&gt;0,COUNTIFS(Urlisten!$C$16:$EL$16,$C33,Urlisten!$C$18:$EL$18,E$5),0)</f>
        <v>1</v>
      </c>
      <c r="F33" s="361">
        <f t="shared" si="3"/>
        <v>5</v>
      </c>
      <c r="G33" s="839"/>
      <c r="H33" s="22"/>
      <c r="I33" s="777"/>
      <c r="J33" s="352">
        <f t="shared" si="12"/>
        <v>182</v>
      </c>
      <c r="K33" s="387">
        <f t="shared" si="4"/>
        <v>5.7142857142857141E-2</v>
      </c>
      <c r="L33" s="388">
        <f t="shared" si="5"/>
        <v>1.4285714285714285E-2</v>
      </c>
      <c r="M33" s="364">
        <f t="shared" si="6"/>
        <v>7.1428571428571425E-2</v>
      </c>
      <c r="N33" s="758"/>
      <c r="R33" s="777"/>
      <c r="S33" s="352">
        <f t="shared" si="13"/>
        <v>182</v>
      </c>
      <c r="T33" s="396">
        <f t="shared" si="0"/>
        <v>0.12310030395136813</v>
      </c>
      <c r="U33" s="397">
        <f t="shared" si="1"/>
        <v>0.25155279503105615</v>
      </c>
      <c r="Y33" s="777"/>
      <c r="Z33" s="352">
        <f t="shared" si="14"/>
        <v>182</v>
      </c>
      <c r="AA33" s="402">
        <f t="shared" si="16"/>
        <v>4.7959183673469373E-2</v>
      </c>
      <c r="AB33" s="403">
        <f t="shared" si="17"/>
        <v>2.3469387755102045E-2</v>
      </c>
      <c r="AC33" s="364">
        <f t="shared" si="18"/>
        <v>7.1428571428571425E-2</v>
      </c>
      <c r="AD33" s="758"/>
      <c r="AF33" s="777"/>
      <c r="AG33" s="352">
        <f t="shared" si="15"/>
        <v>182</v>
      </c>
      <c r="AH33" s="396">
        <f t="shared" si="19"/>
        <v>3.3571428571428563</v>
      </c>
      <c r="AI33" s="397">
        <f t="shared" si="20"/>
        <v>1.6428571428571432</v>
      </c>
      <c r="AJ33" s="361">
        <f t="shared" si="10"/>
        <v>5</v>
      </c>
      <c r="AK33" s="839"/>
    </row>
    <row r="34" spans="2:37" x14ac:dyDescent="0.25">
      <c r="B34" s="777"/>
      <c r="C34" s="352">
        <f t="shared" si="11"/>
        <v>183</v>
      </c>
      <c r="D34" s="378">
        <f>IF(COUNTIFS(Urlisten!$C$16:$EL$16,$C34,Urlisten!$C$18:$EL$18,D$5)&gt;0,COUNTIFS(Urlisten!$C$16:$EL$16,$C34,Urlisten!$C$18:$EL$18,D$5),0)</f>
        <v>4</v>
      </c>
      <c r="E34" s="379">
        <f>IF(COUNTIFS(Urlisten!$C$16:$EL$16,$C34,Urlisten!$C$18:$EL$18,E$5)&gt;0,COUNTIFS(Urlisten!$C$16:$EL$16,$C34,Urlisten!$C$18:$EL$18,E$5),0)</f>
        <v>0</v>
      </c>
      <c r="F34" s="361">
        <f t="shared" si="3"/>
        <v>4</v>
      </c>
      <c r="G34" s="839"/>
      <c r="H34" s="22"/>
      <c r="I34" s="777"/>
      <c r="J34" s="352">
        <f t="shared" si="12"/>
        <v>183</v>
      </c>
      <c r="K34" s="387">
        <f t="shared" si="4"/>
        <v>5.7142857142857141E-2</v>
      </c>
      <c r="L34" s="388" t="str">
        <f t="shared" si="5"/>
        <v/>
      </c>
      <c r="M34" s="364">
        <f t="shared" si="6"/>
        <v>5.7142857142857141E-2</v>
      </c>
      <c r="N34" s="758"/>
      <c r="R34" s="777"/>
      <c r="S34" s="352">
        <f t="shared" si="13"/>
        <v>183</v>
      </c>
      <c r="T34" s="396">
        <f t="shared" si="0"/>
        <v>0.64316109422492485</v>
      </c>
      <c r="U34" s="397">
        <f t="shared" si="1"/>
        <v>1.3142857142857145</v>
      </c>
      <c r="Y34" s="777"/>
      <c r="Z34" s="352">
        <f t="shared" si="14"/>
        <v>183</v>
      </c>
      <c r="AA34" s="402">
        <f t="shared" si="16"/>
        <v>3.8367346938775498E-2</v>
      </c>
      <c r="AB34" s="403">
        <f t="shared" si="17"/>
        <v>1.8775510204081636E-2</v>
      </c>
      <c r="AC34" s="364">
        <f t="shared" si="18"/>
        <v>5.7142857142857134E-2</v>
      </c>
      <c r="AD34" s="758"/>
      <c r="AF34" s="777"/>
      <c r="AG34" s="352">
        <f t="shared" si="15"/>
        <v>183</v>
      </c>
      <c r="AH34" s="396">
        <f t="shared" si="19"/>
        <v>2.6857142857142851</v>
      </c>
      <c r="AI34" s="397">
        <f t="shared" si="20"/>
        <v>1.3142857142857145</v>
      </c>
      <c r="AJ34" s="361">
        <f t="shared" si="10"/>
        <v>3.9999999999999996</v>
      </c>
      <c r="AK34" s="839"/>
    </row>
    <row r="35" spans="2:37" x14ac:dyDescent="0.25">
      <c r="B35" s="777"/>
      <c r="C35" s="352">
        <f t="shared" si="11"/>
        <v>184</v>
      </c>
      <c r="D35" s="378">
        <f>IF(COUNTIFS(Urlisten!$C$16:$EL$16,$C35,Urlisten!$C$18:$EL$18,D$5)&gt;0,COUNTIFS(Urlisten!$C$16:$EL$16,$C35,Urlisten!$C$18:$EL$18,D$5),0)</f>
        <v>3</v>
      </c>
      <c r="E35" s="379">
        <f>IF(COUNTIFS(Urlisten!$C$16:$EL$16,$C35,Urlisten!$C$18:$EL$18,E$5)&gt;0,COUNTIFS(Urlisten!$C$16:$EL$16,$C35,Urlisten!$C$18:$EL$18,E$5),0)</f>
        <v>0</v>
      </c>
      <c r="F35" s="361">
        <f t="shared" si="3"/>
        <v>3</v>
      </c>
      <c r="G35" s="839"/>
      <c r="I35" s="777"/>
      <c r="J35" s="352">
        <f t="shared" si="12"/>
        <v>184</v>
      </c>
      <c r="K35" s="387">
        <f t="shared" si="4"/>
        <v>4.2857142857142858E-2</v>
      </c>
      <c r="L35" s="388" t="str">
        <f t="shared" si="5"/>
        <v/>
      </c>
      <c r="M35" s="364">
        <f t="shared" si="6"/>
        <v>4.2857142857142858E-2</v>
      </c>
      <c r="N35" s="758"/>
      <c r="R35" s="777"/>
      <c r="S35" s="352">
        <f t="shared" si="13"/>
        <v>184</v>
      </c>
      <c r="T35" s="396">
        <f t="shared" si="0"/>
        <v>0.48237082066869363</v>
      </c>
      <c r="U35" s="397">
        <f t="shared" si="1"/>
        <v>0.98571428571428588</v>
      </c>
      <c r="Y35" s="777"/>
      <c r="Z35" s="352">
        <f t="shared" si="14"/>
        <v>184</v>
      </c>
      <c r="AA35" s="402">
        <f t="shared" si="16"/>
        <v>2.8775510204081627E-2</v>
      </c>
      <c r="AB35" s="403">
        <f t="shared" si="17"/>
        <v>1.4081632653061227E-2</v>
      </c>
      <c r="AC35" s="364">
        <f t="shared" si="18"/>
        <v>4.2857142857142858E-2</v>
      </c>
      <c r="AD35" s="758"/>
      <c r="AF35" s="777"/>
      <c r="AG35" s="352">
        <f t="shared" si="15"/>
        <v>184</v>
      </c>
      <c r="AH35" s="396">
        <f t="shared" si="19"/>
        <v>2.0142857142857138</v>
      </c>
      <c r="AI35" s="397">
        <f t="shared" si="20"/>
        <v>0.98571428571428588</v>
      </c>
      <c r="AJ35" s="361">
        <f t="shared" si="10"/>
        <v>2.9999999999999996</v>
      </c>
      <c r="AK35" s="839"/>
    </row>
    <row r="36" spans="2:37" ht="15" customHeight="1" x14ac:dyDescent="0.25">
      <c r="B36" s="777"/>
      <c r="C36" s="352">
        <f>C35+1</f>
        <v>185</v>
      </c>
      <c r="D36" s="378">
        <f>IF(COUNTIFS(Urlisten!$C$16:$EL$16,$C36,Urlisten!$C$18:$EL$18,D$5)&gt;0,COUNTIFS(Urlisten!$C$16:$EL$16,$C36,Urlisten!$C$18:$EL$18,D$5),0)</f>
        <v>7</v>
      </c>
      <c r="E36" s="379">
        <f>IF(COUNTIFS(Urlisten!$C$16:$EL$16,$C36,Urlisten!$C$18:$EL$18,E$5)&gt;0,COUNTIFS(Urlisten!$C$16:$EL$16,$C36,Urlisten!$C$18:$EL$18,E$5),0)</f>
        <v>0</v>
      </c>
      <c r="F36" s="361">
        <f t="shared" si="3"/>
        <v>7</v>
      </c>
      <c r="G36" s="839"/>
      <c r="I36" s="777"/>
      <c r="J36" s="352">
        <f>J35+1</f>
        <v>185</v>
      </c>
      <c r="K36" s="387">
        <f t="shared" si="4"/>
        <v>0.1</v>
      </c>
      <c r="L36" s="388" t="str">
        <f t="shared" si="5"/>
        <v/>
      </c>
      <c r="M36" s="364">
        <f t="shared" si="6"/>
        <v>0.1</v>
      </c>
      <c r="N36" s="758"/>
      <c r="R36" s="777"/>
      <c r="S36" s="352">
        <f>S35+1</f>
        <v>185</v>
      </c>
      <c r="T36" s="396">
        <f t="shared" si="0"/>
        <v>1.125531914893618</v>
      </c>
      <c r="U36" s="397">
        <f t="shared" si="1"/>
        <v>2.3000000000000003</v>
      </c>
      <c r="Y36" s="777"/>
      <c r="Z36" s="352">
        <f>Z35+1</f>
        <v>185</v>
      </c>
      <c r="AA36" s="402">
        <f t="shared" si="16"/>
        <v>6.7142857142857129E-2</v>
      </c>
      <c r="AB36" s="403">
        <f t="shared" si="17"/>
        <v>3.2857142857142863E-2</v>
      </c>
      <c r="AC36" s="364">
        <f t="shared" si="18"/>
        <v>9.9999999999999992E-2</v>
      </c>
      <c r="AD36" s="758"/>
      <c r="AF36" s="777"/>
      <c r="AG36" s="352">
        <f>AG35+1</f>
        <v>185</v>
      </c>
      <c r="AH36" s="396">
        <f t="shared" si="19"/>
        <v>4.6999999999999993</v>
      </c>
      <c r="AI36" s="397">
        <f t="shared" si="20"/>
        <v>2.3000000000000003</v>
      </c>
      <c r="AJ36" s="361">
        <f t="shared" si="10"/>
        <v>7</v>
      </c>
      <c r="AK36" s="839"/>
    </row>
    <row r="37" spans="2:37" x14ac:dyDescent="0.25">
      <c r="B37" s="777"/>
      <c r="C37" s="352">
        <f t="shared" si="11"/>
        <v>186</v>
      </c>
      <c r="D37" s="378">
        <f>IF(COUNTIFS(Urlisten!$C$16:$EL$16,$C37,Urlisten!$C$18:$EL$18,D$5)&gt;0,COUNTIFS(Urlisten!$C$16:$EL$16,$C37,Urlisten!$C$18:$EL$18,D$5),0)</f>
        <v>0</v>
      </c>
      <c r="E37" s="379">
        <f>IF(COUNTIFS(Urlisten!$C$16:$EL$16,$C37,Urlisten!$C$18:$EL$18,E$5)&gt;0,COUNTIFS(Urlisten!$C$16:$EL$16,$C37,Urlisten!$C$18:$EL$18,E$5),0)</f>
        <v>0</v>
      </c>
      <c r="F37" s="361" t="str">
        <f t="shared" si="3"/>
        <v/>
      </c>
      <c r="G37" s="839"/>
      <c r="I37" s="777"/>
      <c r="J37" s="352">
        <f t="shared" si="12"/>
        <v>186</v>
      </c>
      <c r="K37" s="387" t="str">
        <f t="shared" si="4"/>
        <v/>
      </c>
      <c r="L37" s="388" t="str">
        <f t="shared" si="5"/>
        <v/>
      </c>
      <c r="M37" s="364" t="str">
        <f t="shared" si="6"/>
        <v/>
      </c>
      <c r="N37" s="758"/>
      <c r="R37" s="777"/>
      <c r="S37" s="352">
        <f t="shared" si="13"/>
        <v>186</v>
      </c>
      <c r="T37" s="396" t="str">
        <f t="shared" si="0"/>
        <v/>
      </c>
      <c r="U37" s="397" t="str">
        <f t="shared" si="1"/>
        <v/>
      </c>
      <c r="Y37" s="777"/>
      <c r="Z37" s="352">
        <f t="shared" si="14"/>
        <v>186</v>
      </c>
      <c r="AA37" s="402" t="str">
        <f t="shared" si="16"/>
        <v/>
      </c>
      <c r="AB37" s="403" t="str">
        <f t="shared" si="17"/>
        <v/>
      </c>
      <c r="AC37" s="364" t="str">
        <f t="shared" si="18"/>
        <v/>
      </c>
      <c r="AD37" s="758"/>
      <c r="AF37" s="777"/>
      <c r="AG37" s="352">
        <f t="shared" si="15"/>
        <v>186</v>
      </c>
      <c r="AH37" s="396" t="str">
        <f t="shared" si="19"/>
        <v/>
      </c>
      <c r="AI37" s="397" t="str">
        <f t="shared" si="20"/>
        <v/>
      </c>
      <c r="AJ37" s="361" t="str">
        <f t="shared" si="10"/>
        <v/>
      </c>
      <c r="AK37" s="839"/>
    </row>
    <row r="38" spans="2:37" x14ac:dyDescent="0.25">
      <c r="B38" s="777"/>
      <c r="C38" s="352">
        <f t="shared" si="11"/>
        <v>187</v>
      </c>
      <c r="D38" s="378">
        <f>IF(COUNTIFS(Urlisten!$C$16:$EL$16,$C38,Urlisten!$C$18:$EL$18,D$5)&gt;0,COUNTIFS(Urlisten!$C$16:$EL$16,$C38,Urlisten!$C$18:$EL$18,D$5),0)</f>
        <v>2</v>
      </c>
      <c r="E38" s="379">
        <f>IF(COUNTIFS(Urlisten!$C$16:$EL$16,$C38,Urlisten!$C$18:$EL$18,E$5)&gt;0,COUNTIFS(Urlisten!$C$16:$EL$16,$C38,Urlisten!$C$18:$EL$18,E$5),0)</f>
        <v>0</v>
      </c>
      <c r="F38" s="361">
        <f t="shared" si="3"/>
        <v>2</v>
      </c>
      <c r="G38" s="839"/>
      <c r="I38" s="777"/>
      <c r="J38" s="352">
        <f t="shared" si="12"/>
        <v>187</v>
      </c>
      <c r="K38" s="387">
        <f t="shared" si="4"/>
        <v>2.8571428571428571E-2</v>
      </c>
      <c r="L38" s="388" t="str">
        <f t="shared" si="5"/>
        <v/>
      </c>
      <c r="M38" s="364">
        <f t="shared" si="6"/>
        <v>2.8571428571428571E-2</v>
      </c>
      <c r="N38" s="758"/>
      <c r="R38" s="777"/>
      <c r="S38" s="352">
        <f t="shared" si="13"/>
        <v>187</v>
      </c>
      <c r="T38" s="396">
        <f t="shared" si="0"/>
        <v>0.32158054711246242</v>
      </c>
      <c r="U38" s="397">
        <f t="shared" si="1"/>
        <v>0.65714285714285725</v>
      </c>
      <c r="Y38" s="777"/>
      <c r="Z38" s="352">
        <f t="shared" si="14"/>
        <v>187</v>
      </c>
      <c r="AA38" s="402">
        <f t="shared" si="16"/>
        <v>1.9183673469387749E-2</v>
      </c>
      <c r="AB38" s="403">
        <f t="shared" si="17"/>
        <v>9.3877551020408179E-3</v>
      </c>
      <c r="AC38" s="364">
        <f t="shared" si="18"/>
        <v>2.8571428571428567E-2</v>
      </c>
      <c r="AD38" s="758"/>
      <c r="AF38" s="777"/>
      <c r="AG38" s="352">
        <f t="shared" si="15"/>
        <v>187</v>
      </c>
      <c r="AH38" s="396">
        <f t="shared" si="19"/>
        <v>1.3428571428571425</v>
      </c>
      <c r="AI38" s="397">
        <f t="shared" si="20"/>
        <v>0.65714285714285725</v>
      </c>
      <c r="AJ38" s="361">
        <f t="shared" si="10"/>
        <v>1.9999999999999998</v>
      </c>
      <c r="AK38" s="839"/>
    </row>
    <row r="39" spans="2:37" x14ac:dyDescent="0.25">
      <c r="B39" s="777"/>
      <c r="C39" s="352">
        <f t="shared" si="11"/>
        <v>188</v>
      </c>
      <c r="D39" s="378">
        <f>IF(COUNTIFS(Urlisten!$C$16:$EL$16,$C39,Urlisten!$C$18:$EL$18,D$5)&gt;0,COUNTIFS(Urlisten!$C$16:$EL$16,$C39,Urlisten!$C$18:$EL$18,D$5),0)</f>
        <v>1</v>
      </c>
      <c r="E39" s="379">
        <f>IF(COUNTIFS(Urlisten!$C$16:$EL$16,$C39,Urlisten!$C$18:$EL$18,E$5)&gt;0,COUNTIFS(Urlisten!$C$16:$EL$16,$C39,Urlisten!$C$18:$EL$18,E$5),0)</f>
        <v>0</v>
      </c>
      <c r="F39" s="361">
        <f t="shared" si="3"/>
        <v>1</v>
      </c>
      <c r="G39" s="839"/>
      <c r="I39" s="777"/>
      <c r="J39" s="352">
        <f t="shared" si="12"/>
        <v>188</v>
      </c>
      <c r="K39" s="387">
        <f t="shared" si="4"/>
        <v>1.4285714285714285E-2</v>
      </c>
      <c r="L39" s="388" t="str">
        <f t="shared" si="5"/>
        <v/>
      </c>
      <c r="M39" s="364">
        <f t="shared" si="6"/>
        <v>1.4285714285714285E-2</v>
      </c>
      <c r="N39" s="758"/>
      <c r="R39" s="777"/>
      <c r="S39" s="352">
        <f t="shared" si="13"/>
        <v>188</v>
      </c>
      <c r="T39" s="396">
        <f t="shared" si="0"/>
        <v>0.16079027355623121</v>
      </c>
      <c r="U39" s="397">
        <f t="shared" si="1"/>
        <v>0.32857142857142863</v>
      </c>
      <c r="Y39" s="777"/>
      <c r="Z39" s="352">
        <f t="shared" si="14"/>
        <v>188</v>
      </c>
      <c r="AA39" s="402">
        <f t="shared" si="16"/>
        <v>9.5918367346938746E-3</v>
      </c>
      <c r="AB39" s="403">
        <f t="shared" si="17"/>
        <v>4.6938775510204089E-3</v>
      </c>
      <c r="AC39" s="364">
        <f t="shared" si="18"/>
        <v>1.4285714285714284E-2</v>
      </c>
      <c r="AD39" s="758"/>
      <c r="AF39" s="777"/>
      <c r="AG39" s="352">
        <f t="shared" si="15"/>
        <v>188</v>
      </c>
      <c r="AH39" s="396">
        <f t="shared" si="19"/>
        <v>0.67142857142857126</v>
      </c>
      <c r="AI39" s="397">
        <f t="shared" si="20"/>
        <v>0.32857142857142863</v>
      </c>
      <c r="AJ39" s="361">
        <f t="shared" si="10"/>
        <v>0.99999999999999989</v>
      </c>
      <c r="AK39" s="839"/>
    </row>
    <row r="40" spans="2:37" x14ac:dyDescent="0.25">
      <c r="B40" s="777"/>
      <c r="C40" s="352">
        <f t="shared" si="11"/>
        <v>189</v>
      </c>
      <c r="D40" s="378">
        <f>IF(COUNTIFS(Urlisten!$C$16:$EL$16,$C40,Urlisten!$C$18:$EL$18,D$5)&gt;0,COUNTIFS(Urlisten!$C$16:$EL$16,$C40,Urlisten!$C$18:$EL$18,D$5),0)</f>
        <v>1</v>
      </c>
      <c r="E40" s="379">
        <f>IF(COUNTIFS(Urlisten!$C$16:$EL$16,$C40,Urlisten!$C$18:$EL$18,E$5)&gt;0,COUNTIFS(Urlisten!$C$16:$EL$16,$C40,Urlisten!$C$18:$EL$18,E$5),0)</f>
        <v>0</v>
      </c>
      <c r="F40" s="361">
        <f t="shared" si="3"/>
        <v>1</v>
      </c>
      <c r="G40" s="839"/>
      <c r="I40" s="777"/>
      <c r="J40" s="352">
        <f t="shared" si="12"/>
        <v>189</v>
      </c>
      <c r="K40" s="387">
        <f t="shared" si="4"/>
        <v>1.4285714285714285E-2</v>
      </c>
      <c r="L40" s="388" t="str">
        <f t="shared" si="5"/>
        <v/>
      </c>
      <c r="M40" s="364">
        <f t="shared" si="6"/>
        <v>1.4285714285714285E-2</v>
      </c>
      <c r="N40" s="758"/>
      <c r="R40" s="777"/>
      <c r="S40" s="352">
        <f t="shared" si="13"/>
        <v>189</v>
      </c>
      <c r="T40" s="396">
        <f t="shared" si="0"/>
        <v>0.16079027355623121</v>
      </c>
      <c r="U40" s="397">
        <f t="shared" si="1"/>
        <v>0.32857142857142863</v>
      </c>
      <c r="Y40" s="777"/>
      <c r="Z40" s="352">
        <f t="shared" si="14"/>
        <v>189</v>
      </c>
      <c r="AA40" s="402">
        <f t="shared" si="16"/>
        <v>9.5918367346938746E-3</v>
      </c>
      <c r="AB40" s="403">
        <f t="shared" si="17"/>
        <v>4.6938775510204089E-3</v>
      </c>
      <c r="AC40" s="364">
        <f t="shared" si="18"/>
        <v>1.4285714285714284E-2</v>
      </c>
      <c r="AD40" s="758"/>
      <c r="AF40" s="777"/>
      <c r="AG40" s="352">
        <f t="shared" si="15"/>
        <v>189</v>
      </c>
      <c r="AH40" s="396">
        <f t="shared" si="19"/>
        <v>0.67142857142857126</v>
      </c>
      <c r="AI40" s="397">
        <f t="shared" si="20"/>
        <v>0.32857142857142863</v>
      </c>
      <c r="AJ40" s="361">
        <f t="shared" si="10"/>
        <v>0.99999999999999989</v>
      </c>
      <c r="AK40" s="839"/>
    </row>
    <row r="41" spans="2:37" x14ac:dyDescent="0.25">
      <c r="B41" s="777"/>
      <c r="C41" s="352">
        <f t="shared" si="11"/>
        <v>190</v>
      </c>
      <c r="D41" s="378">
        <f>IF(COUNTIFS(Urlisten!$C$16:$EL$16,$C41,Urlisten!$C$18:$EL$18,D$5)&gt;0,COUNTIFS(Urlisten!$C$16:$EL$16,$C41,Urlisten!$C$18:$EL$18,D$5),0)</f>
        <v>1</v>
      </c>
      <c r="E41" s="379">
        <f>IF(COUNTIFS(Urlisten!$C$16:$EL$16,$C41,Urlisten!$C$18:$EL$18,E$5)&gt;0,COUNTIFS(Urlisten!$C$16:$EL$16,$C41,Urlisten!$C$18:$EL$18,E$5),0)</f>
        <v>0</v>
      </c>
      <c r="F41" s="361">
        <f t="shared" si="3"/>
        <v>1</v>
      </c>
      <c r="G41" s="839"/>
      <c r="I41" s="777"/>
      <c r="J41" s="352">
        <f t="shared" si="12"/>
        <v>190</v>
      </c>
      <c r="K41" s="387">
        <f t="shared" si="4"/>
        <v>1.4285714285714285E-2</v>
      </c>
      <c r="L41" s="388" t="str">
        <f t="shared" si="5"/>
        <v/>
      </c>
      <c r="M41" s="364">
        <f t="shared" si="6"/>
        <v>1.4285714285714285E-2</v>
      </c>
      <c r="N41" s="758"/>
      <c r="R41" s="777"/>
      <c r="S41" s="352">
        <f t="shared" si="13"/>
        <v>190</v>
      </c>
      <c r="T41" s="396">
        <f t="shared" si="0"/>
        <v>0.16079027355623121</v>
      </c>
      <c r="U41" s="397">
        <f t="shared" si="1"/>
        <v>0.32857142857142863</v>
      </c>
      <c r="Y41" s="777"/>
      <c r="Z41" s="352">
        <f t="shared" si="14"/>
        <v>190</v>
      </c>
      <c r="AA41" s="402">
        <f t="shared" si="16"/>
        <v>9.5918367346938746E-3</v>
      </c>
      <c r="AB41" s="403">
        <f t="shared" si="17"/>
        <v>4.6938775510204089E-3</v>
      </c>
      <c r="AC41" s="364">
        <f t="shared" si="18"/>
        <v>1.4285714285714284E-2</v>
      </c>
      <c r="AD41" s="758"/>
      <c r="AF41" s="777"/>
      <c r="AG41" s="352">
        <f t="shared" si="15"/>
        <v>190</v>
      </c>
      <c r="AH41" s="396">
        <f t="shared" si="19"/>
        <v>0.67142857142857126</v>
      </c>
      <c r="AI41" s="397">
        <f t="shared" si="20"/>
        <v>0.32857142857142863</v>
      </c>
      <c r="AJ41" s="361">
        <f t="shared" si="10"/>
        <v>0.99999999999999989</v>
      </c>
      <c r="AK41" s="839"/>
    </row>
    <row r="42" spans="2:37" x14ac:dyDescent="0.25">
      <c r="B42" s="777"/>
      <c r="C42" s="352">
        <f t="shared" si="11"/>
        <v>191</v>
      </c>
      <c r="D42" s="378">
        <f>IF(COUNTIFS(Urlisten!$C$16:$EL$16,$C42,Urlisten!$C$18:$EL$18,D$5)&gt;0,COUNTIFS(Urlisten!$C$16:$EL$16,$C42,Urlisten!$C$18:$EL$18,D$5),0)</f>
        <v>0</v>
      </c>
      <c r="E42" s="379">
        <f>IF(COUNTIFS(Urlisten!$C$16:$EL$16,$C42,Urlisten!$C$18:$EL$18,E$5)&gt;0,COUNTIFS(Urlisten!$C$16:$EL$16,$C42,Urlisten!$C$18:$EL$18,E$5),0)</f>
        <v>0</v>
      </c>
      <c r="F42" s="361" t="str">
        <f t="shared" si="3"/>
        <v/>
      </c>
      <c r="G42" s="839"/>
      <c r="I42" s="777"/>
      <c r="J42" s="352">
        <f t="shared" si="12"/>
        <v>191</v>
      </c>
      <c r="K42" s="387" t="str">
        <f t="shared" si="4"/>
        <v/>
      </c>
      <c r="L42" s="388" t="str">
        <f t="shared" si="5"/>
        <v/>
      </c>
      <c r="M42" s="364" t="str">
        <f t="shared" si="6"/>
        <v/>
      </c>
      <c r="N42" s="758"/>
      <c r="R42" s="777"/>
      <c r="S42" s="352">
        <f t="shared" si="13"/>
        <v>191</v>
      </c>
      <c r="T42" s="396" t="str">
        <f t="shared" si="0"/>
        <v/>
      </c>
      <c r="U42" s="397" t="str">
        <f t="shared" si="1"/>
        <v/>
      </c>
      <c r="Y42" s="777"/>
      <c r="Z42" s="352">
        <f t="shared" si="14"/>
        <v>191</v>
      </c>
      <c r="AA42" s="402" t="str">
        <f t="shared" si="16"/>
        <v/>
      </c>
      <c r="AB42" s="403" t="str">
        <f t="shared" si="17"/>
        <v/>
      </c>
      <c r="AC42" s="364" t="str">
        <f t="shared" si="18"/>
        <v/>
      </c>
      <c r="AD42" s="758"/>
      <c r="AF42" s="777"/>
      <c r="AG42" s="352">
        <f t="shared" si="15"/>
        <v>191</v>
      </c>
      <c r="AH42" s="396" t="str">
        <f t="shared" si="19"/>
        <v/>
      </c>
      <c r="AI42" s="397" t="str">
        <f t="shared" si="20"/>
        <v/>
      </c>
      <c r="AJ42" s="361" t="str">
        <f t="shared" si="10"/>
        <v/>
      </c>
      <c r="AK42" s="839"/>
    </row>
    <row r="43" spans="2:37" x14ac:dyDescent="0.25">
      <c r="B43" s="777"/>
      <c r="C43" s="352">
        <f t="shared" si="11"/>
        <v>192</v>
      </c>
      <c r="D43" s="378">
        <f>IF(COUNTIFS(Urlisten!$C$16:$EL$16,$C43,Urlisten!$C$18:$EL$18,D$5)&gt;0,COUNTIFS(Urlisten!$C$16:$EL$16,$C43,Urlisten!$C$18:$EL$18,D$5),0)</f>
        <v>0</v>
      </c>
      <c r="E43" s="379">
        <f>IF(COUNTIFS(Urlisten!$C$16:$EL$16,$C43,Urlisten!$C$18:$EL$18,E$5)&gt;0,COUNTIFS(Urlisten!$C$16:$EL$16,$C43,Urlisten!$C$18:$EL$18,E$5),0)</f>
        <v>0</v>
      </c>
      <c r="F43" s="361" t="str">
        <f t="shared" si="3"/>
        <v/>
      </c>
      <c r="G43" s="839"/>
      <c r="I43" s="777"/>
      <c r="J43" s="352">
        <f t="shared" si="12"/>
        <v>192</v>
      </c>
      <c r="K43" s="387" t="str">
        <f t="shared" si="4"/>
        <v/>
      </c>
      <c r="L43" s="388" t="str">
        <f t="shared" si="5"/>
        <v/>
      </c>
      <c r="M43" s="364" t="str">
        <f t="shared" si="6"/>
        <v/>
      </c>
      <c r="N43" s="758"/>
      <c r="R43" s="777"/>
      <c r="S43" s="352">
        <f t="shared" si="13"/>
        <v>192</v>
      </c>
      <c r="T43" s="396" t="str">
        <f t="shared" si="0"/>
        <v/>
      </c>
      <c r="U43" s="397" t="str">
        <f t="shared" si="1"/>
        <v/>
      </c>
      <c r="Y43" s="777"/>
      <c r="Z43" s="352">
        <f t="shared" si="14"/>
        <v>192</v>
      </c>
      <c r="AA43" s="402" t="str">
        <f t="shared" si="16"/>
        <v/>
      </c>
      <c r="AB43" s="403" t="str">
        <f t="shared" si="17"/>
        <v/>
      </c>
      <c r="AC43" s="364" t="str">
        <f t="shared" si="18"/>
        <v/>
      </c>
      <c r="AD43" s="758"/>
      <c r="AF43" s="777"/>
      <c r="AG43" s="352">
        <f t="shared" si="15"/>
        <v>192</v>
      </c>
      <c r="AH43" s="396" t="str">
        <f t="shared" si="19"/>
        <v/>
      </c>
      <c r="AI43" s="397" t="str">
        <f t="shared" si="20"/>
        <v/>
      </c>
      <c r="AJ43" s="361" t="str">
        <f t="shared" si="10"/>
        <v/>
      </c>
      <c r="AK43" s="839"/>
    </row>
    <row r="44" spans="2:37" x14ac:dyDescent="0.25">
      <c r="B44" s="777"/>
      <c r="C44" s="352">
        <f t="shared" si="11"/>
        <v>193</v>
      </c>
      <c r="D44" s="378">
        <f>IF(COUNTIFS(Urlisten!$C$16:$EL$16,$C44,Urlisten!$C$18:$EL$18,D$5)&gt;0,COUNTIFS(Urlisten!$C$16:$EL$16,$C44,Urlisten!$C$18:$EL$18,D$5),0)</f>
        <v>2</v>
      </c>
      <c r="E44" s="379">
        <f>IF(COUNTIFS(Urlisten!$C$16:$EL$16,$C44,Urlisten!$C$18:$EL$18,E$5)&gt;0,COUNTIFS(Urlisten!$C$16:$EL$16,$C44,Urlisten!$C$18:$EL$18,E$5),0)</f>
        <v>0</v>
      </c>
      <c r="F44" s="361">
        <f t="shared" si="3"/>
        <v>2</v>
      </c>
      <c r="G44" s="839"/>
      <c r="I44" s="777"/>
      <c r="J44" s="352">
        <f t="shared" si="12"/>
        <v>193</v>
      </c>
      <c r="K44" s="387">
        <f t="shared" si="4"/>
        <v>2.8571428571428571E-2</v>
      </c>
      <c r="L44" s="388" t="str">
        <f t="shared" si="5"/>
        <v/>
      </c>
      <c r="M44" s="364">
        <f t="shared" si="6"/>
        <v>2.8571428571428571E-2</v>
      </c>
      <c r="N44" s="758"/>
      <c r="R44" s="777"/>
      <c r="S44" s="352">
        <f t="shared" si="13"/>
        <v>193</v>
      </c>
      <c r="T44" s="396">
        <f t="shared" si="0"/>
        <v>0.32158054711246242</v>
      </c>
      <c r="U44" s="397">
        <f t="shared" si="1"/>
        <v>0.65714285714285725</v>
      </c>
      <c r="Y44" s="777"/>
      <c r="Z44" s="352">
        <f t="shared" si="14"/>
        <v>193</v>
      </c>
      <c r="AA44" s="402">
        <f t="shared" si="16"/>
        <v>1.9183673469387749E-2</v>
      </c>
      <c r="AB44" s="403">
        <f t="shared" si="17"/>
        <v>9.3877551020408179E-3</v>
      </c>
      <c r="AC44" s="364">
        <f t="shared" si="18"/>
        <v>2.8571428571428567E-2</v>
      </c>
      <c r="AD44" s="758"/>
      <c r="AF44" s="777"/>
      <c r="AG44" s="352">
        <f t="shared" si="15"/>
        <v>193</v>
      </c>
      <c r="AH44" s="396">
        <f t="shared" si="19"/>
        <v>1.3428571428571425</v>
      </c>
      <c r="AI44" s="397">
        <f t="shared" si="20"/>
        <v>0.65714285714285725</v>
      </c>
      <c r="AJ44" s="361">
        <f t="shared" si="10"/>
        <v>1.9999999999999998</v>
      </c>
      <c r="AK44" s="839"/>
    </row>
    <row r="45" spans="2:37" x14ac:dyDescent="0.25">
      <c r="B45" s="777"/>
      <c r="C45" s="352">
        <f t="shared" si="11"/>
        <v>194</v>
      </c>
      <c r="D45" s="378">
        <f>IF(COUNTIFS(Urlisten!$C$16:$EL$16,$C45,Urlisten!$C$18:$EL$18,D$5)&gt;0,COUNTIFS(Urlisten!$C$16:$EL$16,$C45,Urlisten!$C$18:$EL$18,D$5),0)</f>
        <v>0</v>
      </c>
      <c r="E45" s="379">
        <f>IF(COUNTIFS(Urlisten!$C$16:$EL$16,$C45,Urlisten!$C$18:$EL$18,E$5)&gt;0,COUNTIFS(Urlisten!$C$16:$EL$16,$C45,Urlisten!$C$18:$EL$18,E$5),0)</f>
        <v>0</v>
      </c>
      <c r="F45" s="361" t="str">
        <f t="shared" si="3"/>
        <v/>
      </c>
      <c r="G45" s="839"/>
      <c r="I45" s="777"/>
      <c r="J45" s="352">
        <f t="shared" si="12"/>
        <v>194</v>
      </c>
      <c r="K45" s="387" t="str">
        <f t="shared" si="4"/>
        <v/>
      </c>
      <c r="L45" s="388" t="str">
        <f t="shared" si="5"/>
        <v/>
      </c>
      <c r="M45" s="364" t="str">
        <f t="shared" si="6"/>
        <v/>
      </c>
      <c r="N45" s="758"/>
      <c r="R45" s="777"/>
      <c r="S45" s="352">
        <f t="shared" si="13"/>
        <v>194</v>
      </c>
      <c r="T45" s="396" t="str">
        <f t="shared" si="0"/>
        <v/>
      </c>
      <c r="U45" s="397" t="str">
        <f t="shared" si="1"/>
        <v/>
      </c>
      <c r="Y45" s="777"/>
      <c r="Z45" s="352">
        <f t="shared" si="14"/>
        <v>194</v>
      </c>
      <c r="AA45" s="402" t="str">
        <f t="shared" si="16"/>
        <v/>
      </c>
      <c r="AB45" s="403" t="str">
        <f t="shared" si="17"/>
        <v/>
      </c>
      <c r="AC45" s="364" t="str">
        <f t="shared" si="18"/>
        <v/>
      </c>
      <c r="AD45" s="758"/>
      <c r="AF45" s="777"/>
      <c r="AG45" s="352">
        <f t="shared" si="15"/>
        <v>194</v>
      </c>
      <c r="AH45" s="396" t="str">
        <f t="shared" si="19"/>
        <v/>
      </c>
      <c r="AI45" s="397" t="str">
        <f t="shared" si="20"/>
        <v/>
      </c>
      <c r="AJ45" s="361" t="str">
        <f t="shared" si="10"/>
        <v/>
      </c>
      <c r="AK45" s="839"/>
    </row>
    <row r="46" spans="2:37" x14ac:dyDescent="0.25">
      <c r="B46" s="777"/>
      <c r="C46" s="352">
        <f t="shared" si="11"/>
        <v>195</v>
      </c>
      <c r="D46" s="378">
        <f>IF(COUNTIFS(Urlisten!$C$16:$EL$16,$C46,Urlisten!$C$18:$EL$18,D$5)&gt;0,COUNTIFS(Urlisten!$C$16:$EL$16,$C46,Urlisten!$C$18:$EL$18,D$5),0)</f>
        <v>1</v>
      </c>
      <c r="E46" s="379">
        <f>IF(COUNTIFS(Urlisten!$C$16:$EL$16,$C46,Urlisten!$C$18:$EL$18,E$5)&gt;0,COUNTIFS(Urlisten!$C$16:$EL$16,$C46,Urlisten!$C$18:$EL$18,E$5),0)</f>
        <v>0</v>
      </c>
      <c r="F46" s="361">
        <f t="shared" si="3"/>
        <v>1</v>
      </c>
      <c r="G46" s="839"/>
      <c r="I46" s="777"/>
      <c r="J46" s="352">
        <f t="shared" si="12"/>
        <v>195</v>
      </c>
      <c r="K46" s="387">
        <f t="shared" si="4"/>
        <v>1.4285714285714285E-2</v>
      </c>
      <c r="L46" s="388" t="str">
        <f t="shared" si="5"/>
        <v/>
      </c>
      <c r="M46" s="364">
        <f t="shared" si="6"/>
        <v>1.4285714285714285E-2</v>
      </c>
      <c r="N46" s="758"/>
      <c r="R46" s="777"/>
      <c r="S46" s="352">
        <f t="shared" si="13"/>
        <v>195</v>
      </c>
      <c r="T46" s="396">
        <f t="shared" si="0"/>
        <v>0.16079027355623121</v>
      </c>
      <c r="U46" s="397">
        <f t="shared" si="1"/>
        <v>0.32857142857142863</v>
      </c>
      <c r="Y46" s="777"/>
      <c r="Z46" s="352">
        <f t="shared" si="14"/>
        <v>195</v>
      </c>
      <c r="AA46" s="402">
        <f t="shared" si="16"/>
        <v>9.5918367346938746E-3</v>
      </c>
      <c r="AB46" s="403">
        <f t="shared" si="17"/>
        <v>4.6938775510204089E-3</v>
      </c>
      <c r="AC46" s="364">
        <f t="shared" si="18"/>
        <v>1.4285714285714284E-2</v>
      </c>
      <c r="AD46" s="758"/>
      <c r="AF46" s="777"/>
      <c r="AG46" s="352">
        <f t="shared" si="15"/>
        <v>195</v>
      </c>
      <c r="AH46" s="396">
        <f t="shared" si="19"/>
        <v>0.67142857142857126</v>
      </c>
      <c r="AI46" s="397">
        <f t="shared" si="20"/>
        <v>0.32857142857142863</v>
      </c>
      <c r="AJ46" s="361">
        <f t="shared" si="10"/>
        <v>0.99999999999999989</v>
      </c>
      <c r="AK46" s="839"/>
    </row>
    <row r="47" spans="2:37" x14ac:dyDescent="0.25">
      <c r="B47" s="777"/>
      <c r="C47" s="352">
        <f t="shared" si="11"/>
        <v>196</v>
      </c>
      <c r="D47" s="378">
        <f>IF(COUNTIFS(Urlisten!$C$16:$EL$16,$C47,Urlisten!$C$18:$EL$18,D$5)&gt;0,COUNTIFS(Urlisten!$C$16:$EL$16,$C47,Urlisten!$C$18:$EL$18,D$5),0)</f>
        <v>0</v>
      </c>
      <c r="E47" s="379">
        <f>IF(COUNTIFS(Urlisten!$C$16:$EL$16,$C47,Urlisten!$C$18:$EL$18,E$5)&gt;0,COUNTIFS(Urlisten!$C$16:$EL$16,$C47,Urlisten!$C$18:$EL$18,E$5),0)</f>
        <v>0</v>
      </c>
      <c r="F47" s="361" t="str">
        <f t="shared" si="3"/>
        <v/>
      </c>
      <c r="G47" s="839"/>
      <c r="I47" s="777"/>
      <c r="J47" s="352">
        <f t="shared" si="12"/>
        <v>196</v>
      </c>
      <c r="K47" s="387" t="str">
        <f t="shared" si="4"/>
        <v/>
      </c>
      <c r="L47" s="388" t="str">
        <f t="shared" si="5"/>
        <v/>
      </c>
      <c r="M47" s="364" t="str">
        <f t="shared" si="6"/>
        <v/>
      </c>
      <c r="N47" s="758"/>
      <c r="R47" s="777"/>
      <c r="S47" s="352">
        <f t="shared" si="13"/>
        <v>196</v>
      </c>
      <c r="T47" s="396" t="str">
        <f t="shared" si="0"/>
        <v/>
      </c>
      <c r="U47" s="397" t="str">
        <f t="shared" si="1"/>
        <v/>
      </c>
      <c r="Y47" s="777"/>
      <c r="Z47" s="352">
        <f t="shared" si="14"/>
        <v>196</v>
      </c>
      <c r="AA47" s="402" t="str">
        <f t="shared" si="16"/>
        <v/>
      </c>
      <c r="AB47" s="403" t="str">
        <f t="shared" si="17"/>
        <v/>
      </c>
      <c r="AC47" s="364" t="str">
        <f t="shared" si="18"/>
        <v/>
      </c>
      <c r="AD47" s="758"/>
      <c r="AF47" s="777"/>
      <c r="AG47" s="352">
        <f t="shared" si="15"/>
        <v>196</v>
      </c>
      <c r="AH47" s="396" t="str">
        <f t="shared" si="19"/>
        <v/>
      </c>
      <c r="AI47" s="397" t="str">
        <f t="shared" si="20"/>
        <v/>
      </c>
      <c r="AJ47" s="361" t="str">
        <f t="shared" si="10"/>
        <v/>
      </c>
      <c r="AK47" s="839"/>
    </row>
    <row r="48" spans="2:37" x14ac:dyDescent="0.25">
      <c r="B48" s="777"/>
      <c r="C48" s="352">
        <f t="shared" si="11"/>
        <v>197</v>
      </c>
      <c r="D48" s="378">
        <f>IF(COUNTIFS(Urlisten!$C$16:$EL$16,$C48,Urlisten!$C$18:$EL$18,D$5)&gt;0,COUNTIFS(Urlisten!$C$16:$EL$16,$C48,Urlisten!$C$18:$EL$18,D$5),0)</f>
        <v>0</v>
      </c>
      <c r="E48" s="379">
        <f>IF(COUNTIFS(Urlisten!$C$16:$EL$16,$C48,Urlisten!$C$18:$EL$18,E$5)&gt;0,COUNTIFS(Urlisten!$C$16:$EL$16,$C48,Urlisten!$C$18:$EL$18,E$5),0)</f>
        <v>0</v>
      </c>
      <c r="F48" s="361" t="str">
        <f t="shared" si="3"/>
        <v/>
      </c>
      <c r="G48" s="839"/>
      <c r="I48" s="777"/>
      <c r="J48" s="352">
        <f t="shared" si="12"/>
        <v>197</v>
      </c>
      <c r="K48" s="387" t="str">
        <f t="shared" si="4"/>
        <v/>
      </c>
      <c r="L48" s="388" t="str">
        <f t="shared" si="5"/>
        <v/>
      </c>
      <c r="M48" s="364" t="str">
        <f t="shared" si="6"/>
        <v/>
      </c>
      <c r="N48" s="758"/>
      <c r="R48" s="777"/>
      <c r="S48" s="352">
        <f t="shared" si="13"/>
        <v>197</v>
      </c>
      <c r="T48" s="396" t="str">
        <f t="shared" si="0"/>
        <v/>
      </c>
      <c r="U48" s="397" t="str">
        <f t="shared" si="1"/>
        <v/>
      </c>
      <c r="Y48" s="777"/>
      <c r="Z48" s="352">
        <f t="shared" si="14"/>
        <v>197</v>
      </c>
      <c r="AA48" s="402" t="str">
        <f t="shared" si="16"/>
        <v/>
      </c>
      <c r="AB48" s="403" t="str">
        <f t="shared" si="17"/>
        <v/>
      </c>
      <c r="AC48" s="364" t="str">
        <f t="shared" si="18"/>
        <v/>
      </c>
      <c r="AD48" s="758"/>
      <c r="AF48" s="777"/>
      <c r="AG48" s="352">
        <f t="shared" si="15"/>
        <v>197</v>
      </c>
      <c r="AH48" s="396" t="str">
        <f t="shared" si="19"/>
        <v/>
      </c>
      <c r="AI48" s="397" t="str">
        <f t="shared" si="20"/>
        <v/>
      </c>
      <c r="AJ48" s="361" t="str">
        <f t="shared" si="10"/>
        <v/>
      </c>
      <c r="AK48" s="839"/>
    </row>
    <row r="49" spans="2:37" x14ac:dyDescent="0.25">
      <c r="B49" s="777"/>
      <c r="C49" s="352">
        <f t="shared" si="11"/>
        <v>198</v>
      </c>
      <c r="D49" s="378">
        <f>IF(COUNTIFS(Urlisten!$C$16:$EL$16,$C49,Urlisten!$C$18:$EL$18,D$5)&gt;0,COUNTIFS(Urlisten!$C$16:$EL$16,$C49,Urlisten!$C$18:$EL$18,D$5),0)</f>
        <v>0</v>
      </c>
      <c r="E49" s="379">
        <f>IF(COUNTIFS(Urlisten!$C$16:$EL$16,$C49,Urlisten!$C$18:$EL$18,E$5)&gt;0,COUNTIFS(Urlisten!$C$16:$EL$16,$C49,Urlisten!$C$18:$EL$18,E$5),0)</f>
        <v>0</v>
      </c>
      <c r="F49" s="361" t="str">
        <f t="shared" si="3"/>
        <v/>
      </c>
      <c r="G49" s="839"/>
      <c r="I49" s="777"/>
      <c r="J49" s="352">
        <f t="shared" si="12"/>
        <v>198</v>
      </c>
      <c r="K49" s="387" t="str">
        <f t="shared" si="4"/>
        <v/>
      </c>
      <c r="L49" s="388" t="str">
        <f t="shared" si="5"/>
        <v/>
      </c>
      <c r="M49" s="364" t="str">
        <f t="shared" si="6"/>
        <v/>
      </c>
      <c r="N49" s="758"/>
      <c r="R49" s="777"/>
      <c r="S49" s="352">
        <f t="shared" si="13"/>
        <v>198</v>
      </c>
      <c r="T49" s="396" t="str">
        <f t="shared" si="0"/>
        <v/>
      </c>
      <c r="U49" s="397" t="str">
        <f t="shared" si="1"/>
        <v/>
      </c>
      <c r="Y49" s="777"/>
      <c r="Z49" s="352">
        <f t="shared" si="14"/>
        <v>198</v>
      </c>
      <c r="AA49" s="402" t="str">
        <f t="shared" si="16"/>
        <v/>
      </c>
      <c r="AB49" s="403" t="str">
        <f t="shared" si="17"/>
        <v/>
      </c>
      <c r="AC49" s="364" t="str">
        <f t="shared" si="18"/>
        <v/>
      </c>
      <c r="AD49" s="758"/>
      <c r="AF49" s="777"/>
      <c r="AG49" s="352">
        <f t="shared" si="15"/>
        <v>198</v>
      </c>
      <c r="AH49" s="396" t="str">
        <f t="shared" si="19"/>
        <v/>
      </c>
      <c r="AI49" s="397" t="str">
        <f t="shared" si="20"/>
        <v/>
      </c>
      <c r="AJ49" s="361" t="str">
        <f t="shared" si="10"/>
        <v/>
      </c>
      <c r="AK49" s="839"/>
    </row>
    <row r="50" spans="2:37" ht="15.75" thickBot="1" x14ac:dyDescent="0.3">
      <c r="B50" s="778"/>
      <c r="C50" s="353">
        <f t="shared" si="11"/>
        <v>199</v>
      </c>
      <c r="D50" s="380">
        <f>IF(COUNTIFS(Urlisten!$C$16:$EL$16,$C50,Urlisten!$C$18:$EL$18,D$5)&gt;0,COUNTIFS(Urlisten!$C$16:$EL$16,$C50,Urlisten!$C$18:$EL$18,D$5),0)</f>
        <v>0</v>
      </c>
      <c r="E50" s="381">
        <f>IF(COUNTIFS(Urlisten!$C$16:$EL$16,$C50,Urlisten!$C$18:$EL$18,E$5)&gt;0,COUNTIFS(Urlisten!$C$16:$EL$16,$C50,Urlisten!$C$18:$EL$18,E$5),0)</f>
        <v>0</v>
      </c>
      <c r="F50" s="382" t="str">
        <f t="shared" si="3"/>
        <v/>
      </c>
      <c r="G50" s="840"/>
      <c r="I50" s="778"/>
      <c r="J50" s="353">
        <f t="shared" si="12"/>
        <v>199</v>
      </c>
      <c r="K50" s="389" t="str">
        <f t="shared" si="4"/>
        <v/>
      </c>
      <c r="L50" s="390" t="str">
        <f t="shared" si="5"/>
        <v/>
      </c>
      <c r="M50" s="391" t="str">
        <f t="shared" si="6"/>
        <v/>
      </c>
      <c r="N50" s="759"/>
      <c r="R50" s="778"/>
      <c r="S50" s="353">
        <f t="shared" si="13"/>
        <v>199</v>
      </c>
      <c r="T50" s="398" t="str">
        <f t="shared" si="0"/>
        <v/>
      </c>
      <c r="U50" s="399" t="str">
        <f t="shared" si="1"/>
        <v/>
      </c>
      <c r="Y50" s="778"/>
      <c r="Z50" s="353">
        <f t="shared" si="14"/>
        <v>199</v>
      </c>
      <c r="AA50" s="404" t="str">
        <f t="shared" si="16"/>
        <v/>
      </c>
      <c r="AB50" s="405" t="str">
        <f t="shared" si="17"/>
        <v/>
      </c>
      <c r="AC50" s="391" t="str">
        <f t="shared" si="18"/>
        <v/>
      </c>
      <c r="AD50" s="759"/>
      <c r="AF50" s="778"/>
      <c r="AG50" s="353">
        <f t="shared" si="15"/>
        <v>199</v>
      </c>
      <c r="AH50" s="398" t="str">
        <f t="shared" si="19"/>
        <v/>
      </c>
      <c r="AI50" s="399" t="str">
        <f t="shared" si="20"/>
        <v/>
      </c>
      <c r="AJ50" s="382" t="str">
        <f t="shared" si="10"/>
        <v/>
      </c>
      <c r="AK50" s="840"/>
    </row>
    <row r="51" spans="2:37" ht="15.75" thickBot="1" x14ac:dyDescent="0.3">
      <c r="D51" s="408">
        <f>SUM(D6:D50)</f>
        <v>47</v>
      </c>
      <c r="E51" s="409">
        <f>SUM(E6:E50)</f>
        <v>23</v>
      </c>
      <c r="F51" s="11">
        <f>SUM(D6:E50)</f>
        <v>70</v>
      </c>
      <c r="G51" s="6"/>
      <c r="K51" s="410">
        <f>SUM(K6:K50)</f>
        <v>0.67142857142857126</v>
      </c>
      <c r="L51" s="411">
        <f>SUM(L6:L50)</f>
        <v>0.32857142857142863</v>
      </c>
      <c r="M51" s="384">
        <f>SUM(K6:L50)</f>
        <v>0.99999999999999978</v>
      </c>
      <c r="AA51" s="410">
        <f>SUM(AA6:AA50)</f>
        <v>0.67142857142857137</v>
      </c>
      <c r="AB51" s="411">
        <f>SUM(AB6:AB50)</f>
        <v>0.32857142857142863</v>
      </c>
      <c r="AC51" s="384">
        <f>SUM(AA6:AB50)</f>
        <v>1.0000000000000002</v>
      </c>
      <c r="AH51" s="408">
        <f>SUM(AH6:AH50)</f>
        <v>46.999999999999972</v>
      </c>
      <c r="AI51" s="409">
        <f>SUM(AI6:AI50)</f>
        <v>23.000000000000011</v>
      </c>
      <c r="AJ51" s="11">
        <f>SUM(AH6:AI50)</f>
        <v>70</v>
      </c>
    </row>
    <row r="52" spans="2:37" ht="15.75" thickBot="1" x14ac:dyDescent="0.3">
      <c r="D52" s="833" t="s">
        <v>167</v>
      </c>
      <c r="E52" s="776"/>
      <c r="G52" s="6"/>
      <c r="K52" s="833" t="s">
        <v>170</v>
      </c>
      <c r="L52" s="776"/>
      <c r="S52" s="416"/>
      <c r="T52" s="417" t="s">
        <v>50</v>
      </c>
      <c r="U52" s="418">
        <f>SUM(T6:U50)</f>
        <v>47.810669133518331</v>
      </c>
      <c r="AA52" s="833" t="s">
        <v>170</v>
      </c>
      <c r="AB52" s="776"/>
      <c r="AH52" s="833" t="s">
        <v>167</v>
      </c>
      <c r="AI52" s="776"/>
    </row>
    <row r="53" spans="2:37" x14ac:dyDescent="0.25">
      <c r="M53" s="394"/>
      <c r="S53" s="412"/>
      <c r="U53" s="413"/>
    </row>
    <row r="54" spans="2:37" x14ac:dyDescent="0.25">
      <c r="S54" s="412"/>
      <c r="T54" s="25" t="s">
        <v>16</v>
      </c>
      <c r="U54" s="414">
        <f>F51</f>
        <v>70</v>
      </c>
      <c r="Z54" s="394"/>
    </row>
    <row r="55" spans="2:37" x14ac:dyDescent="0.25">
      <c r="S55" s="412"/>
      <c r="T55" s="25" t="s">
        <v>51</v>
      </c>
      <c r="U55" s="415">
        <f>SQRT(U52/(U52+U54))</f>
        <v>0.63704498271602783</v>
      </c>
    </row>
    <row r="56" spans="2:37" x14ac:dyDescent="0.25">
      <c r="S56" s="412"/>
      <c r="T56" s="25" t="s">
        <v>17</v>
      </c>
      <c r="U56" s="414">
        <f>MIN(COUNTA(F6:F50),COUNTA(D5:E5))</f>
        <v>2</v>
      </c>
    </row>
    <row r="57" spans="2:37" ht="18" x14ac:dyDescent="0.35">
      <c r="S57" s="412"/>
      <c r="T57" s="26" t="s">
        <v>52</v>
      </c>
      <c r="U57" s="415">
        <f>SQRT((U56-1)/U56)</f>
        <v>0.70710678118654757</v>
      </c>
    </row>
    <row r="58" spans="2:37" x14ac:dyDescent="0.25">
      <c r="S58" s="412"/>
      <c r="T58" s="26"/>
      <c r="U58" s="413"/>
    </row>
    <row r="59" spans="2:37" ht="18.75" thickBot="1" x14ac:dyDescent="0.4">
      <c r="S59" s="419"/>
      <c r="T59" s="420" t="s">
        <v>53</v>
      </c>
      <c r="U59" s="421">
        <f>U55/U57</f>
        <v>0.90091765439874039</v>
      </c>
    </row>
  </sheetData>
  <mergeCells count="26">
    <mergeCell ref="AA52:AB52"/>
    <mergeCell ref="B2:N2"/>
    <mergeCell ref="Y2:AK2"/>
    <mergeCell ref="R2:U2"/>
    <mergeCell ref="AF6:AF50"/>
    <mergeCell ref="AH52:AI52"/>
    <mergeCell ref="AK6:AK50"/>
    <mergeCell ref="R6:R50"/>
    <mergeCell ref="B4:C5"/>
    <mergeCell ref="D4:E4"/>
    <mergeCell ref="D52:E52"/>
    <mergeCell ref="B6:B50"/>
    <mergeCell ref="G6:G50"/>
    <mergeCell ref="I4:J5"/>
    <mergeCell ref="K4:L4"/>
    <mergeCell ref="K52:L52"/>
    <mergeCell ref="AH4:AI4"/>
    <mergeCell ref="I6:I50"/>
    <mergeCell ref="N6:N50"/>
    <mergeCell ref="AA4:AB4"/>
    <mergeCell ref="AF4:AG5"/>
    <mergeCell ref="Y4:Z5"/>
    <mergeCell ref="Y6:Y50"/>
    <mergeCell ref="AD6:AD50"/>
    <mergeCell ref="R4:S5"/>
    <mergeCell ref="T4:U4"/>
  </mergeCells>
  <conditionalFormatting sqref="D6:E50">
    <cfRule type="cellIs" dxfId="10" priority="1" operator="equal">
      <formula>0</formula>
    </cfRule>
  </conditionalFormatting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B2:AK16"/>
  <sheetViews>
    <sheetView topLeftCell="C1" workbookViewId="0">
      <selection activeCell="Z19" sqref="Z19"/>
    </sheetView>
  </sheetViews>
  <sheetFormatPr baseColWidth="10" defaultColWidth="11.42578125" defaultRowHeight="15" x14ac:dyDescent="0.25"/>
  <cols>
    <col min="1" max="1" width="11.42578125" style="6"/>
    <col min="2" max="3" width="6.7109375" style="6" customWidth="1"/>
    <col min="4" max="6" width="6.7109375" style="7" customWidth="1"/>
    <col min="7" max="8" width="6.7109375" style="8" customWidth="1"/>
    <col min="9" max="9" width="7.5703125" style="8" customWidth="1"/>
    <col min="10" max="14" width="6.7109375" style="6" customWidth="1"/>
    <col min="15" max="15" width="1.7109375" style="6" customWidth="1"/>
    <col min="16" max="16" width="1.7109375" style="406" customWidth="1"/>
    <col min="17" max="17" width="1.7109375" style="6" customWidth="1"/>
    <col min="18" max="19" width="6.7109375" style="6" customWidth="1"/>
    <col min="20" max="21" width="8.7109375" style="6" customWidth="1"/>
    <col min="22" max="22" width="1.7109375" style="6" customWidth="1"/>
    <col min="23" max="23" width="1.7109375" style="406" customWidth="1"/>
    <col min="24" max="24" width="1.7109375" style="6" customWidth="1"/>
    <col min="25" max="26" width="6.7109375" style="6" customWidth="1"/>
    <col min="27" max="29" width="8.7109375" style="6" customWidth="1"/>
    <col min="30" max="31" width="6.7109375" style="6" customWidth="1"/>
    <col min="32" max="33" width="11.42578125" style="6"/>
    <col min="34" max="35" width="6.7109375" style="6" customWidth="1"/>
    <col min="36" max="36" width="8.7109375" style="6" customWidth="1"/>
    <col min="37" max="37" width="6.7109375" style="6" customWidth="1"/>
    <col min="38" max="16384" width="11.42578125" style="6"/>
  </cols>
  <sheetData>
    <row r="2" spans="2:37" x14ac:dyDescent="0.25">
      <c r="B2" s="834" t="s">
        <v>172</v>
      </c>
      <c r="C2" s="834"/>
      <c r="D2" s="834"/>
      <c r="E2" s="834"/>
      <c r="F2" s="834"/>
      <c r="G2" s="835"/>
      <c r="H2" s="835"/>
      <c r="I2" s="834"/>
      <c r="J2" s="834"/>
      <c r="K2" s="834"/>
      <c r="L2" s="834"/>
      <c r="M2" s="834"/>
      <c r="N2" s="834"/>
      <c r="R2" s="837" t="s">
        <v>174</v>
      </c>
      <c r="S2" s="837"/>
      <c r="T2" s="837"/>
      <c r="U2" s="837"/>
      <c r="Y2" s="836" t="s">
        <v>173</v>
      </c>
      <c r="Z2" s="836"/>
      <c r="AA2" s="836"/>
      <c r="AB2" s="836"/>
      <c r="AC2" s="836"/>
      <c r="AD2" s="751"/>
      <c r="AE2" s="751"/>
      <c r="AF2" s="836"/>
      <c r="AG2" s="836"/>
      <c r="AH2" s="836"/>
      <c r="AI2" s="836"/>
      <c r="AJ2" s="836"/>
      <c r="AK2" s="836"/>
    </row>
    <row r="3" spans="2:37" ht="15.75" thickBot="1" x14ac:dyDescent="0.3"/>
    <row r="4" spans="2:37" ht="15" customHeight="1" x14ac:dyDescent="0.25">
      <c r="B4" s="769" t="s">
        <v>57</v>
      </c>
      <c r="C4" s="770"/>
      <c r="D4" s="769" t="s">
        <v>54</v>
      </c>
      <c r="E4" s="770"/>
      <c r="I4" s="769" t="s">
        <v>58</v>
      </c>
      <c r="J4" s="770"/>
      <c r="K4" s="769" t="s">
        <v>54</v>
      </c>
      <c r="L4" s="770"/>
      <c r="M4" s="7"/>
      <c r="N4" s="8"/>
      <c r="R4" s="828" t="s">
        <v>56</v>
      </c>
      <c r="S4" s="829"/>
      <c r="T4" s="832" t="s">
        <v>54</v>
      </c>
      <c r="U4" s="770"/>
      <c r="Y4" s="769" t="s">
        <v>58</v>
      </c>
      <c r="Z4" s="770"/>
      <c r="AA4" s="769" t="s">
        <v>54</v>
      </c>
      <c r="AB4" s="770"/>
      <c r="AC4" s="7"/>
      <c r="AD4" s="8"/>
      <c r="AF4" s="769" t="s">
        <v>59</v>
      </c>
      <c r="AG4" s="770"/>
      <c r="AH4" s="769" t="s">
        <v>54</v>
      </c>
      <c r="AI4" s="770"/>
      <c r="AJ4" s="7"/>
      <c r="AK4" s="8"/>
    </row>
    <row r="5" spans="2:37" s="7" customFormat="1" ht="15.75" thickBot="1" x14ac:dyDescent="0.3">
      <c r="B5" s="771"/>
      <c r="C5" s="772"/>
      <c r="D5" s="424" t="s">
        <v>17</v>
      </c>
      <c r="E5" s="425" t="s">
        <v>19</v>
      </c>
      <c r="I5" s="771"/>
      <c r="J5" s="772"/>
      <c r="K5" s="424" t="s">
        <v>17</v>
      </c>
      <c r="L5" s="425" t="s">
        <v>19</v>
      </c>
      <c r="N5" s="8"/>
      <c r="P5" s="407"/>
      <c r="R5" s="830"/>
      <c r="S5" s="831"/>
      <c r="T5" s="424" t="s">
        <v>17</v>
      </c>
      <c r="U5" s="425" t="s">
        <v>19</v>
      </c>
      <c r="W5" s="407"/>
      <c r="Y5" s="771"/>
      <c r="Z5" s="772"/>
      <c r="AA5" s="424" t="s">
        <v>17</v>
      </c>
      <c r="AB5" s="425" t="s">
        <v>19</v>
      </c>
      <c r="AD5" s="8"/>
      <c r="AF5" s="771"/>
      <c r="AG5" s="772"/>
      <c r="AH5" s="424" t="s">
        <v>17</v>
      </c>
      <c r="AI5" s="425" t="s">
        <v>19</v>
      </c>
    </row>
    <row r="6" spans="2:37" ht="15" customHeight="1" x14ac:dyDescent="0.25">
      <c r="B6" s="845" t="s">
        <v>55</v>
      </c>
      <c r="C6" s="422" t="s">
        <v>16</v>
      </c>
      <c r="D6" s="376">
        <f>IF(COUNTIFS(Urlisten!$C$17:$EL$17,$C6,Urlisten!$C$18:$EL$18,D$5)&gt;0,COUNTIFS(Urlisten!$C$17:$EL$17,$C6,Urlisten!$C$18:$EL$18,D$5),0)</f>
        <v>35</v>
      </c>
      <c r="E6" s="377">
        <f>IF(COUNTIFS(Urlisten!$C$17:$EL$17,$C6,Urlisten!$C$18:$EL$18,E$5)&gt;0,COUNTIFS(Urlisten!$C$17:$EL$17,$C6,Urlisten!$C$18:$EL$18,E$5),0)</f>
        <v>18</v>
      </c>
      <c r="F6" s="360">
        <f>SUM(D6:E6)</f>
        <v>53</v>
      </c>
      <c r="G6" s="847" t="s">
        <v>165</v>
      </c>
      <c r="H6" s="6"/>
      <c r="I6" s="845" t="s">
        <v>55</v>
      </c>
      <c r="J6" s="422" t="s">
        <v>16</v>
      </c>
      <c r="K6" s="385">
        <f>IF(D6&gt;0,D6/$F$8,"")</f>
        <v>0.5</v>
      </c>
      <c r="L6" s="386">
        <f>IF(E6&gt;0,E6/$F$8,"")</f>
        <v>0.25714285714285712</v>
      </c>
      <c r="M6" s="363">
        <f>SUM(K6:L6)</f>
        <v>0.75714285714285712</v>
      </c>
      <c r="N6" s="847" t="s">
        <v>169</v>
      </c>
      <c r="R6" s="849" t="s">
        <v>55</v>
      </c>
      <c r="S6" s="422" t="s">
        <v>16</v>
      </c>
      <c r="T6" s="392">
        <f>(D6-AH6)^2/AH6</f>
        <v>9.6404197969833013E-3</v>
      </c>
      <c r="U6" s="395">
        <f>(E6-AI6)^2/AI6</f>
        <v>1.969998828079244E-2</v>
      </c>
      <c r="Y6" s="845" t="s">
        <v>55</v>
      </c>
      <c r="Z6" s="422" t="s">
        <v>16</v>
      </c>
      <c r="AA6" s="400">
        <f>$M6*K$8</f>
        <v>0.5083673469387755</v>
      </c>
      <c r="AB6" s="401">
        <f>$M6*L$8</f>
        <v>0.24877551020408159</v>
      </c>
      <c r="AC6" s="363">
        <f>SUM(AA6:AB6)</f>
        <v>0.75714285714285712</v>
      </c>
      <c r="AD6" s="847" t="s">
        <v>169</v>
      </c>
      <c r="AF6" s="845" t="s">
        <v>55</v>
      </c>
      <c r="AG6" s="422" t="s">
        <v>16</v>
      </c>
      <c r="AH6" s="392">
        <f>AA6*$F$8</f>
        <v>35.585714285714282</v>
      </c>
      <c r="AI6" s="395">
        <f>AB6*$F$8</f>
        <v>17.414285714285711</v>
      </c>
      <c r="AJ6" s="360">
        <f>SUM(AH6:AI6)</f>
        <v>52.999999999999993</v>
      </c>
      <c r="AK6" s="847" t="s">
        <v>165</v>
      </c>
    </row>
    <row r="7" spans="2:37" ht="15.75" thickBot="1" x14ac:dyDescent="0.3">
      <c r="B7" s="846"/>
      <c r="C7" s="423" t="s">
        <v>18</v>
      </c>
      <c r="D7" s="380">
        <f>IF(COUNTIFS(Urlisten!$C$17:$EL$17,$C7,Urlisten!$C$18:$EL$18,D$5)&gt;0,COUNTIFS(Urlisten!$C$17:$EL$17,$C7,Urlisten!$C$18:$EL$18,D$5),0)</f>
        <v>12</v>
      </c>
      <c r="E7" s="381">
        <f>IF(COUNTIFS(Urlisten!$C$17:$EL$17,$C7,Urlisten!$C$18:$EL$18,E$5)&gt;0,COUNTIFS(Urlisten!$C$17:$EL$17,$C7,Urlisten!$C$18:$EL$18,E$5),0)</f>
        <v>5</v>
      </c>
      <c r="F7" s="382">
        <f>SUM(D7:E7)</f>
        <v>17</v>
      </c>
      <c r="G7" s="848"/>
      <c r="H7" s="6"/>
      <c r="I7" s="846"/>
      <c r="J7" s="423" t="s">
        <v>18</v>
      </c>
      <c r="K7" s="389">
        <f>IF(D7&gt;0,D7/$F$8,"")</f>
        <v>0.17142857142857143</v>
      </c>
      <c r="L7" s="390">
        <f>IF(E7&gt;0,E7/$F$8,"")</f>
        <v>7.1428571428571425E-2</v>
      </c>
      <c r="M7" s="391">
        <f>SUM(K7:L7)</f>
        <v>0.24285714285714285</v>
      </c>
      <c r="N7" s="848"/>
      <c r="R7" s="846"/>
      <c r="S7" s="423" t="s">
        <v>18</v>
      </c>
      <c r="T7" s="398">
        <f>(D7-AH7)^2/AH7</f>
        <v>3.0055426425889469E-2</v>
      </c>
      <c r="U7" s="399">
        <f>(E7-AI7)^2/AI7</f>
        <v>6.1417610522469621E-2</v>
      </c>
      <c r="Y7" s="846"/>
      <c r="Z7" s="423" t="s">
        <v>18</v>
      </c>
      <c r="AA7" s="404">
        <f>$M7*K$8</f>
        <v>0.16306122448979593</v>
      </c>
      <c r="AB7" s="405">
        <f>$M7*L$8</f>
        <v>7.9795918367346924E-2</v>
      </c>
      <c r="AC7" s="391">
        <f>SUM(AA7:AB7)</f>
        <v>0.24285714285714285</v>
      </c>
      <c r="AD7" s="848"/>
      <c r="AF7" s="846"/>
      <c r="AG7" s="423" t="s">
        <v>18</v>
      </c>
      <c r="AH7" s="398">
        <f>AA7*$F$8</f>
        <v>11.414285714285715</v>
      </c>
      <c r="AI7" s="399">
        <f>AB7*$F$8</f>
        <v>5.5857142857142845</v>
      </c>
      <c r="AJ7" s="382">
        <f>SUM(AH7:AI7)</f>
        <v>17</v>
      </c>
      <c r="AK7" s="848"/>
    </row>
    <row r="8" spans="2:37" ht="15.75" thickBot="1" x14ac:dyDescent="0.3">
      <c r="D8" s="408">
        <f>SUM(D6:D7)</f>
        <v>47</v>
      </c>
      <c r="E8" s="409">
        <f>SUM(E6:E7)</f>
        <v>23</v>
      </c>
      <c r="F8" s="9">
        <f>SUM(D6:E7)</f>
        <v>70</v>
      </c>
      <c r="I8" s="6"/>
      <c r="K8" s="410">
        <f>SUM(K6:K7)</f>
        <v>0.67142857142857149</v>
      </c>
      <c r="L8" s="411">
        <f>SUM(L6:L7)</f>
        <v>0.32857142857142851</v>
      </c>
      <c r="M8" s="384">
        <f>SUM(K6:L7)</f>
        <v>1</v>
      </c>
      <c r="N8" s="8"/>
      <c r="AA8" s="410">
        <f>SUM(AA6:AA7)</f>
        <v>0.67142857142857149</v>
      </c>
      <c r="AB8" s="411">
        <f>SUM(AB6:AB7)</f>
        <v>0.32857142857142851</v>
      </c>
      <c r="AC8" s="384">
        <f>SUM(AA6:AB7)</f>
        <v>1</v>
      </c>
      <c r="AD8" s="8"/>
      <c r="AH8" s="408">
        <f>SUM(AH6:AH7)</f>
        <v>47</v>
      </c>
      <c r="AI8" s="409">
        <f>SUM(AI6:AI7)</f>
        <v>22.999999999999996</v>
      </c>
      <c r="AJ8" s="10">
        <f>SUM(AH6:AI7)</f>
        <v>70</v>
      </c>
      <c r="AK8" s="8"/>
    </row>
    <row r="9" spans="2:37" ht="15.75" thickBot="1" x14ac:dyDescent="0.3">
      <c r="D9" s="833" t="s">
        <v>167</v>
      </c>
      <c r="E9" s="776"/>
      <c r="I9" s="6"/>
      <c r="K9" s="833" t="s">
        <v>170</v>
      </c>
      <c r="L9" s="776"/>
      <c r="M9" s="7"/>
      <c r="N9" s="8"/>
      <c r="S9" s="416"/>
      <c r="T9" s="417" t="s">
        <v>50</v>
      </c>
      <c r="U9" s="418">
        <f>SUM(T6:U7)</f>
        <v>0.12081344502613484</v>
      </c>
      <c r="AA9" s="833" t="s">
        <v>170</v>
      </c>
      <c r="AB9" s="776"/>
      <c r="AC9" s="7"/>
      <c r="AD9" s="8"/>
      <c r="AH9" s="833" t="s">
        <v>167</v>
      </c>
      <c r="AI9" s="776"/>
      <c r="AJ9" s="7"/>
      <c r="AK9" s="8"/>
    </row>
    <row r="10" spans="2:37" x14ac:dyDescent="0.25">
      <c r="S10" s="412"/>
      <c r="U10" s="413"/>
    </row>
    <row r="11" spans="2:37" x14ac:dyDescent="0.25">
      <c r="S11" s="412"/>
      <c r="T11" s="25" t="s">
        <v>16</v>
      </c>
      <c r="U11" s="414">
        <f>F8</f>
        <v>70</v>
      </c>
    </row>
    <row r="12" spans="2:37" x14ac:dyDescent="0.25">
      <c r="S12" s="412"/>
      <c r="T12" s="25" t="s">
        <v>51</v>
      </c>
      <c r="U12" s="415">
        <f>SQRT(U9/(U9+U11))</f>
        <v>4.1508224931354677E-2</v>
      </c>
    </row>
    <row r="13" spans="2:37" x14ac:dyDescent="0.25">
      <c r="S13" s="412"/>
      <c r="T13" s="25" t="s">
        <v>17</v>
      </c>
      <c r="U13" s="414">
        <f>MIN(COUNTA(C6:C7),COUNTA(D5:E5))</f>
        <v>2</v>
      </c>
    </row>
    <row r="14" spans="2:37" ht="18" x14ac:dyDescent="0.35">
      <c r="F14" s="15"/>
      <c r="S14" s="412"/>
      <c r="T14" s="26" t="s">
        <v>52</v>
      </c>
      <c r="U14" s="415">
        <f>SQRT((U13-1)/U13)</f>
        <v>0.70710678118654757</v>
      </c>
    </row>
    <row r="15" spans="2:37" x14ac:dyDescent="0.25">
      <c r="S15" s="412"/>
      <c r="T15" s="26"/>
      <c r="U15" s="413"/>
    </row>
    <row r="16" spans="2:37" ht="18.75" thickBot="1" x14ac:dyDescent="0.4">
      <c r="S16" s="419"/>
      <c r="T16" s="420" t="s">
        <v>53</v>
      </c>
      <c r="U16" s="421">
        <f>U12/U14</f>
        <v>5.8701494647954815E-2</v>
      </c>
    </row>
  </sheetData>
  <mergeCells count="26">
    <mergeCell ref="B2:N2"/>
    <mergeCell ref="R2:U2"/>
    <mergeCell ref="Y2:AK2"/>
    <mergeCell ref="AF4:AG5"/>
    <mergeCell ref="AH4:AI4"/>
    <mergeCell ref="R4:S5"/>
    <mergeCell ref="T4:U4"/>
    <mergeCell ref="AA4:AB4"/>
    <mergeCell ref="B4:C5"/>
    <mergeCell ref="D4:E4"/>
    <mergeCell ref="I4:J5"/>
    <mergeCell ref="K4:L4"/>
    <mergeCell ref="Y4:Z5"/>
    <mergeCell ref="B6:B7"/>
    <mergeCell ref="G6:G7"/>
    <mergeCell ref="I6:I7"/>
    <mergeCell ref="N6:N7"/>
    <mergeCell ref="Y6:Y7"/>
    <mergeCell ref="AF6:AF7"/>
    <mergeCell ref="AK6:AK7"/>
    <mergeCell ref="R6:R7"/>
    <mergeCell ref="D9:E9"/>
    <mergeCell ref="K9:L9"/>
    <mergeCell ref="AA9:AB9"/>
    <mergeCell ref="AH9:AI9"/>
    <mergeCell ref="AD6:AD7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K53"/>
  <sheetViews>
    <sheetView zoomScaleNormal="100" workbookViewId="0">
      <selection activeCell="M9" sqref="M9"/>
    </sheetView>
  </sheetViews>
  <sheetFormatPr baseColWidth="10" defaultColWidth="2.7109375" defaultRowHeight="15" x14ac:dyDescent="0.25"/>
  <cols>
    <col min="1" max="1" width="26.7109375" style="46" customWidth="1"/>
    <col min="2" max="2" width="4.7109375" style="33" customWidth="1"/>
    <col min="3" max="3" width="6.28515625" style="46" customWidth="1"/>
    <col min="4" max="4" width="7.28515625" style="33" customWidth="1"/>
    <col min="5" max="5" width="1.7109375" style="33" customWidth="1"/>
    <col min="6" max="6" width="18.42578125" style="77" customWidth="1"/>
    <col min="7" max="7" width="8.140625" style="33" customWidth="1"/>
    <col min="8" max="8" width="14.28515625" style="46" customWidth="1"/>
    <col min="9" max="9" width="9" style="33" customWidth="1"/>
    <col min="10" max="10" width="1.85546875" style="46" customWidth="1"/>
    <col min="11" max="69" width="15.7109375" style="46" customWidth="1"/>
    <col min="70" max="16384" width="2.7109375" style="46"/>
  </cols>
  <sheetData>
    <row r="1" spans="1:11" ht="195" customHeight="1" x14ac:dyDescent="0.25"/>
    <row r="2" spans="1:11" ht="24.75" customHeight="1" thickBot="1" x14ac:dyDescent="0.3">
      <c r="A2" s="80" t="s">
        <v>81</v>
      </c>
      <c r="B2" s="81">
        <f>Urlisten!F12</f>
        <v>70</v>
      </c>
      <c r="C2" s="80" t="s">
        <v>82</v>
      </c>
      <c r="D2" s="80"/>
      <c r="E2" s="82"/>
      <c r="F2" s="83" t="s">
        <v>76</v>
      </c>
      <c r="G2" s="84">
        <v>426</v>
      </c>
      <c r="H2" s="80" t="s">
        <v>82</v>
      </c>
      <c r="I2" s="80"/>
      <c r="J2" s="80"/>
    </row>
    <row r="3" spans="1:11" ht="15.75" thickTop="1" x14ac:dyDescent="0.25">
      <c r="A3" s="85" t="s">
        <v>75</v>
      </c>
      <c r="B3" s="86"/>
      <c r="C3" s="85"/>
      <c r="D3" s="86"/>
      <c r="E3" s="87"/>
      <c r="F3" s="88" t="s">
        <v>64</v>
      </c>
      <c r="G3" s="89"/>
      <c r="H3" s="90"/>
      <c r="I3" s="89"/>
      <c r="J3" s="90"/>
    </row>
    <row r="4" spans="1:11" x14ac:dyDescent="0.25">
      <c r="A4" s="91" t="s">
        <v>65</v>
      </c>
      <c r="B4" s="91"/>
      <c r="C4" s="92">
        <f>ROUND('Mittelwerte &amp; Varianzen'!G5,2)</f>
        <v>176.07</v>
      </c>
      <c r="D4" s="91" t="s">
        <v>66</v>
      </c>
      <c r="E4" s="93"/>
      <c r="F4" s="94" t="s">
        <v>28</v>
      </c>
      <c r="G4" s="89"/>
      <c r="H4" s="92">
        <f>C4</f>
        <v>176.07</v>
      </c>
      <c r="I4" s="89" t="s">
        <v>67</v>
      </c>
      <c r="J4" s="95"/>
    </row>
    <row r="5" spans="1:11" x14ac:dyDescent="0.25">
      <c r="A5" s="89" t="s">
        <v>85</v>
      </c>
      <c r="B5" s="91"/>
      <c r="C5" s="92">
        <f>ROUND('Mittelwerte &amp; Varianzen'!G10,2)</f>
        <v>89.84</v>
      </c>
      <c r="D5" s="91" t="s">
        <v>68</v>
      </c>
      <c r="E5" s="93"/>
      <c r="F5" s="94" t="s">
        <v>29</v>
      </c>
      <c r="G5" s="89"/>
      <c r="H5" s="146">
        <f>ROUND($B$2/($B$2-1)*C5,2)</f>
        <v>91.14</v>
      </c>
      <c r="I5" s="147" t="s">
        <v>69</v>
      </c>
      <c r="J5" s="96"/>
      <c r="K5" s="78"/>
    </row>
    <row r="6" spans="1:11" x14ac:dyDescent="0.25">
      <c r="A6" s="89"/>
      <c r="B6" s="91"/>
      <c r="C6" s="92"/>
      <c r="D6" s="91"/>
      <c r="E6" s="93"/>
      <c r="F6" s="94"/>
      <c r="G6" s="89"/>
      <c r="H6" s="92">
        <f>ROUND(($G$2-1)/$G$2*$B$2/($B$2-1)*C5,2)</f>
        <v>90.93</v>
      </c>
      <c r="I6" s="89" t="s">
        <v>70</v>
      </c>
      <c r="J6" s="96"/>
      <c r="K6" s="78"/>
    </row>
    <row r="7" spans="1:11" x14ac:dyDescent="0.25">
      <c r="A7" s="89"/>
      <c r="B7" s="91"/>
      <c r="C7" s="92"/>
      <c r="D7" s="91"/>
      <c r="E7" s="93"/>
      <c r="F7" s="94"/>
      <c r="G7" s="89"/>
      <c r="H7" s="92"/>
      <c r="I7" s="89"/>
      <c r="J7" s="96"/>
      <c r="K7" s="78"/>
    </row>
    <row r="8" spans="1:11" x14ac:dyDescent="0.25">
      <c r="A8" s="85" t="s">
        <v>83</v>
      </c>
      <c r="B8" s="86"/>
      <c r="C8" s="85"/>
      <c r="D8" s="86"/>
      <c r="E8" s="87"/>
      <c r="F8" s="88" t="s">
        <v>84</v>
      </c>
      <c r="G8" s="89"/>
      <c r="H8" s="90"/>
      <c r="I8" s="89"/>
      <c r="J8" s="96"/>
      <c r="K8" s="78"/>
    </row>
    <row r="9" spans="1:11" x14ac:dyDescent="0.25">
      <c r="A9" s="91" t="s">
        <v>65</v>
      </c>
      <c r="B9" s="91"/>
      <c r="C9" s="92">
        <f>'Mittelwerte &amp; Varianzen'!C5</f>
        <v>22.657142857142858</v>
      </c>
      <c r="D9" s="91" t="s">
        <v>66</v>
      </c>
      <c r="E9" s="93"/>
      <c r="F9" s="94" t="s">
        <v>28</v>
      </c>
      <c r="G9" s="89"/>
      <c r="H9" s="92">
        <f>C9</f>
        <v>22.657142857142858</v>
      </c>
      <c r="I9" s="89" t="s">
        <v>67</v>
      </c>
      <c r="J9" s="96"/>
      <c r="K9" s="78"/>
    </row>
    <row r="10" spans="1:11" x14ac:dyDescent="0.25">
      <c r="A10" s="89" t="s">
        <v>85</v>
      </c>
      <c r="B10" s="91"/>
      <c r="C10" s="92">
        <f>'Mittelwerte &amp; Varianzen'!C10</f>
        <v>4.9395918367347349</v>
      </c>
      <c r="D10" s="91" t="s">
        <v>68</v>
      </c>
      <c r="E10" s="93"/>
      <c r="F10" s="94" t="s">
        <v>29</v>
      </c>
      <c r="G10" s="89"/>
      <c r="H10" s="146">
        <f>ROUND($B$2/($B$2-1)*C10,2)</f>
        <v>5.01</v>
      </c>
      <c r="I10" s="147" t="s">
        <v>69</v>
      </c>
      <c r="J10" s="96"/>
      <c r="K10" s="78"/>
    </row>
    <row r="11" spans="1:11" x14ac:dyDescent="0.25">
      <c r="A11" s="89"/>
      <c r="B11" s="91"/>
      <c r="C11" s="92"/>
      <c r="D11" s="91"/>
      <c r="E11" s="93"/>
      <c r="F11" s="94"/>
      <c r="G11" s="89"/>
      <c r="H11" s="92">
        <f>ROUND(($G$2-1)/$G$2*$B$2/($B$2-1)*C10,2)</f>
        <v>5</v>
      </c>
      <c r="I11" s="89" t="s">
        <v>70</v>
      </c>
      <c r="J11" s="97"/>
    </row>
    <row r="12" spans="1:11" x14ac:dyDescent="0.25">
      <c r="A12" s="89"/>
      <c r="B12" s="91"/>
      <c r="C12" s="92"/>
      <c r="D12" s="91"/>
      <c r="E12" s="93"/>
      <c r="F12" s="94"/>
      <c r="G12" s="89"/>
      <c r="H12" s="92"/>
      <c r="I12" s="89"/>
      <c r="J12" s="97"/>
    </row>
    <row r="13" spans="1:11" x14ac:dyDescent="0.25">
      <c r="A13" s="98" t="s">
        <v>77</v>
      </c>
      <c r="B13" s="89"/>
      <c r="C13" s="90"/>
      <c r="D13" s="89"/>
      <c r="E13" s="99"/>
      <c r="F13" s="88" t="s">
        <v>79</v>
      </c>
      <c r="G13" s="89"/>
      <c r="H13" s="90"/>
      <c r="I13" s="89"/>
      <c r="J13" s="90"/>
    </row>
    <row r="14" spans="1:11" x14ac:dyDescent="0.25">
      <c r="A14" s="89" t="s">
        <v>71</v>
      </c>
      <c r="B14" s="89"/>
      <c r="C14" s="100">
        <f>ROUND(Häufigkeiten!K7,2)</f>
        <v>0.24</v>
      </c>
      <c r="D14" s="89" t="s">
        <v>72</v>
      </c>
      <c r="E14" s="99"/>
      <c r="F14" s="94" t="s">
        <v>73</v>
      </c>
      <c r="G14" s="89"/>
      <c r="H14" s="100">
        <f>C14</f>
        <v>0.24</v>
      </c>
      <c r="I14" s="89" t="s">
        <v>74</v>
      </c>
      <c r="J14" s="90"/>
    </row>
    <row r="15" spans="1:11" x14ac:dyDescent="0.25">
      <c r="A15" s="90"/>
      <c r="B15" s="89"/>
      <c r="C15" s="90"/>
      <c r="D15" s="89"/>
      <c r="E15" s="99"/>
      <c r="F15" s="101"/>
      <c r="G15" s="89"/>
      <c r="H15" s="90"/>
      <c r="I15" s="89"/>
      <c r="J15" s="90"/>
    </row>
    <row r="16" spans="1:11" x14ac:dyDescent="0.25">
      <c r="A16" s="98" t="s">
        <v>78</v>
      </c>
      <c r="B16" s="89"/>
      <c r="C16" s="90"/>
      <c r="D16" s="89"/>
      <c r="E16" s="99"/>
      <c r="F16" s="88" t="s">
        <v>80</v>
      </c>
      <c r="G16" s="89"/>
      <c r="H16" s="90"/>
      <c r="I16" s="90"/>
      <c r="J16" s="90"/>
    </row>
    <row r="17" spans="1:10" x14ac:dyDescent="0.25">
      <c r="A17" s="89" t="s">
        <v>71</v>
      </c>
      <c r="B17" s="89"/>
      <c r="C17" s="100">
        <f>ROUND(Häufigkeiten!O7,2)</f>
        <v>0.67</v>
      </c>
      <c r="D17" s="89" t="s">
        <v>72</v>
      </c>
      <c r="E17" s="99"/>
      <c r="F17" s="94" t="s">
        <v>73</v>
      </c>
      <c r="G17" s="89"/>
      <c r="H17" s="100">
        <f>C17</f>
        <v>0.67</v>
      </c>
      <c r="I17" s="89" t="s">
        <v>74</v>
      </c>
      <c r="J17" s="90"/>
    </row>
    <row r="19" spans="1:10" x14ac:dyDescent="0.25">
      <c r="C19" s="79"/>
    </row>
    <row r="20" spans="1:10" ht="15.75" thickBot="1" x14ac:dyDescent="0.3">
      <c r="A20" s="102" t="s">
        <v>81</v>
      </c>
      <c r="B20" s="103">
        <f>Urlisten!F23</f>
        <v>41</v>
      </c>
      <c r="C20" s="102" t="s">
        <v>82</v>
      </c>
      <c r="D20" s="102"/>
      <c r="E20" s="104"/>
      <c r="F20" s="105" t="s">
        <v>76</v>
      </c>
      <c r="G20" s="106">
        <v>471</v>
      </c>
      <c r="H20" s="102" t="s">
        <v>82</v>
      </c>
      <c r="I20" s="102"/>
      <c r="J20" s="102"/>
    </row>
    <row r="21" spans="1:10" ht="15.75" thickTop="1" x14ac:dyDescent="0.25">
      <c r="A21" s="107" t="s">
        <v>75</v>
      </c>
      <c r="B21" s="108"/>
      <c r="C21" s="107"/>
      <c r="D21" s="108"/>
      <c r="E21" s="109"/>
      <c r="F21" s="110" t="s">
        <v>64</v>
      </c>
      <c r="G21" s="111"/>
      <c r="H21" s="112"/>
      <c r="I21" s="111"/>
      <c r="J21" s="112"/>
    </row>
    <row r="22" spans="1:10" x14ac:dyDescent="0.25">
      <c r="A22" s="113" t="s">
        <v>65</v>
      </c>
      <c r="B22" s="113"/>
      <c r="C22" s="114">
        <f>'Mittelwerte &amp; Varianzen'!O5</f>
        <v>175.46341463414635</v>
      </c>
      <c r="D22" s="113" t="s">
        <v>66</v>
      </c>
      <c r="E22" s="115"/>
      <c r="F22" s="116" t="s">
        <v>28</v>
      </c>
      <c r="G22" s="111"/>
      <c r="H22" s="114">
        <f>C22</f>
        <v>175.46341463414635</v>
      </c>
      <c r="I22" s="111" t="s">
        <v>67</v>
      </c>
      <c r="J22" s="117"/>
    </row>
    <row r="23" spans="1:10" x14ac:dyDescent="0.25">
      <c r="A23" s="111" t="s">
        <v>85</v>
      </c>
      <c r="B23" s="113"/>
      <c r="C23" s="114">
        <f>'Mittelwerte &amp; Varianzen'!O10</f>
        <v>94.004759071980516</v>
      </c>
      <c r="D23" s="113" t="s">
        <v>68</v>
      </c>
      <c r="E23" s="115"/>
      <c r="F23" s="116" t="s">
        <v>29</v>
      </c>
      <c r="G23" s="111"/>
      <c r="H23" s="148">
        <f>ROUND($B$2/($B$2-1)*C23,2)</f>
        <v>95.37</v>
      </c>
      <c r="I23" s="149" t="s">
        <v>69</v>
      </c>
      <c r="J23" s="118"/>
    </row>
    <row r="24" spans="1:10" x14ac:dyDescent="0.25">
      <c r="A24" s="111"/>
      <c r="B24" s="113"/>
      <c r="C24" s="114"/>
      <c r="D24" s="113"/>
      <c r="E24" s="115"/>
      <c r="F24" s="116"/>
      <c r="G24" s="111"/>
      <c r="H24" s="114">
        <f>ROUND(($G$2-1)/$G$2*$B$2/($B$2-1)*C23,2)</f>
        <v>95.14</v>
      </c>
      <c r="I24" s="111" t="s">
        <v>70</v>
      </c>
      <c r="J24" s="118"/>
    </row>
    <row r="25" spans="1:10" x14ac:dyDescent="0.25">
      <c r="A25" s="111"/>
      <c r="B25" s="113"/>
      <c r="C25" s="114"/>
      <c r="D25" s="113"/>
      <c r="E25" s="115"/>
      <c r="F25" s="116"/>
      <c r="G25" s="111"/>
      <c r="H25" s="114"/>
      <c r="I25" s="111"/>
      <c r="J25" s="118"/>
    </row>
    <row r="26" spans="1:10" x14ac:dyDescent="0.25">
      <c r="A26" s="107" t="s">
        <v>83</v>
      </c>
      <c r="B26" s="108"/>
      <c r="C26" s="107"/>
      <c r="D26" s="108"/>
      <c r="E26" s="109"/>
      <c r="F26" s="110" t="s">
        <v>84</v>
      </c>
      <c r="G26" s="111"/>
      <c r="H26" s="112"/>
      <c r="I26" s="111"/>
      <c r="J26" s="118"/>
    </row>
    <row r="27" spans="1:10" x14ac:dyDescent="0.25">
      <c r="A27" s="113" t="s">
        <v>65</v>
      </c>
      <c r="B27" s="113"/>
      <c r="C27" s="114">
        <f>'Mittelwerte &amp; Varianzen'!K5</f>
        <v>22.487804878048781</v>
      </c>
      <c r="D27" s="113" t="s">
        <v>66</v>
      </c>
      <c r="E27" s="115"/>
      <c r="F27" s="116" t="s">
        <v>28</v>
      </c>
      <c r="G27" s="111"/>
      <c r="H27" s="114">
        <f>C27</f>
        <v>22.487804878048781</v>
      </c>
      <c r="I27" s="111" t="s">
        <v>67</v>
      </c>
      <c r="J27" s="118"/>
    </row>
    <row r="28" spans="1:10" x14ac:dyDescent="0.25">
      <c r="A28" s="111" t="s">
        <v>85</v>
      </c>
      <c r="B28" s="113"/>
      <c r="C28" s="114">
        <f>'Mittelwerte &amp; Varianzen'!K10</f>
        <v>5.3718024985127499</v>
      </c>
      <c r="D28" s="113" t="s">
        <v>68</v>
      </c>
      <c r="E28" s="115"/>
      <c r="F28" s="116" t="s">
        <v>29</v>
      </c>
      <c r="G28" s="111"/>
      <c r="H28" s="148">
        <f>ROUND($B$2/($B$2-1)*C28,2)</f>
        <v>5.45</v>
      </c>
      <c r="I28" s="149" t="s">
        <v>69</v>
      </c>
      <c r="J28" s="118"/>
    </row>
    <row r="29" spans="1:10" x14ac:dyDescent="0.25">
      <c r="A29" s="111"/>
      <c r="B29" s="113"/>
      <c r="C29" s="114"/>
      <c r="D29" s="113"/>
      <c r="E29" s="115"/>
      <c r="F29" s="116"/>
      <c r="G29" s="111"/>
      <c r="H29" s="114">
        <f>ROUND(($G$2-1)/$G$2*$B$2/($B$2-1)*C28,2)</f>
        <v>5.44</v>
      </c>
      <c r="I29" s="111" t="s">
        <v>70</v>
      </c>
      <c r="J29" s="119"/>
    </row>
    <row r="30" spans="1:10" x14ac:dyDescent="0.25">
      <c r="A30" s="111"/>
      <c r="B30" s="113"/>
      <c r="C30" s="114"/>
      <c r="D30" s="113"/>
      <c r="E30" s="115"/>
      <c r="F30" s="116"/>
      <c r="G30" s="111"/>
      <c r="H30" s="114"/>
      <c r="I30" s="111"/>
      <c r="J30" s="119"/>
    </row>
    <row r="31" spans="1:10" x14ac:dyDescent="0.25">
      <c r="A31" s="120" t="s">
        <v>77</v>
      </c>
      <c r="B31" s="111"/>
      <c r="C31" s="112"/>
      <c r="D31" s="111"/>
      <c r="E31" s="121"/>
      <c r="F31" s="110" t="s">
        <v>79</v>
      </c>
      <c r="G31" s="111"/>
      <c r="H31" s="112"/>
      <c r="I31" s="111"/>
      <c r="J31" s="112"/>
    </row>
    <row r="32" spans="1:10" x14ac:dyDescent="0.25">
      <c r="A32" s="111" t="s">
        <v>71</v>
      </c>
      <c r="B32" s="111"/>
      <c r="C32" s="122">
        <f>Häufigkeiten!AA7</f>
        <v>0.21951219512195122</v>
      </c>
      <c r="D32" s="111" t="s">
        <v>72</v>
      </c>
      <c r="E32" s="121"/>
      <c r="F32" s="116" t="s">
        <v>73</v>
      </c>
      <c r="G32" s="111"/>
      <c r="H32" s="122">
        <f>C32</f>
        <v>0.21951219512195122</v>
      </c>
      <c r="I32" s="111" t="s">
        <v>74</v>
      </c>
      <c r="J32" s="112"/>
    </row>
    <row r="33" spans="1:10" x14ac:dyDescent="0.25">
      <c r="A33" s="112"/>
      <c r="B33" s="111"/>
      <c r="C33" s="112"/>
      <c r="D33" s="111"/>
      <c r="E33" s="121"/>
      <c r="F33" s="123"/>
      <c r="G33" s="111"/>
      <c r="H33" s="112"/>
      <c r="I33" s="111"/>
      <c r="J33" s="112"/>
    </row>
    <row r="34" spans="1:10" x14ac:dyDescent="0.25">
      <c r="A34" s="120" t="s">
        <v>78</v>
      </c>
      <c r="B34" s="111"/>
      <c r="C34" s="112"/>
      <c r="D34" s="111"/>
      <c r="E34" s="121"/>
      <c r="F34" s="110" t="s">
        <v>80</v>
      </c>
      <c r="G34" s="111"/>
      <c r="H34" s="112"/>
      <c r="I34" s="112"/>
      <c r="J34" s="112"/>
    </row>
    <row r="35" spans="1:10" x14ac:dyDescent="0.25">
      <c r="A35" s="111" t="s">
        <v>71</v>
      </c>
      <c r="B35" s="111"/>
      <c r="C35" s="122">
        <f>Häufigkeiten!AE7</f>
        <v>0.65853658536585369</v>
      </c>
      <c r="D35" s="111" t="s">
        <v>72</v>
      </c>
      <c r="E35" s="121"/>
      <c r="F35" s="116" t="s">
        <v>73</v>
      </c>
      <c r="G35" s="111"/>
      <c r="H35" s="122">
        <f>C35</f>
        <v>0.65853658536585369</v>
      </c>
      <c r="I35" s="111" t="s">
        <v>74</v>
      </c>
      <c r="J35" s="112"/>
    </row>
    <row r="38" spans="1:10" ht="15.75" thickBot="1" x14ac:dyDescent="0.3">
      <c r="A38" s="124" t="s">
        <v>81</v>
      </c>
      <c r="B38" s="125">
        <f>Urlisten!F31</f>
        <v>29</v>
      </c>
      <c r="C38" s="124" t="s">
        <v>82</v>
      </c>
      <c r="D38" s="124"/>
      <c r="E38" s="126"/>
      <c r="F38" s="127" t="s">
        <v>76</v>
      </c>
      <c r="G38" s="128">
        <v>471</v>
      </c>
      <c r="H38" s="124" t="s">
        <v>82</v>
      </c>
      <c r="I38" s="124"/>
      <c r="J38" s="124"/>
    </row>
    <row r="39" spans="1:10" ht="15.75" thickTop="1" x14ac:dyDescent="0.25">
      <c r="A39" s="129" t="s">
        <v>75</v>
      </c>
      <c r="B39" s="130"/>
      <c r="C39" s="129"/>
      <c r="D39" s="130"/>
      <c r="E39" s="131"/>
      <c r="F39" s="132" t="s">
        <v>64</v>
      </c>
      <c r="G39" s="133"/>
      <c r="H39" s="134"/>
      <c r="I39" s="133"/>
      <c r="J39" s="134"/>
    </row>
    <row r="40" spans="1:10" x14ac:dyDescent="0.25">
      <c r="A40" s="135" t="s">
        <v>65</v>
      </c>
      <c r="B40" s="135"/>
      <c r="C40" s="136">
        <f>'Mittelwerte &amp; Varianzen'!W5</f>
        <v>176.93103448275863</v>
      </c>
      <c r="D40" s="135" t="s">
        <v>66</v>
      </c>
      <c r="E40" s="137"/>
      <c r="F40" s="138" t="s">
        <v>28</v>
      </c>
      <c r="G40" s="133"/>
      <c r="H40" s="136">
        <f>C40</f>
        <v>176.93103448275863</v>
      </c>
      <c r="I40" s="133" t="s">
        <v>67</v>
      </c>
      <c r="J40" s="139"/>
    </row>
    <row r="41" spans="1:10" x14ac:dyDescent="0.25">
      <c r="A41" s="133" t="s">
        <v>85</v>
      </c>
      <c r="B41" s="135"/>
      <c r="C41" s="136">
        <f>'Mittelwerte &amp; Varianzen'!W10</f>
        <v>82.6848989298378</v>
      </c>
      <c r="D41" s="135" t="s">
        <v>68</v>
      </c>
      <c r="E41" s="137"/>
      <c r="F41" s="138" t="s">
        <v>29</v>
      </c>
      <c r="G41" s="133"/>
      <c r="H41" s="150">
        <f>ROUND($B$2/($B$2-1)*C41,2)</f>
        <v>83.88</v>
      </c>
      <c r="I41" s="151" t="s">
        <v>69</v>
      </c>
      <c r="J41" s="140"/>
    </row>
    <row r="42" spans="1:10" x14ac:dyDescent="0.25">
      <c r="A42" s="133"/>
      <c r="B42" s="135"/>
      <c r="C42" s="136"/>
      <c r="D42" s="135"/>
      <c r="E42" s="137"/>
      <c r="F42" s="138"/>
      <c r="G42" s="133"/>
      <c r="H42" s="136">
        <f>ROUND(($G$2-1)/$G$2*$B$2/($B$2-1)*C41,2)</f>
        <v>83.69</v>
      </c>
      <c r="I42" s="133" t="s">
        <v>70</v>
      </c>
      <c r="J42" s="140"/>
    </row>
    <row r="43" spans="1:10" x14ac:dyDescent="0.25">
      <c r="A43" s="133"/>
      <c r="B43" s="135"/>
      <c r="C43" s="136"/>
      <c r="D43" s="135"/>
      <c r="E43" s="137"/>
      <c r="F43" s="138"/>
      <c r="G43" s="133"/>
      <c r="H43" s="136"/>
      <c r="I43" s="133"/>
      <c r="J43" s="140"/>
    </row>
    <row r="44" spans="1:10" x14ac:dyDescent="0.25">
      <c r="A44" s="129" t="s">
        <v>83</v>
      </c>
      <c r="B44" s="130"/>
      <c r="C44" s="129"/>
      <c r="D44" s="130"/>
      <c r="E44" s="131"/>
      <c r="F44" s="132" t="s">
        <v>84</v>
      </c>
      <c r="G44" s="133"/>
      <c r="H44" s="134"/>
      <c r="I44" s="133"/>
      <c r="J44" s="140"/>
    </row>
    <row r="45" spans="1:10" x14ac:dyDescent="0.25">
      <c r="A45" s="135" t="s">
        <v>65</v>
      </c>
      <c r="B45" s="135"/>
      <c r="C45" s="136">
        <f>'Mittelwerte &amp; Varianzen'!S5</f>
        <v>22.896551724137932</v>
      </c>
      <c r="D45" s="135" t="s">
        <v>66</v>
      </c>
      <c r="E45" s="137"/>
      <c r="F45" s="138" t="s">
        <v>28</v>
      </c>
      <c r="G45" s="133"/>
      <c r="H45" s="136">
        <f>C45</f>
        <v>22.896551724137932</v>
      </c>
      <c r="I45" s="133" t="s">
        <v>67</v>
      </c>
      <c r="J45" s="140"/>
    </row>
    <row r="46" spans="1:10" x14ac:dyDescent="0.25">
      <c r="A46" s="133" t="s">
        <v>85</v>
      </c>
      <c r="B46" s="135"/>
      <c r="C46" s="136">
        <f>'Mittelwerte &amp; Varianzen'!S10</f>
        <v>4.2306777645659395</v>
      </c>
      <c r="D46" s="135" t="s">
        <v>68</v>
      </c>
      <c r="E46" s="137"/>
      <c r="F46" s="138" t="s">
        <v>29</v>
      </c>
      <c r="G46" s="133"/>
      <c r="H46" s="150">
        <f>ROUND($B$2/($B$2-1)*C46,2)</f>
        <v>4.29</v>
      </c>
      <c r="I46" s="151" t="s">
        <v>69</v>
      </c>
      <c r="J46" s="140"/>
    </row>
    <row r="47" spans="1:10" x14ac:dyDescent="0.25">
      <c r="A47" s="133"/>
      <c r="B47" s="135"/>
      <c r="C47" s="136"/>
      <c r="D47" s="135"/>
      <c r="E47" s="137"/>
      <c r="F47" s="138"/>
      <c r="G47" s="133"/>
      <c r="H47" s="136">
        <f>ROUND(($G$2-1)/$G$2*$B$2/($B$2-1)*C46,2)</f>
        <v>4.28</v>
      </c>
      <c r="I47" s="133" t="s">
        <v>70</v>
      </c>
      <c r="J47" s="141"/>
    </row>
    <row r="48" spans="1:10" x14ac:dyDescent="0.25">
      <c r="A48" s="133"/>
      <c r="B48" s="135"/>
      <c r="C48" s="136"/>
      <c r="D48" s="135"/>
      <c r="E48" s="137"/>
      <c r="F48" s="138"/>
      <c r="G48" s="133"/>
      <c r="H48" s="136"/>
      <c r="I48" s="133"/>
      <c r="J48" s="141"/>
    </row>
    <row r="49" spans="1:10" x14ac:dyDescent="0.25">
      <c r="A49" s="142" t="s">
        <v>77</v>
      </c>
      <c r="B49" s="133"/>
      <c r="C49" s="134"/>
      <c r="D49" s="133"/>
      <c r="E49" s="143"/>
      <c r="F49" s="132" t="s">
        <v>79</v>
      </c>
      <c r="G49" s="133"/>
      <c r="H49" s="134"/>
      <c r="I49" s="133"/>
      <c r="J49" s="134"/>
    </row>
    <row r="50" spans="1:10" x14ac:dyDescent="0.25">
      <c r="A50" s="133" t="s">
        <v>71</v>
      </c>
      <c r="B50" s="133"/>
      <c r="C50" s="144">
        <f>Häufigkeiten!AQ7</f>
        <v>0.27586206896551724</v>
      </c>
      <c r="D50" s="133" t="s">
        <v>72</v>
      </c>
      <c r="E50" s="143"/>
      <c r="F50" s="138" t="s">
        <v>73</v>
      </c>
      <c r="G50" s="133"/>
      <c r="H50" s="144">
        <f>C50</f>
        <v>0.27586206896551724</v>
      </c>
      <c r="I50" s="133" t="s">
        <v>74</v>
      </c>
      <c r="J50" s="134"/>
    </row>
    <row r="51" spans="1:10" x14ac:dyDescent="0.25">
      <c r="A51" s="134"/>
      <c r="B51" s="133"/>
      <c r="C51" s="134"/>
      <c r="D51" s="133"/>
      <c r="E51" s="143"/>
      <c r="F51" s="145"/>
      <c r="G51" s="133"/>
      <c r="H51" s="134"/>
      <c r="I51" s="133"/>
      <c r="J51" s="134"/>
    </row>
    <row r="52" spans="1:10" x14ac:dyDescent="0.25">
      <c r="A52" s="142" t="s">
        <v>78</v>
      </c>
      <c r="B52" s="133"/>
      <c r="C52" s="134"/>
      <c r="D52" s="133"/>
      <c r="E52" s="143"/>
      <c r="F52" s="132" t="s">
        <v>80</v>
      </c>
      <c r="G52" s="133"/>
      <c r="H52" s="134"/>
      <c r="I52" s="134"/>
      <c r="J52" s="134"/>
    </row>
    <row r="53" spans="1:10" x14ac:dyDescent="0.25">
      <c r="A53" s="133" t="s">
        <v>71</v>
      </c>
      <c r="B53" s="133"/>
      <c r="C53" s="144">
        <f>Häufigkeiten!AU7</f>
        <v>0.68965517241379315</v>
      </c>
      <c r="D53" s="133" t="s">
        <v>72</v>
      </c>
      <c r="E53" s="143"/>
      <c r="F53" s="138" t="s">
        <v>73</v>
      </c>
      <c r="G53" s="133"/>
      <c r="H53" s="144">
        <f>C53</f>
        <v>0.68965517241379315</v>
      </c>
      <c r="I53" s="133" t="s">
        <v>74</v>
      </c>
      <c r="J53" s="134"/>
    </row>
  </sheetData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workbookViewId="0">
      <selection activeCell="Q24" sqref="Q24"/>
    </sheetView>
  </sheetViews>
  <sheetFormatPr baseColWidth="10" defaultRowHeight="15" x14ac:dyDescent="0.25"/>
  <cols>
    <col min="1" max="1" width="8.7109375" style="684" customWidth="1"/>
    <col min="2" max="2" width="10.7109375" style="684" customWidth="1"/>
    <col min="3" max="4" width="8.7109375" style="684" customWidth="1"/>
    <col min="5" max="5" width="6.7109375" style="684" customWidth="1"/>
    <col min="6" max="6" width="8.7109375" style="684" customWidth="1"/>
    <col min="7" max="7" width="10.7109375" style="684" customWidth="1"/>
    <col min="8" max="9" width="8.7109375" style="684" customWidth="1"/>
    <col min="10" max="10" width="6.7109375" style="684" customWidth="1"/>
    <col min="11" max="11" width="8.7109375" style="684" customWidth="1"/>
    <col min="12" max="12" width="10.7109375" style="684" customWidth="1"/>
    <col min="13" max="14" width="8.7109375" style="684" customWidth="1"/>
    <col min="15" max="15" width="8" style="684" customWidth="1"/>
    <col min="16" max="16384" width="11.42578125" style="684"/>
  </cols>
  <sheetData>
    <row r="1" spans="1:15" ht="15.75" thickBot="1" x14ac:dyDescent="0.3"/>
    <row r="2" spans="1:15" ht="15" customHeight="1" x14ac:dyDescent="0.25">
      <c r="A2" s="850" t="s">
        <v>255</v>
      </c>
      <c r="B2" s="851"/>
      <c r="C2" s="854" t="s">
        <v>247</v>
      </c>
      <c r="D2" s="855"/>
      <c r="K2" s="856" t="s">
        <v>258</v>
      </c>
      <c r="L2" s="851"/>
      <c r="M2" s="854" t="s">
        <v>247</v>
      </c>
      <c r="N2" s="855"/>
    </row>
    <row r="3" spans="1:15" ht="15.75" thickBot="1" x14ac:dyDescent="0.3">
      <c r="A3" s="852"/>
      <c r="B3" s="853"/>
      <c r="C3" s="685" t="s">
        <v>237</v>
      </c>
      <c r="D3" s="686" t="s">
        <v>238</v>
      </c>
      <c r="E3" s="687" t="s">
        <v>210</v>
      </c>
      <c r="K3" s="852"/>
      <c r="L3" s="853"/>
      <c r="M3" s="685" t="s">
        <v>237</v>
      </c>
      <c r="N3" s="686" t="s">
        <v>238</v>
      </c>
      <c r="O3" s="687" t="s">
        <v>210</v>
      </c>
    </row>
    <row r="4" spans="1:15" ht="15.75" customHeight="1" thickTop="1" x14ac:dyDescent="0.25">
      <c r="A4" s="866" t="s">
        <v>254</v>
      </c>
      <c r="B4" s="725" t="s">
        <v>248</v>
      </c>
      <c r="C4" s="730">
        <f t="shared" ref="C4:D6" si="0">C15/$E$21</f>
        <v>1.4285714285714285E-2</v>
      </c>
      <c r="D4" s="734">
        <f t="shared" si="0"/>
        <v>0.14285714285714285</v>
      </c>
      <c r="E4" s="688">
        <f>SUM(C4:D4)</f>
        <v>0.15714285714285714</v>
      </c>
      <c r="K4" s="866" t="s">
        <v>254</v>
      </c>
      <c r="L4" s="725" t="s">
        <v>248</v>
      </c>
      <c r="M4" s="730">
        <f>$E4*C$10</f>
        <v>0.10551020408163266</v>
      </c>
      <c r="N4" s="734">
        <f t="shared" ref="N4:N9" si="1">$E4*D$10</f>
        <v>5.1632653061224491E-2</v>
      </c>
      <c r="O4" s="688">
        <f>SUM(M4:N4)</f>
        <v>0.15714285714285714</v>
      </c>
    </row>
    <row r="5" spans="1:15" x14ac:dyDescent="0.25">
      <c r="A5" s="866"/>
      <c r="B5" s="724" t="s">
        <v>249</v>
      </c>
      <c r="C5" s="727">
        <f t="shared" si="0"/>
        <v>8.5714285714285715E-2</v>
      </c>
      <c r="D5" s="735">
        <f t="shared" si="0"/>
        <v>8.5714285714285715E-2</v>
      </c>
      <c r="E5" s="688">
        <f t="shared" ref="E5:E8" si="2">SUM(C5:D5)</f>
        <v>0.17142857142857143</v>
      </c>
      <c r="K5" s="866"/>
      <c r="L5" s="724" t="s">
        <v>249</v>
      </c>
      <c r="M5" s="727">
        <f t="shared" ref="M5:M9" si="3">$E5*C$10</f>
        <v>0.11510204081632654</v>
      </c>
      <c r="N5" s="735">
        <f t="shared" si="1"/>
        <v>5.63265306122449E-2</v>
      </c>
      <c r="O5" s="688">
        <f t="shared" ref="O5:O9" si="4">SUM(M5:N5)</f>
        <v>0.17142857142857143</v>
      </c>
    </row>
    <row r="6" spans="1:15" x14ac:dyDescent="0.25">
      <c r="A6" s="866"/>
      <c r="B6" s="724" t="s">
        <v>250</v>
      </c>
      <c r="C6" s="727">
        <f t="shared" si="0"/>
        <v>0.1</v>
      </c>
      <c r="D6" s="735">
        <f t="shared" si="0"/>
        <v>8.5714285714285715E-2</v>
      </c>
      <c r="E6" s="688">
        <f t="shared" si="2"/>
        <v>0.18571428571428572</v>
      </c>
      <c r="K6" s="866"/>
      <c r="L6" s="724" t="s">
        <v>250</v>
      </c>
      <c r="M6" s="727">
        <f t="shared" si="3"/>
        <v>0.12469387755102042</v>
      </c>
      <c r="N6" s="735">
        <f t="shared" si="1"/>
        <v>6.1020408163265309E-2</v>
      </c>
      <c r="O6" s="688">
        <f t="shared" si="4"/>
        <v>0.18571428571428572</v>
      </c>
    </row>
    <row r="7" spans="1:15" x14ac:dyDescent="0.25">
      <c r="A7" s="867"/>
      <c r="B7" s="724" t="s">
        <v>251</v>
      </c>
      <c r="C7" s="727">
        <f t="shared" ref="C7:D7" si="5">C18/$E$21</f>
        <v>0.15714285714285714</v>
      </c>
      <c r="D7" s="735">
        <f t="shared" si="5"/>
        <v>1.4285714285714285E-2</v>
      </c>
      <c r="E7" s="688">
        <f t="shared" si="2"/>
        <v>0.17142857142857143</v>
      </c>
      <c r="K7" s="867"/>
      <c r="L7" s="724" t="s">
        <v>251</v>
      </c>
      <c r="M7" s="727">
        <f t="shared" si="3"/>
        <v>0.11510204081632654</v>
      </c>
      <c r="N7" s="735">
        <f t="shared" si="1"/>
        <v>5.63265306122449E-2</v>
      </c>
      <c r="O7" s="688">
        <f t="shared" si="4"/>
        <v>0.17142857142857143</v>
      </c>
    </row>
    <row r="8" spans="1:15" x14ac:dyDescent="0.25">
      <c r="A8" s="867"/>
      <c r="B8" s="724" t="s">
        <v>252</v>
      </c>
      <c r="C8" s="727">
        <f t="shared" ref="C8:D8" si="6">C19/$E$21</f>
        <v>0.2</v>
      </c>
      <c r="D8" s="735">
        <f t="shared" si="6"/>
        <v>0</v>
      </c>
      <c r="E8" s="688">
        <f t="shared" si="2"/>
        <v>0.2</v>
      </c>
      <c r="K8" s="867"/>
      <c r="L8" s="724" t="s">
        <v>252</v>
      </c>
      <c r="M8" s="727">
        <f t="shared" si="3"/>
        <v>0.13428571428571431</v>
      </c>
      <c r="N8" s="735">
        <f t="shared" si="1"/>
        <v>6.5714285714285711E-2</v>
      </c>
      <c r="O8" s="688">
        <f t="shared" si="4"/>
        <v>0.2</v>
      </c>
    </row>
    <row r="9" spans="1:15" ht="15.75" thickBot="1" x14ac:dyDescent="0.3">
      <c r="A9" s="868"/>
      <c r="B9" s="726" t="s">
        <v>253</v>
      </c>
      <c r="C9" s="736">
        <f t="shared" ref="C9:D9" si="7">C20/$E$21</f>
        <v>0.11428571428571428</v>
      </c>
      <c r="D9" s="737">
        <f t="shared" si="7"/>
        <v>0</v>
      </c>
      <c r="E9" s="688">
        <f>SUM(C9:D9)</f>
        <v>0.11428571428571428</v>
      </c>
      <c r="K9" s="868"/>
      <c r="L9" s="726" t="s">
        <v>253</v>
      </c>
      <c r="M9" s="736">
        <f t="shared" si="3"/>
        <v>7.6734693877551025E-2</v>
      </c>
      <c r="N9" s="737">
        <f t="shared" si="1"/>
        <v>3.7551020408163265E-2</v>
      </c>
      <c r="O9" s="688">
        <f t="shared" si="4"/>
        <v>0.1142857142857143</v>
      </c>
    </row>
    <row r="10" spans="1:15" x14ac:dyDescent="0.25">
      <c r="B10" s="723" t="s">
        <v>210</v>
      </c>
      <c r="C10" s="691">
        <f>SUM(C4:C9)</f>
        <v>0.67142857142857149</v>
      </c>
      <c r="D10" s="691">
        <f>SUM(D4:D9)</f>
        <v>0.32857142857142857</v>
      </c>
      <c r="E10" s="688">
        <f>SUM(C4:D9)</f>
        <v>1</v>
      </c>
      <c r="L10" s="723" t="s">
        <v>210</v>
      </c>
      <c r="M10" s="691">
        <f>SUM(M4:M9)</f>
        <v>0.67142857142857149</v>
      </c>
      <c r="N10" s="691">
        <f>SUM(N4:N9)</f>
        <v>0.32857142857142857</v>
      </c>
      <c r="O10" s="688">
        <f>SUM(M4:N9)</f>
        <v>1</v>
      </c>
    </row>
    <row r="12" spans="1:15" ht="15.75" thickBot="1" x14ac:dyDescent="0.3"/>
    <row r="13" spans="1:15" ht="15" customHeight="1" x14ac:dyDescent="0.25">
      <c r="A13" s="850" t="s">
        <v>256</v>
      </c>
      <c r="B13" s="851"/>
      <c r="C13" s="854" t="s">
        <v>247</v>
      </c>
      <c r="D13" s="855"/>
      <c r="K13" s="850" t="s">
        <v>257</v>
      </c>
      <c r="L13" s="851"/>
      <c r="M13" s="854" t="s">
        <v>247</v>
      </c>
      <c r="N13" s="855"/>
    </row>
    <row r="14" spans="1:15" ht="15.75" thickBot="1" x14ac:dyDescent="0.3">
      <c r="A14" s="852"/>
      <c r="B14" s="853"/>
      <c r="C14" s="685" t="s">
        <v>237</v>
      </c>
      <c r="D14" s="686" t="s">
        <v>238</v>
      </c>
      <c r="E14" s="687" t="s">
        <v>210</v>
      </c>
      <c r="K14" s="852"/>
      <c r="L14" s="853"/>
      <c r="M14" s="685" t="s">
        <v>237</v>
      </c>
      <c r="N14" s="686" t="s">
        <v>238</v>
      </c>
      <c r="O14" s="687" t="s">
        <v>210</v>
      </c>
    </row>
    <row r="15" spans="1:15" ht="15.75" customHeight="1" thickTop="1" x14ac:dyDescent="0.25">
      <c r="A15" s="866" t="s">
        <v>254</v>
      </c>
      <c r="B15" s="725" t="s">
        <v>248</v>
      </c>
      <c r="C15" s="732">
        <v>1</v>
      </c>
      <c r="D15" s="716">
        <v>10</v>
      </c>
      <c r="E15" s="719">
        <f>SUM(C15:D15)</f>
        <v>11</v>
      </c>
      <c r="K15" s="866" t="s">
        <v>254</v>
      </c>
      <c r="L15" s="725" t="s">
        <v>248</v>
      </c>
      <c r="M15" s="731">
        <f>M4*$E$21</f>
        <v>7.3857142857142861</v>
      </c>
      <c r="N15" s="692">
        <f t="shared" ref="N15:N20" si="8">N4*$E$21</f>
        <v>3.6142857142857143</v>
      </c>
      <c r="O15" s="719">
        <f>SUM(M15:N15)</f>
        <v>11</v>
      </c>
    </row>
    <row r="16" spans="1:15" x14ac:dyDescent="0.25">
      <c r="A16" s="866"/>
      <c r="B16" s="724" t="s">
        <v>249</v>
      </c>
      <c r="C16" s="728">
        <v>6</v>
      </c>
      <c r="D16" s="717">
        <v>6</v>
      </c>
      <c r="E16" s="719">
        <f t="shared" ref="E16:E19" si="9">SUM(C16:D16)</f>
        <v>12</v>
      </c>
      <c r="K16" s="866"/>
      <c r="L16" s="724" t="s">
        <v>249</v>
      </c>
      <c r="M16" s="729">
        <f t="shared" ref="M16" si="10">M5*$E$21</f>
        <v>8.0571428571428569</v>
      </c>
      <c r="N16" s="693">
        <f t="shared" si="8"/>
        <v>3.9428571428571431</v>
      </c>
      <c r="O16" s="719">
        <f t="shared" ref="O16:O20" si="11">SUM(M16:N16)</f>
        <v>12</v>
      </c>
    </row>
    <row r="17" spans="1:15" x14ac:dyDescent="0.25">
      <c r="A17" s="866"/>
      <c r="B17" s="689" t="s">
        <v>250</v>
      </c>
      <c r="C17" s="728">
        <v>7</v>
      </c>
      <c r="D17" s="717">
        <v>6</v>
      </c>
      <c r="E17" s="719">
        <f t="shared" si="9"/>
        <v>13</v>
      </c>
      <c r="K17" s="866"/>
      <c r="L17" s="724" t="s">
        <v>250</v>
      </c>
      <c r="M17" s="729">
        <f t="shared" ref="M17" si="12">M6*$E$21</f>
        <v>8.7285714285714295</v>
      </c>
      <c r="N17" s="693">
        <f t="shared" si="8"/>
        <v>4.2714285714285714</v>
      </c>
      <c r="O17" s="719">
        <f t="shared" si="11"/>
        <v>13</v>
      </c>
    </row>
    <row r="18" spans="1:15" x14ac:dyDescent="0.25">
      <c r="A18" s="867"/>
      <c r="B18" s="689" t="s">
        <v>251</v>
      </c>
      <c r="C18" s="728">
        <v>11</v>
      </c>
      <c r="D18" s="717">
        <v>1</v>
      </c>
      <c r="E18" s="719">
        <f t="shared" si="9"/>
        <v>12</v>
      </c>
      <c r="K18" s="867"/>
      <c r="L18" s="724" t="s">
        <v>251</v>
      </c>
      <c r="M18" s="729">
        <f t="shared" ref="M18" si="13">M7*$E$21</f>
        <v>8.0571428571428569</v>
      </c>
      <c r="N18" s="693">
        <f t="shared" si="8"/>
        <v>3.9428571428571431</v>
      </c>
      <c r="O18" s="719">
        <f t="shared" si="11"/>
        <v>12</v>
      </c>
    </row>
    <row r="19" spans="1:15" x14ac:dyDescent="0.25">
      <c r="A19" s="867"/>
      <c r="B19" s="689" t="s">
        <v>252</v>
      </c>
      <c r="C19" s="728">
        <v>14</v>
      </c>
      <c r="D19" s="717">
        <v>0</v>
      </c>
      <c r="E19" s="719">
        <f t="shared" si="9"/>
        <v>14</v>
      </c>
      <c r="K19" s="867"/>
      <c r="L19" s="724" t="s">
        <v>252</v>
      </c>
      <c r="M19" s="729">
        <f t="shared" ref="M19" si="14">M8*$E$21</f>
        <v>9.4000000000000021</v>
      </c>
      <c r="N19" s="693">
        <f t="shared" si="8"/>
        <v>4.5999999999999996</v>
      </c>
      <c r="O19" s="719">
        <f t="shared" si="11"/>
        <v>14.000000000000002</v>
      </c>
    </row>
    <row r="20" spans="1:15" ht="15.75" thickBot="1" x14ac:dyDescent="0.3">
      <c r="A20" s="868"/>
      <c r="B20" s="690" t="s">
        <v>253</v>
      </c>
      <c r="C20" s="733">
        <v>8</v>
      </c>
      <c r="D20" s="718">
        <v>0</v>
      </c>
      <c r="E20" s="719">
        <f>SUM(C20:D20)</f>
        <v>8</v>
      </c>
      <c r="K20" s="868"/>
      <c r="L20" s="726" t="s">
        <v>253</v>
      </c>
      <c r="M20" s="738">
        <f>M9*$E$21</f>
        <v>5.3714285714285719</v>
      </c>
      <c r="N20" s="694">
        <f t="shared" si="8"/>
        <v>2.6285714285714286</v>
      </c>
      <c r="O20" s="719">
        <f t="shared" si="11"/>
        <v>8</v>
      </c>
    </row>
    <row r="21" spans="1:15" x14ac:dyDescent="0.25">
      <c r="B21" s="723" t="s">
        <v>210</v>
      </c>
      <c r="C21" s="720">
        <f>SUM(C15:C20)</f>
        <v>47</v>
      </c>
      <c r="D21" s="720">
        <f>SUM(D15:D20)</f>
        <v>23</v>
      </c>
      <c r="E21" s="719">
        <f>SUM(C15:D20)</f>
        <v>70</v>
      </c>
      <c r="L21" s="723" t="s">
        <v>210</v>
      </c>
      <c r="M21" s="720">
        <f>SUM(M15:M20)</f>
        <v>47.000000000000007</v>
      </c>
      <c r="N21" s="720">
        <f>SUM(N15:N20)</f>
        <v>23.000000000000004</v>
      </c>
      <c r="O21" s="719">
        <f>SUM(M15:N20)</f>
        <v>70.000000000000014</v>
      </c>
    </row>
    <row r="22" spans="1:15" x14ac:dyDescent="0.25">
      <c r="B22" s="696"/>
      <c r="C22" s="695"/>
      <c r="D22" s="695"/>
      <c r="E22" s="695"/>
      <c r="L22" s="696"/>
      <c r="M22" s="695"/>
      <c r="N22" s="695"/>
      <c r="O22" s="695"/>
    </row>
    <row r="23" spans="1:15" ht="15.75" thickBot="1" x14ac:dyDescent="0.3"/>
    <row r="24" spans="1:15" ht="15" customHeight="1" x14ac:dyDescent="0.25">
      <c r="F24" s="860" t="s">
        <v>239</v>
      </c>
      <c r="G24" s="861"/>
      <c r="H24" s="864" t="s">
        <v>247</v>
      </c>
      <c r="I24" s="865"/>
      <c r="J24" s="739"/>
    </row>
    <row r="25" spans="1:15" ht="15.75" thickBot="1" x14ac:dyDescent="0.3">
      <c r="F25" s="862"/>
      <c r="G25" s="863"/>
      <c r="H25" s="721" t="s">
        <v>237</v>
      </c>
      <c r="I25" s="722" t="s">
        <v>238</v>
      </c>
      <c r="J25" s="740"/>
    </row>
    <row r="26" spans="1:15" ht="15.75" customHeight="1" thickTop="1" x14ac:dyDescent="0.25">
      <c r="F26" s="857" t="s">
        <v>246</v>
      </c>
      <c r="G26" s="725" t="s">
        <v>248</v>
      </c>
      <c r="H26" s="742">
        <f t="shared" ref="H26:I31" si="15">(C15-M15)^2/M15</f>
        <v>5.5211108040895276</v>
      </c>
      <c r="I26" s="743">
        <f t="shared" si="15"/>
        <v>11.282269904009036</v>
      </c>
      <c r="J26" s="741"/>
    </row>
    <row r="27" spans="1:15" x14ac:dyDescent="0.25">
      <c r="F27" s="858"/>
      <c r="G27" s="724" t="s">
        <v>249</v>
      </c>
      <c r="H27" s="727">
        <f t="shared" si="15"/>
        <v>0.52522796352583578</v>
      </c>
      <c r="I27" s="735">
        <f t="shared" si="15"/>
        <v>1.0732919254658382</v>
      </c>
      <c r="J27" s="741"/>
    </row>
    <row r="28" spans="1:15" x14ac:dyDescent="0.25">
      <c r="F28" s="858"/>
      <c r="G28" s="724" t="s">
        <v>250</v>
      </c>
      <c r="H28" s="727">
        <f t="shared" si="15"/>
        <v>0.34231938274491502</v>
      </c>
      <c r="I28" s="735">
        <f t="shared" si="15"/>
        <v>0.69952221691352134</v>
      </c>
      <c r="J28" s="741"/>
    </row>
    <row r="29" spans="1:15" x14ac:dyDescent="0.25">
      <c r="F29" s="858"/>
      <c r="G29" s="724" t="s">
        <v>251</v>
      </c>
      <c r="H29" s="727">
        <f t="shared" si="15"/>
        <v>1.0748733535967581</v>
      </c>
      <c r="I29" s="735">
        <f t="shared" si="15"/>
        <v>2.19648033126294</v>
      </c>
      <c r="J29" s="741"/>
    </row>
    <row r="30" spans="1:15" x14ac:dyDescent="0.25">
      <c r="F30" s="858"/>
      <c r="G30" s="724" t="s">
        <v>252</v>
      </c>
      <c r="H30" s="727">
        <f t="shared" si="15"/>
        <v>2.2510638297872312</v>
      </c>
      <c r="I30" s="735">
        <f t="shared" si="15"/>
        <v>4.5999999999999996</v>
      </c>
      <c r="J30" s="741"/>
    </row>
    <row r="31" spans="1:15" ht="15.75" thickBot="1" x14ac:dyDescent="0.3">
      <c r="F31" s="859"/>
      <c r="G31" s="726" t="s">
        <v>253</v>
      </c>
      <c r="H31" s="736">
        <f t="shared" si="15"/>
        <v>1.2863221884498475</v>
      </c>
      <c r="I31" s="737">
        <f t="shared" si="15"/>
        <v>2.6285714285714286</v>
      </c>
      <c r="J31" s="741"/>
    </row>
    <row r="32" spans="1:15" x14ac:dyDescent="0.25">
      <c r="F32" s="696"/>
      <c r="G32" s="697" t="s">
        <v>240</v>
      </c>
      <c r="H32" s="698" t="s">
        <v>50</v>
      </c>
      <c r="I32" s="699">
        <f>SUM(H26:I31)</f>
        <v>33.481053328416884</v>
      </c>
      <c r="J32" s="699"/>
    </row>
    <row r="33" spans="4:11" ht="15.75" thickBot="1" x14ac:dyDescent="0.3">
      <c r="E33" s="696"/>
      <c r="F33" s="697"/>
      <c r="G33" s="697"/>
      <c r="H33" s="697"/>
      <c r="I33" s="697"/>
      <c r="J33" s="697"/>
      <c r="K33" s="699"/>
    </row>
    <row r="34" spans="4:11" x14ac:dyDescent="0.25">
      <c r="D34" s="700" t="s">
        <v>241</v>
      </c>
      <c r="E34" s="701"/>
      <c r="F34" s="701"/>
      <c r="G34" s="701"/>
      <c r="H34" s="701"/>
      <c r="I34" s="702" t="s">
        <v>16</v>
      </c>
      <c r="J34" s="702"/>
      <c r="K34" s="703">
        <f>E21</f>
        <v>70</v>
      </c>
    </row>
    <row r="35" spans="4:11" x14ac:dyDescent="0.25">
      <c r="D35" s="704"/>
      <c r="E35" s="705"/>
      <c r="F35" s="706" t="s">
        <v>242</v>
      </c>
      <c r="G35" s="706"/>
      <c r="H35" s="706"/>
      <c r="I35" s="707" t="s">
        <v>51</v>
      </c>
      <c r="J35" s="707"/>
      <c r="K35" s="708">
        <f>SQRT(I32/(I32+K34))</f>
        <v>0.56881250555121354</v>
      </c>
    </row>
    <row r="36" spans="4:11" x14ac:dyDescent="0.25">
      <c r="D36" s="704"/>
      <c r="E36" s="705"/>
      <c r="F36" s="706"/>
      <c r="G36" s="706"/>
      <c r="H36" s="706"/>
      <c r="I36" s="707" t="s">
        <v>17</v>
      </c>
      <c r="J36" s="707"/>
      <c r="K36" s="709">
        <f>MIN(COUNTA(B15:B17),COUNTA(C14:D14))</f>
        <v>2</v>
      </c>
    </row>
    <row r="37" spans="4:11" ht="17.25" x14ac:dyDescent="0.3">
      <c r="D37" s="704"/>
      <c r="E37" s="705"/>
      <c r="F37" s="705"/>
      <c r="G37" s="705"/>
      <c r="H37" s="705"/>
      <c r="I37" s="710" t="s">
        <v>243</v>
      </c>
      <c r="J37" s="710"/>
      <c r="K37" s="708">
        <f>SQRT((K36-1)/K36)</f>
        <v>0.70710678118654757</v>
      </c>
    </row>
    <row r="38" spans="4:11" x14ac:dyDescent="0.25">
      <c r="D38" s="704"/>
      <c r="E38" s="705"/>
      <c r="F38" s="705"/>
      <c r="G38" s="705"/>
      <c r="H38" s="705"/>
      <c r="I38" s="710"/>
      <c r="J38" s="710"/>
      <c r="K38" s="708"/>
    </row>
    <row r="39" spans="4:11" ht="17.25" thickBot="1" x14ac:dyDescent="0.35">
      <c r="D39" s="711"/>
      <c r="E39" s="712"/>
      <c r="F39" s="713" t="s">
        <v>244</v>
      </c>
      <c r="G39" s="713"/>
      <c r="H39" s="713"/>
      <c r="I39" s="714" t="s">
        <v>245</v>
      </c>
      <c r="J39" s="714"/>
      <c r="K39" s="715">
        <f>SQRT(I32*K36/((I32+K34)*(K36-1)))</f>
        <v>0.80442235979794752</v>
      </c>
    </row>
  </sheetData>
  <mergeCells count="15">
    <mergeCell ref="A2:B3"/>
    <mergeCell ref="C2:D2"/>
    <mergeCell ref="K2:L3"/>
    <mergeCell ref="M2:N2"/>
    <mergeCell ref="F26:F31"/>
    <mergeCell ref="A13:B14"/>
    <mergeCell ref="C13:D13"/>
    <mergeCell ref="K13:L14"/>
    <mergeCell ref="M13:N13"/>
    <mergeCell ref="F24:G25"/>
    <mergeCell ref="H24:I24"/>
    <mergeCell ref="A4:A9"/>
    <mergeCell ref="A15:A20"/>
    <mergeCell ref="K4:K9"/>
    <mergeCell ref="K15:K20"/>
  </mergeCells>
  <pageMargins left="0" right="0" top="0" bottom="0" header="0" footer="0"/>
  <pageSetup paperSize="9"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3"/>
  <dimension ref="A1:O29"/>
  <sheetViews>
    <sheetView zoomScaleNormal="100" workbookViewId="0">
      <selection activeCell="H37" sqref="H37"/>
    </sheetView>
  </sheetViews>
  <sheetFormatPr baseColWidth="10" defaultColWidth="11.42578125" defaultRowHeight="15" x14ac:dyDescent="0.25"/>
  <cols>
    <col min="1" max="1" width="13" style="8" customWidth="1"/>
    <col min="2" max="4" width="8.7109375" style="8" customWidth="1"/>
    <col min="5" max="6" width="12.7109375" style="8" customWidth="1"/>
    <col min="7" max="7" width="8.7109375" style="8" customWidth="1"/>
    <col min="8" max="8" width="12.85546875" style="8" customWidth="1"/>
    <col min="9" max="10" width="8.7109375" style="8" customWidth="1"/>
    <col min="11" max="11" width="11.28515625" style="8" customWidth="1"/>
    <col min="12" max="15" width="11.7109375" style="8" customWidth="1"/>
    <col min="16" max="16384" width="11.42578125" style="8"/>
  </cols>
  <sheetData>
    <row r="1" spans="1:15" ht="20.100000000000001" customHeight="1" x14ac:dyDescent="0.25">
      <c r="A1" s="54" t="s">
        <v>86</v>
      </c>
      <c r="D1" s="152"/>
      <c r="E1" s="153">
        <f>Punktschätzungen!G2</f>
        <v>426</v>
      </c>
      <c r="H1" s="54" t="s">
        <v>86</v>
      </c>
      <c r="K1" s="152"/>
      <c r="L1" s="153">
        <f>Punktschätzungen!G2</f>
        <v>426</v>
      </c>
    </row>
    <row r="2" spans="1:15" ht="20.100000000000001" customHeight="1" x14ac:dyDescent="0.25">
      <c r="A2" s="154"/>
      <c r="D2" s="152"/>
      <c r="E2" s="155"/>
    </row>
    <row r="3" spans="1:15" ht="20.100000000000001" customHeight="1" thickBot="1" x14ac:dyDescent="0.3">
      <c r="A3" s="156" t="s">
        <v>189</v>
      </c>
      <c r="B3" s="157"/>
      <c r="C3" s="157"/>
      <c r="D3" s="158"/>
      <c r="E3" s="159"/>
      <c r="F3" s="157"/>
      <c r="H3" s="156" t="s">
        <v>190</v>
      </c>
      <c r="I3" s="157"/>
      <c r="J3" s="157"/>
      <c r="K3" s="158"/>
      <c r="L3" s="159"/>
      <c r="M3" s="157"/>
    </row>
    <row r="4" spans="1:15" ht="20.100000000000001" customHeight="1" thickTop="1" x14ac:dyDescent="0.25">
      <c r="A4" s="160" t="s">
        <v>31</v>
      </c>
      <c r="B4" s="161"/>
      <c r="C4" s="161"/>
      <c r="D4" s="162"/>
      <c r="E4" s="163">
        <f>Punktschätzungen!B2</f>
        <v>70</v>
      </c>
      <c r="F4" s="161"/>
      <c r="H4" s="160" t="s">
        <v>31</v>
      </c>
      <c r="I4" s="161"/>
      <c r="J4" s="161"/>
      <c r="K4" s="162"/>
      <c r="L4" s="163">
        <f>Punktschätzungen!B38</f>
        <v>29</v>
      </c>
      <c r="M4" s="161"/>
    </row>
    <row r="5" spans="1:15" ht="20.100000000000001" customHeight="1" x14ac:dyDescent="0.25">
      <c r="A5" s="160" t="s">
        <v>11</v>
      </c>
      <c r="B5" s="161"/>
      <c r="C5" s="161"/>
      <c r="D5" s="162"/>
      <c r="E5" s="165">
        <f>Punktschätzungen!C4</f>
        <v>176.07</v>
      </c>
      <c r="F5" s="164" t="s">
        <v>87</v>
      </c>
      <c r="H5" s="160" t="s">
        <v>11</v>
      </c>
      <c r="I5" s="161"/>
      <c r="J5" s="161"/>
      <c r="K5" s="162"/>
      <c r="L5" s="165">
        <f>Punktschätzungen!C40</f>
        <v>176.93103448275863</v>
      </c>
      <c r="M5" s="164" t="s">
        <v>87</v>
      </c>
    </row>
    <row r="6" spans="1:15" ht="20.100000000000001" customHeight="1" x14ac:dyDescent="0.25">
      <c r="A6" s="160"/>
      <c r="B6" s="161"/>
      <c r="C6" s="161"/>
      <c r="D6" s="162"/>
      <c r="E6" s="165">
        <f>Punktschätzungen!C5</f>
        <v>89.84</v>
      </c>
      <c r="F6" s="164" t="s">
        <v>88</v>
      </c>
      <c r="H6" s="160"/>
      <c r="I6" s="161"/>
      <c r="J6" s="161"/>
      <c r="K6" s="162"/>
      <c r="L6" s="165">
        <f>Punktschätzungen!C41</f>
        <v>82.6848989298378</v>
      </c>
      <c r="M6" s="164" t="s">
        <v>88</v>
      </c>
    </row>
    <row r="7" spans="1:15" ht="20.100000000000001" customHeight="1" x14ac:dyDescent="0.25">
      <c r="A7" s="160" t="s">
        <v>23</v>
      </c>
      <c r="B7" s="161"/>
      <c r="C7" s="161"/>
      <c r="D7" s="162"/>
      <c r="E7" s="166">
        <f>Punktschätzungen!C14</f>
        <v>0.24</v>
      </c>
      <c r="F7" s="164" t="s">
        <v>89</v>
      </c>
      <c r="H7" s="160" t="s">
        <v>23</v>
      </c>
      <c r="I7" s="161"/>
      <c r="J7" s="161"/>
      <c r="K7" s="162"/>
      <c r="L7" s="166">
        <f>Punktschätzungen!C50</f>
        <v>0.27586206896551724</v>
      </c>
      <c r="M7" s="164" t="s">
        <v>89</v>
      </c>
    </row>
    <row r="8" spans="1:15" ht="20.100000000000001" customHeight="1" x14ac:dyDescent="0.25"/>
    <row r="9" spans="1:15" ht="20.100000000000001" customHeight="1" x14ac:dyDescent="0.25">
      <c r="A9" s="54"/>
      <c r="E9" s="55"/>
      <c r="H9" s="54"/>
      <c r="L9" s="55"/>
    </row>
    <row r="10" spans="1:15" ht="20.100000000000001" customHeight="1" thickBot="1" x14ac:dyDescent="0.3">
      <c r="A10" s="167" t="s">
        <v>90</v>
      </c>
      <c r="B10" s="168"/>
      <c r="C10" s="168"/>
      <c r="D10" s="168"/>
      <c r="E10" s="168"/>
      <c r="F10" s="168"/>
      <c r="H10" s="167" t="s">
        <v>90</v>
      </c>
      <c r="I10" s="168"/>
      <c r="J10" s="168"/>
      <c r="K10" s="168"/>
      <c r="L10" s="168"/>
      <c r="M10" s="168"/>
    </row>
    <row r="11" spans="1:15" ht="20.100000000000001" customHeight="1" thickTop="1" x14ac:dyDescent="0.25">
      <c r="A11" s="169" t="s">
        <v>11</v>
      </c>
      <c r="B11" s="48"/>
      <c r="C11" s="48"/>
      <c r="D11" s="170"/>
      <c r="E11" s="171">
        <f>Punktschätzungen!H4</f>
        <v>176.07</v>
      </c>
      <c r="F11" s="172" t="s">
        <v>91</v>
      </c>
      <c r="H11" s="169" t="s">
        <v>11</v>
      </c>
      <c r="I11" s="48"/>
      <c r="J11" s="48"/>
      <c r="K11" s="170"/>
      <c r="L11" s="171">
        <f>Punktschätzungen!H40</f>
        <v>176.93103448275863</v>
      </c>
      <c r="M11" s="172" t="s">
        <v>91</v>
      </c>
    </row>
    <row r="12" spans="1:15" ht="20.100000000000001" customHeight="1" x14ac:dyDescent="0.25">
      <c r="A12" s="169"/>
      <c r="B12" s="48"/>
      <c r="C12" s="48"/>
      <c r="D12" s="170"/>
      <c r="E12" s="171">
        <f>Punktschätzungen!H6</f>
        <v>90.93</v>
      </c>
      <c r="F12" s="172" t="s">
        <v>92</v>
      </c>
      <c r="H12" s="169"/>
      <c r="I12" s="48"/>
      <c r="J12" s="48"/>
      <c r="K12" s="170"/>
      <c r="L12" s="171">
        <f>Punktschätzungen!H42</f>
        <v>83.69</v>
      </c>
      <c r="M12" s="172" t="s">
        <v>92</v>
      </c>
    </row>
    <row r="13" spans="1:15" ht="20.100000000000001" customHeight="1" x14ac:dyDescent="0.25">
      <c r="A13" s="169" t="s">
        <v>23</v>
      </c>
      <c r="B13" s="48"/>
      <c r="C13" s="48"/>
      <c r="D13" s="170"/>
      <c r="E13" s="173">
        <f>Punktschätzungen!H14</f>
        <v>0.24</v>
      </c>
      <c r="F13" s="172" t="s">
        <v>93</v>
      </c>
      <c r="H13" s="169" t="s">
        <v>188</v>
      </c>
      <c r="I13" s="48"/>
      <c r="J13" s="48"/>
      <c r="K13" s="170"/>
      <c r="L13" s="173"/>
      <c r="M13" s="172"/>
    </row>
    <row r="14" spans="1:15" ht="20.100000000000001" customHeight="1" thickBot="1" x14ac:dyDescent="0.3"/>
    <row r="15" spans="1:15" ht="20.100000000000001" customHeight="1" thickBot="1" x14ac:dyDescent="0.3">
      <c r="A15" s="174" t="s">
        <v>94</v>
      </c>
      <c r="B15" s="175"/>
      <c r="C15" s="175"/>
      <c r="D15" s="175"/>
      <c r="E15" s="175"/>
      <c r="F15" s="176"/>
      <c r="H15" s="174" t="s">
        <v>95</v>
      </c>
      <c r="I15" s="175"/>
      <c r="J15" s="175"/>
      <c r="K15" s="175"/>
      <c r="L15" s="175"/>
      <c r="M15" s="175"/>
      <c r="N15" s="175"/>
      <c r="O15" s="176"/>
    </row>
    <row r="16" spans="1:15" ht="20.100000000000001" customHeight="1" thickTop="1" x14ac:dyDescent="0.25">
      <c r="A16" s="177"/>
      <c r="B16" s="46"/>
      <c r="C16" s="46"/>
      <c r="D16" s="46"/>
      <c r="E16" s="869" t="s">
        <v>96</v>
      </c>
      <c r="F16" s="870"/>
      <c r="H16" s="177"/>
      <c r="I16" s="46"/>
      <c r="J16" s="46"/>
      <c r="K16" s="46"/>
      <c r="N16" s="869" t="s">
        <v>96</v>
      </c>
      <c r="O16" s="871"/>
    </row>
    <row r="17" spans="1:15" ht="20.100000000000001" customHeight="1" thickBot="1" x14ac:dyDescent="0.4">
      <c r="A17" s="178" t="s">
        <v>97</v>
      </c>
      <c r="B17" s="179" t="s">
        <v>98</v>
      </c>
      <c r="C17" s="180" t="s">
        <v>99</v>
      </c>
      <c r="D17" s="180" t="s">
        <v>100</v>
      </c>
      <c r="E17" s="179" t="s">
        <v>101</v>
      </c>
      <c r="F17" s="181" t="s">
        <v>102</v>
      </c>
      <c r="H17" s="178" t="s">
        <v>97</v>
      </c>
      <c r="I17" s="179" t="s">
        <v>98</v>
      </c>
      <c r="J17" s="180" t="s">
        <v>99</v>
      </c>
      <c r="K17" s="180" t="s">
        <v>103</v>
      </c>
      <c r="N17" s="179" t="s">
        <v>101</v>
      </c>
      <c r="O17" s="180" t="s">
        <v>102</v>
      </c>
    </row>
    <row r="18" spans="1:15" ht="20.100000000000001" customHeight="1" thickTop="1" x14ac:dyDescent="0.25">
      <c r="A18" s="182" t="s">
        <v>28</v>
      </c>
      <c r="B18" s="183">
        <v>0.99</v>
      </c>
      <c r="C18" s="184">
        <f t="shared" ref="C18:C29" si="0">1-(1-B18)/2</f>
        <v>0.995</v>
      </c>
      <c r="D18" s="185">
        <f t="shared" ref="D18:D29" si="1">ROUND(NORMINV(C18,0,1),4)</f>
        <v>2.5758000000000001</v>
      </c>
      <c r="E18" s="186">
        <f>$E$11-D18*SQRT($E$12/$E$4)</f>
        <v>173.13426592035995</v>
      </c>
      <c r="F18" s="187">
        <f>$E$11+D18*SQRT($E$12/$E$4)</f>
        <v>179.00573407964004</v>
      </c>
      <c r="G18" s="55"/>
      <c r="H18" s="182" t="s">
        <v>28</v>
      </c>
      <c r="I18" s="183">
        <v>0.99</v>
      </c>
      <c r="J18" s="184">
        <f>1-(1-I18)/2</f>
        <v>0.995</v>
      </c>
      <c r="K18" s="185">
        <f>ROUND(TINV(2*(1-J18),$L$4-1),3)</f>
        <v>2.7629999999999999</v>
      </c>
      <c r="N18" s="186">
        <f>$L$11-K18*SQRT($L$12/$L$4)</f>
        <v>172.23729836478478</v>
      </c>
      <c r="O18" s="188">
        <f>$L$11+K18*SQRT($L$12/$L$4)</f>
        <v>181.62477060073249</v>
      </c>
    </row>
    <row r="19" spans="1:15" ht="20.100000000000001" customHeight="1" x14ac:dyDescent="0.25">
      <c r="A19" s="189" t="s">
        <v>104</v>
      </c>
      <c r="B19" s="190">
        <v>0.95</v>
      </c>
      <c r="C19" s="191">
        <f t="shared" si="0"/>
        <v>0.97499999999999998</v>
      </c>
      <c r="D19" s="192">
        <f>ROUND(NORMINV(C19,0,1),4)</f>
        <v>1.96</v>
      </c>
      <c r="E19" s="193">
        <f>$E$11-D19*SQRT($E$12/$E$4)</f>
        <v>173.8361158490199</v>
      </c>
      <c r="F19" s="194">
        <f>$E$11+D19*SQRT($E$12/$E$4)</f>
        <v>178.30388415098008</v>
      </c>
      <c r="G19" s="55"/>
      <c r="H19" s="189" t="s">
        <v>105</v>
      </c>
      <c r="I19" s="190">
        <v>0.95</v>
      </c>
      <c r="J19" s="191">
        <f t="shared" ref="J19:J20" si="2">1-(1-I19)/2</f>
        <v>0.97499999999999998</v>
      </c>
      <c r="K19" s="192">
        <f>ROUND(TINV(2*(1-J19),$L$4-1),3)</f>
        <v>2.048</v>
      </c>
      <c r="N19" s="193">
        <f>$L$11-K19*SQRT($L$12/$L$4)</f>
        <v>173.45192787052176</v>
      </c>
      <c r="O19" s="195">
        <f>$L$11+K19*SQRT($L$12/$L$4)</f>
        <v>180.41014109499551</v>
      </c>
    </row>
    <row r="20" spans="1:15" ht="20.100000000000001" customHeight="1" x14ac:dyDescent="0.25">
      <c r="A20" s="196"/>
      <c r="B20" s="197">
        <v>0.9</v>
      </c>
      <c r="C20" s="198">
        <f t="shared" si="0"/>
        <v>0.95</v>
      </c>
      <c r="D20" s="199">
        <f t="shared" si="1"/>
        <v>1.6449</v>
      </c>
      <c r="E20" s="200">
        <f>$E$11-D20*SQRT($E$12/$E$4)</f>
        <v>174.1952469183943</v>
      </c>
      <c r="F20" s="201">
        <f>$E$11+D20*SQRT($E$12/$E$4)</f>
        <v>177.94475308160568</v>
      </c>
      <c r="G20" s="55"/>
      <c r="H20" s="196"/>
      <c r="I20" s="197">
        <v>0.9</v>
      </c>
      <c r="J20" s="198">
        <f t="shared" si="2"/>
        <v>0.95</v>
      </c>
      <c r="K20" s="199">
        <f>ROUND(TINV(2*(1-J20),$L$4-1),3)</f>
        <v>1.7010000000000001</v>
      </c>
      <c r="N20" s="200">
        <f>$L$11-K20*SQRT($L$12/$L$4)</f>
        <v>174.04140540687243</v>
      </c>
      <c r="O20" s="202">
        <f>$L$11+K20*SQRT($L$12/$L$4)</f>
        <v>179.82066355864484</v>
      </c>
    </row>
    <row r="21" spans="1:15" ht="20.100000000000001" customHeight="1" x14ac:dyDescent="0.25">
      <c r="A21" s="203"/>
      <c r="B21" s="226"/>
      <c r="C21" s="227"/>
      <c r="D21" s="228"/>
      <c r="E21" s="229"/>
      <c r="F21" s="230"/>
      <c r="G21" s="55"/>
      <c r="H21" s="177"/>
      <c r="I21" s="46"/>
      <c r="J21" s="46"/>
      <c r="K21" s="46"/>
      <c r="L21" s="46"/>
      <c r="M21" s="46"/>
      <c r="N21" s="872"/>
      <c r="O21" s="873"/>
    </row>
    <row r="22" spans="1:15" ht="20.100000000000001" customHeight="1" thickBot="1" x14ac:dyDescent="0.4">
      <c r="A22" s="203"/>
      <c r="B22" s="226"/>
      <c r="C22" s="227"/>
      <c r="D22" s="228"/>
      <c r="E22" s="229"/>
      <c r="F22" s="230"/>
      <c r="H22" s="178"/>
      <c r="I22" s="179" t="s">
        <v>98</v>
      </c>
      <c r="J22" s="180" t="s">
        <v>107</v>
      </c>
      <c r="K22" s="180" t="s">
        <v>108</v>
      </c>
      <c r="L22" s="180" t="s">
        <v>99</v>
      </c>
      <c r="M22" s="180" t="s">
        <v>109</v>
      </c>
      <c r="N22" s="179"/>
      <c r="O22" s="232"/>
    </row>
    <row r="23" spans="1:15" ht="20.100000000000001" customHeight="1" thickTop="1" x14ac:dyDescent="0.25">
      <c r="A23" s="220" t="s">
        <v>29</v>
      </c>
      <c r="B23" s="221">
        <v>0.99</v>
      </c>
      <c r="C23" s="222">
        <f t="shared" si="0"/>
        <v>0.995</v>
      </c>
      <c r="D23" s="223">
        <f t="shared" si="1"/>
        <v>2.5758000000000001</v>
      </c>
      <c r="E23" s="224">
        <f>$E$4*$E$6/(($E$4-1)+D23*SQRT(2*($E$4-1)))</f>
        <v>63.357607414486118</v>
      </c>
      <c r="F23" s="225">
        <f>$E$4*$E$6/(($E$4-1)-D23*SQRT(2*($E$4-1)))</f>
        <v>162.32847169869947</v>
      </c>
      <c r="H23" s="182" t="s">
        <v>29</v>
      </c>
      <c r="I23" s="183">
        <v>0.99</v>
      </c>
      <c r="J23" s="184">
        <f>(1-B18)/2</f>
        <v>5.0000000000000044E-3</v>
      </c>
      <c r="K23" s="209">
        <f>ROUND(CHIINV(L23,$L$4-1),3)</f>
        <v>12.461</v>
      </c>
      <c r="L23" s="184">
        <f>1-(1-B18)/2</f>
        <v>0.995</v>
      </c>
      <c r="M23" s="185">
        <f>ROUND(CHIINV(1-L23,$L$4-1),3)</f>
        <v>50.993000000000002</v>
      </c>
      <c r="N23" s="186">
        <f>$L$4*$L$6/M23</f>
        <v>47.023357499368466</v>
      </c>
      <c r="O23" s="187">
        <f>$L$4*$L$6/K23</f>
        <v>192.42934507385411</v>
      </c>
    </row>
    <row r="24" spans="1:15" ht="20.100000000000001" customHeight="1" x14ac:dyDescent="0.25">
      <c r="A24" s="189" t="s">
        <v>106</v>
      </c>
      <c r="B24" s="190">
        <v>0.95</v>
      </c>
      <c r="C24" s="191">
        <f t="shared" si="0"/>
        <v>0.97499999999999998</v>
      </c>
      <c r="D24" s="192">
        <f t="shared" si="1"/>
        <v>1.96</v>
      </c>
      <c r="E24" s="193">
        <f>$E$4*$E$6/(($E$4-1)+D24*SQRT(2*($E$4-1)))</f>
        <v>68.338110082568534</v>
      </c>
      <c r="F24" s="194">
        <f>$E$4*$E$6/(($E$4-1)-D24*SQRT(2*($E$4-1)))</f>
        <v>136.78674966223224</v>
      </c>
      <c r="H24" s="189" t="s">
        <v>111</v>
      </c>
      <c r="I24" s="190">
        <v>0.95</v>
      </c>
      <c r="J24" s="191">
        <f>(1-B19)/2</f>
        <v>2.5000000000000022E-2</v>
      </c>
      <c r="K24" s="211">
        <f>ROUND(CHIINV(L24,$L$4-1),3)</f>
        <v>15.308</v>
      </c>
      <c r="L24" s="191">
        <f>1-(1-B19)/2</f>
        <v>0.97499999999999998</v>
      </c>
      <c r="M24" s="192">
        <f>ROUND(CHIINV(1-L24,$L$4-1),3)</f>
        <v>44.460999999999999</v>
      </c>
      <c r="N24" s="193">
        <f>$L$4*$L$6/M24</f>
        <v>53.931806953628943</v>
      </c>
      <c r="O24" s="194">
        <f>$L$4*$L$6/K24</f>
        <v>156.64110719658325</v>
      </c>
    </row>
    <row r="25" spans="1:15" ht="20.100000000000001" customHeight="1" thickBot="1" x14ac:dyDescent="0.3">
      <c r="A25" s="196"/>
      <c r="B25" s="197">
        <v>0.9</v>
      </c>
      <c r="C25" s="198">
        <f t="shared" si="0"/>
        <v>0.95</v>
      </c>
      <c r="D25" s="199">
        <f t="shared" si="1"/>
        <v>1.6449</v>
      </c>
      <c r="E25" s="200">
        <f>$E$4*$E$6/(($E$4-1)+D25*SQRT(2*($E$4-1)))</f>
        <v>71.202130542413144</v>
      </c>
      <c r="F25" s="201">
        <f>$E$4*$E$6/(($E$4-1)-D25*SQRT(2*($E$4-1)))</f>
        <v>126.59430500711059</v>
      </c>
      <c r="H25" s="212"/>
      <c r="I25" s="213">
        <v>0.9</v>
      </c>
      <c r="J25" s="214">
        <f>(1-B20)/2</f>
        <v>4.9999999999999989E-2</v>
      </c>
      <c r="K25" s="217">
        <f>ROUND(CHIINV(L25,$L$4-1),3)</f>
        <v>16.928000000000001</v>
      </c>
      <c r="L25" s="214">
        <f>1-(1-B20)/2</f>
        <v>0.95</v>
      </c>
      <c r="M25" s="215">
        <f>ROUND(CHIINV(1-L25,$L$4-1),3)</f>
        <v>41.337000000000003</v>
      </c>
      <c r="N25" s="218">
        <f>$L$4*$L$6/M25</f>
        <v>58.00764615151791</v>
      </c>
      <c r="O25" s="219">
        <f>$L$4*$L$6/K25</f>
        <v>141.65064207025614</v>
      </c>
    </row>
    <row r="26" spans="1:15" ht="20.100000000000001" customHeight="1" x14ac:dyDescent="0.25">
      <c r="A26" s="203"/>
      <c r="B26" s="226"/>
      <c r="C26" s="227"/>
      <c r="D26" s="228"/>
      <c r="E26" s="229"/>
      <c r="F26" s="230"/>
      <c r="H26" s="231"/>
      <c r="I26" s="204"/>
      <c r="J26" s="205"/>
      <c r="K26" s="206"/>
      <c r="L26" s="205"/>
      <c r="M26" s="206"/>
      <c r="N26" s="207"/>
      <c r="O26" s="207"/>
    </row>
    <row r="27" spans="1:15" ht="20.100000000000001" customHeight="1" x14ac:dyDescent="0.25">
      <c r="A27" s="182" t="s">
        <v>73</v>
      </c>
      <c r="B27" s="183">
        <v>0.99</v>
      </c>
      <c r="C27" s="184">
        <f t="shared" si="0"/>
        <v>0.995</v>
      </c>
      <c r="D27" s="185">
        <f t="shared" si="1"/>
        <v>2.5758000000000001</v>
      </c>
      <c r="E27" s="184">
        <f>$E$13-D27*SQRT($E$13*(1-$E$13)/$E$4)</f>
        <v>0.10851520431537121</v>
      </c>
      <c r="F27" s="208">
        <f>$E$13+D27*SQRT($E$13*(1-$E$13)/$E$4)</f>
        <v>0.37148479568462878</v>
      </c>
    </row>
    <row r="28" spans="1:15" ht="20.100000000000001" customHeight="1" x14ac:dyDescent="0.25">
      <c r="A28" s="189" t="s">
        <v>110</v>
      </c>
      <c r="B28" s="190">
        <v>0.95</v>
      </c>
      <c r="C28" s="191">
        <f t="shared" si="0"/>
        <v>0.97499999999999998</v>
      </c>
      <c r="D28" s="192">
        <f t="shared" si="1"/>
        <v>1.96</v>
      </c>
      <c r="E28" s="191">
        <f>$E$13-D28*SQRT($E$13*(1-$E$13)/$E$4)</f>
        <v>0.13994945277510973</v>
      </c>
      <c r="F28" s="210">
        <f>$E$13+D28*SQRT($E$13*(1-$E$13)/$E$4)</f>
        <v>0.34005054722489025</v>
      </c>
    </row>
    <row r="29" spans="1:15" ht="15.75" thickBot="1" x14ac:dyDescent="0.3">
      <c r="A29" s="212"/>
      <c r="B29" s="213">
        <v>0.9</v>
      </c>
      <c r="C29" s="214">
        <f t="shared" si="0"/>
        <v>0.95</v>
      </c>
      <c r="D29" s="215">
        <f t="shared" si="1"/>
        <v>1.6449</v>
      </c>
      <c r="E29" s="214">
        <f>$E$13-D29*SQRT($E$13*(1-$E$13)/$E$4)</f>
        <v>0.15603410962743774</v>
      </c>
      <c r="F29" s="216">
        <f>$E$13+D29*SQRT($E$13*(1-$E$13)/$E$4)</f>
        <v>0.32396589037256224</v>
      </c>
    </row>
  </sheetData>
  <mergeCells count="3">
    <mergeCell ref="E16:F16"/>
    <mergeCell ref="N16:O16"/>
    <mergeCell ref="N21:O21"/>
  </mergeCells>
  <pageMargins left="0.7" right="0.7" top="0.78740157499999996" bottom="0.78740157499999996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5" r:id="rId3">
          <objectPr defaultSize="0" autoPict="0" r:id="rId4">
            <anchor moveWithCells="1">
              <from>
                <xdr:col>4</xdr:col>
                <xdr:colOff>76200</xdr:colOff>
                <xdr:row>4</xdr:row>
                <xdr:rowOff>66675</xdr:rowOff>
              </from>
              <to>
                <xdr:col>4</xdr:col>
                <xdr:colOff>314325</xdr:colOff>
                <xdr:row>5</xdr:row>
                <xdr:rowOff>19050</xdr:rowOff>
              </to>
            </anchor>
          </objectPr>
        </oleObject>
      </mc:Choice>
      <mc:Fallback>
        <oleObject progId="Equation.3" shapeId="1025" r:id="rId3"/>
      </mc:Fallback>
    </mc:AlternateContent>
    <mc:AlternateContent xmlns:mc="http://schemas.openxmlformats.org/markup-compatibility/2006">
      <mc:Choice Requires="x14">
        <oleObject progId="Equation.3" shapeId="1026" r:id="rId5">
          <objectPr defaultSize="0" autoPict="0" r:id="rId6">
            <anchor moveWithCells="1">
              <from>
                <xdr:col>4</xdr:col>
                <xdr:colOff>19050</xdr:colOff>
                <xdr:row>4</xdr:row>
                <xdr:rowOff>238125</xdr:rowOff>
              </from>
              <to>
                <xdr:col>4</xdr:col>
                <xdr:colOff>314325</xdr:colOff>
                <xdr:row>6</xdr:row>
                <xdr:rowOff>0</xdr:rowOff>
              </to>
            </anchor>
          </objectPr>
        </oleObject>
      </mc:Choice>
      <mc:Fallback>
        <oleObject progId="Equation.3" shapeId="1026" r:id="rId5"/>
      </mc:Fallback>
    </mc:AlternateContent>
    <mc:AlternateContent xmlns:mc="http://schemas.openxmlformats.org/markup-compatibility/2006">
      <mc:Choice Requires="x14">
        <oleObject progId="Equation.3" shapeId="1027" r:id="rId7">
          <objectPr defaultSize="0" r:id="rId8">
            <anchor moveWithCells="1">
              <from>
                <xdr:col>4</xdr:col>
                <xdr:colOff>38100</xdr:colOff>
                <xdr:row>6</xdr:row>
                <xdr:rowOff>47625</xdr:rowOff>
              </from>
              <to>
                <xdr:col>4</xdr:col>
                <xdr:colOff>314325</xdr:colOff>
                <xdr:row>7</xdr:row>
                <xdr:rowOff>0</xdr:rowOff>
              </to>
            </anchor>
          </objectPr>
        </oleObject>
      </mc:Choice>
      <mc:Fallback>
        <oleObject progId="Equation.3" shapeId="1027" r:id="rId7"/>
      </mc:Fallback>
    </mc:AlternateContent>
    <mc:AlternateContent xmlns:mc="http://schemas.openxmlformats.org/markup-compatibility/2006">
      <mc:Choice Requires="x14">
        <oleObject progId="Equation.3" shapeId="1028" r:id="rId9">
          <objectPr defaultSize="0" autoPict="0" r:id="rId10">
            <anchor moveWithCells="1">
              <from>
                <xdr:col>4</xdr:col>
                <xdr:colOff>66675</xdr:colOff>
                <xdr:row>3</xdr:row>
                <xdr:rowOff>104775</xdr:rowOff>
              </from>
              <to>
                <xdr:col>4</xdr:col>
                <xdr:colOff>314325</xdr:colOff>
                <xdr:row>4</xdr:row>
                <xdr:rowOff>0</xdr:rowOff>
              </to>
            </anchor>
          </objectPr>
        </oleObject>
      </mc:Choice>
      <mc:Fallback>
        <oleObject progId="Equation.3" shapeId="1028" r:id="rId9"/>
      </mc:Fallback>
    </mc:AlternateContent>
    <mc:AlternateContent xmlns:mc="http://schemas.openxmlformats.org/markup-compatibility/2006">
      <mc:Choice Requires="x14">
        <oleObject progId="Equation.3" shapeId="1029" r:id="rId11">
          <objectPr defaultSize="0" autoPict="0" r:id="rId12">
            <anchor moveWithCells="1">
              <from>
                <xdr:col>4</xdr:col>
                <xdr:colOff>66675</xdr:colOff>
                <xdr:row>0</xdr:row>
                <xdr:rowOff>76200</xdr:rowOff>
              </from>
              <to>
                <xdr:col>4</xdr:col>
                <xdr:colOff>314325</xdr:colOff>
                <xdr:row>1</xdr:row>
                <xdr:rowOff>9525</xdr:rowOff>
              </to>
            </anchor>
          </objectPr>
        </oleObject>
      </mc:Choice>
      <mc:Fallback>
        <oleObject progId="Equation.3" shapeId="1029" r:id="rId11"/>
      </mc:Fallback>
    </mc:AlternateContent>
    <mc:AlternateContent xmlns:mc="http://schemas.openxmlformats.org/markup-compatibility/2006">
      <mc:Choice Requires="x14">
        <oleObject progId="Equation.3" shapeId="1030" r:id="rId13">
          <objectPr defaultSize="0" autoPict="0" r:id="rId14">
            <anchor moveWithCells="1">
              <from>
                <xdr:col>4</xdr:col>
                <xdr:colOff>47625</xdr:colOff>
                <xdr:row>10</xdr:row>
                <xdr:rowOff>47625</xdr:rowOff>
              </from>
              <to>
                <xdr:col>4</xdr:col>
                <xdr:colOff>314325</xdr:colOff>
                <xdr:row>11</xdr:row>
                <xdr:rowOff>47625</xdr:rowOff>
              </to>
            </anchor>
          </objectPr>
        </oleObject>
      </mc:Choice>
      <mc:Fallback>
        <oleObject progId="Equation.3" shapeId="1030" r:id="rId13"/>
      </mc:Fallback>
    </mc:AlternateContent>
    <mc:AlternateContent xmlns:mc="http://schemas.openxmlformats.org/markup-compatibility/2006">
      <mc:Choice Requires="x14">
        <oleObject progId="Equation.3" shapeId="1031" r:id="rId15">
          <objectPr defaultSize="0" autoPict="0" r:id="rId16">
            <anchor moveWithCells="1">
              <from>
                <xdr:col>4</xdr:col>
                <xdr:colOff>47625</xdr:colOff>
                <xdr:row>12</xdr:row>
                <xdr:rowOff>47625</xdr:rowOff>
              </from>
              <to>
                <xdr:col>4</xdr:col>
                <xdr:colOff>314325</xdr:colOff>
                <xdr:row>13</xdr:row>
                <xdr:rowOff>57150</xdr:rowOff>
              </to>
            </anchor>
          </objectPr>
        </oleObject>
      </mc:Choice>
      <mc:Fallback>
        <oleObject progId="Equation.3" shapeId="1031" r:id="rId15"/>
      </mc:Fallback>
    </mc:AlternateContent>
    <mc:AlternateContent xmlns:mc="http://schemas.openxmlformats.org/markup-compatibility/2006">
      <mc:Choice Requires="x14">
        <oleObject progId="Equation.3" shapeId="1032" r:id="rId17">
          <objectPr defaultSize="0" autoPict="0" r:id="rId18">
            <anchor moveWithCells="1">
              <from>
                <xdr:col>3</xdr:col>
                <xdr:colOff>571500</xdr:colOff>
                <xdr:row>11</xdr:row>
                <xdr:rowOff>0</xdr:rowOff>
              </from>
              <to>
                <xdr:col>4</xdr:col>
                <xdr:colOff>314325</xdr:colOff>
                <xdr:row>12</xdr:row>
                <xdr:rowOff>19050</xdr:rowOff>
              </to>
            </anchor>
          </objectPr>
        </oleObject>
      </mc:Choice>
      <mc:Fallback>
        <oleObject progId="Equation.3" shapeId="1032" r:id="rId17"/>
      </mc:Fallback>
    </mc:AlternateContent>
    <mc:AlternateContent xmlns:mc="http://schemas.openxmlformats.org/markup-compatibility/2006">
      <mc:Choice Requires="x14">
        <oleObject progId="Equation.3" shapeId="1033" r:id="rId19">
          <objectPr defaultSize="0" autoPict="0" r:id="rId4">
            <anchor moveWithCells="1">
              <from>
                <xdr:col>11</xdr:col>
                <xdr:colOff>76200</xdr:colOff>
                <xdr:row>4</xdr:row>
                <xdr:rowOff>66675</xdr:rowOff>
              </from>
              <to>
                <xdr:col>11</xdr:col>
                <xdr:colOff>314325</xdr:colOff>
                <xdr:row>5</xdr:row>
                <xdr:rowOff>19050</xdr:rowOff>
              </to>
            </anchor>
          </objectPr>
        </oleObject>
      </mc:Choice>
      <mc:Fallback>
        <oleObject progId="Equation.3" shapeId="1033" r:id="rId19"/>
      </mc:Fallback>
    </mc:AlternateContent>
    <mc:AlternateContent xmlns:mc="http://schemas.openxmlformats.org/markup-compatibility/2006">
      <mc:Choice Requires="x14">
        <oleObject progId="Equation.3" shapeId="1034" r:id="rId20">
          <objectPr defaultSize="0" autoPict="0" r:id="rId6">
            <anchor moveWithCells="1">
              <from>
                <xdr:col>11</xdr:col>
                <xdr:colOff>19050</xdr:colOff>
                <xdr:row>4</xdr:row>
                <xdr:rowOff>238125</xdr:rowOff>
              </from>
              <to>
                <xdr:col>11</xdr:col>
                <xdr:colOff>314325</xdr:colOff>
                <xdr:row>6</xdr:row>
                <xdr:rowOff>0</xdr:rowOff>
              </to>
            </anchor>
          </objectPr>
        </oleObject>
      </mc:Choice>
      <mc:Fallback>
        <oleObject progId="Equation.3" shapeId="1034" r:id="rId20"/>
      </mc:Fallback>
    </mc:AlternateContent>
    <mc:AlternateContent xmlns:mc="http://schemas.openxmlformats.org/markup-compatibility/2006">
      <mc:Choice Requires="x14">
        <oleObject progId="Equation.3" shapeId="1035" r:id="rId21">
          <objectPr defaultSize="0" r:id="rId8">
            <anchor moveWithCells="1">
              <from>
                <xdr:col>11</xdr:col>
                <xdr:colOff>38100</xdr:colOff>
                <xdr:row>6</xdr:row>
                <xdr:rowOff>47625</xdr:rowOff>
              </from>
              <to>
                <xdr:col>11</xdr:col>
                <xdr:colOff>314325</xdr:colOff>
                <xdr:row>7</xdr:row>
                <xdr:rowOff>0</xdr:rowOff>
              </to>
            </anchor>
          </objectPr>
        </oleObject>
      </mc:Choice>
      <mc:Fallback>
        <oleObject progId="Equation.3" shapeId="1035" r:id="rId21"/>
      </mc:Fallback>
    </mc:AlternateContent>
    <mc:AlternateContent xmlns:mc="http://schemas.openxmlformats.org/markup-compatibility/2006">
      <mc:Choice Requires="x14">
        <oleObject progId="Equation.3" shapeId="1036" r:id="rId22">
          <objectPr defaultSize="0" autoPict="0" r:id="rId10">
            <anchor moveWithCells="1">
              <from>
                <xdr:col>11</xdr:col>
                <xdr:colOff>66675</xdr:colOff>
                <xdr:row>3</xdr:row>
                <xdr:rowOff>104775</xdr:rowOff>
              </from>
              <to>
                <xdr:col>11</xdr:col>
                <xdr:colOff>314325</xdr:colOff>
                <xdr:row>4</xdr:row>
                <xdr:rowOff>0</xdr:rowOff>
              </to>
            </anchor>
          </objectPr>
        </oleObject>
      </mc:Choice>
      <mc:Fallback>
        <oleObject progId="Equation.3" shapeId="1036" r:id="rId22"/>
      </mc:Fallback>
    </mc:AlternateContent>
    <mc:AlternateContent xmlns:mc="http://schemas.openxmlformats.org/markup-compatibility/2006">
      <mc:Choice Requires="x14">
        <oleObject progId="Equation.3" shapeId="1037" r:id="rId23">
          <objectPr defaultSize="0" autoPict="0" r:id="rId14">
            <anchor moveWithCells="1">
              <from>
                <xdr:col>11</xdr:col>
                <xdr:colOff>47625</xdr:colOff>
                <xdr:row>10</xdr:row>
                <xdr:rowOff>47625</xdr:rowOff>
              </from>
              <to>
                <xdr:col>11</xdr:col>
                <xdr:colOff>314325</xdr:colOff>
                <xdr:row>11</xdr:row>
                <xdr:rowOff>47625</xdr:rowOff>
              </to>
            </anchor>
          </objectPr>
        </oleObject>
      </mc:Choice>
      <mc:Fallback>
        <oleObject progId="Equation.3" shapeId="1037" r:id="rId23"/>
      </mc:Fallback>
    </mc:AlternateContent>
    <mc:AlternateContent xmlns:mc="http://schemas.openxmlformats.org/markup-compatibility/2006">
      <mc:Choice Requires="x14">
        <oleObject progId="Equation.3" shapeId="1039" r:id="rId24">
          <objectPr defaultSize="0" autoPict="0" r:id="rId18">
            <anchor moveWithCells="1">
              <from>
                <xdr:col>10</xdr:col>
                <xdr:colOff>571500</xdr:colOff>
                <xdr:row>11</xdr:row>
                <xdr:rowOff>0</xdr:rowOff>
              </from>
              <to>
                <xdr:col>11</xdr:col>
                <xdr:colOff>142875</xdr:colOff>
                <xdr:row>12</xdr:row>
                <xdr:rowOff>19050</xdr:rowOff>
              </to>
            </anchor>
          </objectPr>
        </oleObject>
      </mc:Choice>
      <mc:Fallback>
        <oleObject progId="Equation.3" shapeId="1039" r:id="rId24"/>
      </mc:Fallback>
    </mc:AlternateContent>
    <mc:AlternateContent xmlns:mc="http://schemas.openxmlformats.org/markup-compatibility/2006">
      <mc:Choice Requires="x14">
        <oleObject progId="Equation.3" shapeId="1040" r:id="rId25">
          <objectPr defaultSize="0" autoPict="0" r:id="rId12">
            <anchor moveWithCells="1">
              <from>
                <xdr:col>11</xdr:col>
                <xdr:colOff>66675</xdr:colOff>
                <xdr:row>0</xdr:row>
                <xdr:rowOff>76200</xdr:rowOff>
              </from>
              <to>
                <xdr:col>11</xdr:col>
                <xdr:colOff>314325</xdr:colOff>
                <xdr:row>1</xdr:row>
                <xdr:rowOff>9525</xdr:rowOff>
              </to>
            </anchor>
          </objectPr>
        </oleObject>
      </mc:Choice>
      <mc:Fallback>
        <oleObject progId="Equation.3" shapeId="1040" r:id="rId25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/>
  <dimension ref="A1:G33"/>
  <sheetViews>
    <sheetView zoomScaleNormal="100" workbookViewId="0">
      <selection activeCell="B6" sqref="B6"/>
    </sheetView>
  </sheetViews>
  <sheetFormatPr baseColWidth="10" defaultRowHeight="15" x14ac:dyDescent="0.25"/>
  <cols>
    <col min="1" max="1" width="41.42578125" customWidth="1"/>
    <col min="2" max="2" width="13" customWidth="1"/>
    <col min="3" max="3" width="7.140625" customWidth="1"/>
    <col min="4" max="4" width="44" customWidth="1"/>
    <col min="5" max="5" width="12.5703125" customWidth="1"/>
    <col min="6" max="6" width="14.85546875" customWidth="1"/>
  </cols>
  <sheetData>
    <row r="1" spans="1:7" ht="18.75" x14ac:dyDescent="0.35">
      <c r="A1" s="233" t="s">
        <v>137</v>
      </c>
      <c r="B1" s="254">
        <v>0.8</v>
      </c>
      <c r="G1" s="264" t="s">
        <v>145</v>
      </c>
    </row>
    <row r="2" spans="1:7" ht="15.75" x14ac:dyDescent="0.25">
      <c r="A2" s="234"/>
      <c r="B2" s="245"/>
    </row>
    <row r="3" spans="1:7" ht="15.75" x14ac:dyDescent="0.25">
      <c r="A3" s="235" t="s">
        <v>138</v>
      </c>
      <c r="B3" s="246">
        <f>Punktschätzungen!C17</f>
        <v>0.67</v>
      </c>
    </row>
    <row r="4" spans="1:7" x14ac:dyDescent="0.25">
      <c r="A4" s="236"/>
      <c r="B4" s="237"/>
    </row>
    <row r="5" spans="1:7" ht="18" x14ac:dyDescent="0.35">
      <c r="A5" s="238" t="s">
        <v>139</v>
      </c>
      <c r="B5" s="247"/>
    </row>
    <row r="6" spans="1:7" x14ac:dyDescent="0.25">
      <c r="A6" s="239" t="s">
        <v>118</v>
      </c>
      <c r="B6" s="237">
        <f>ROUND(ABS(B3-B1)/SQRT(B1*(1-B1)/Punktschätzungen!B2),4)</f>
        <v>2.7191000000000001</v>
      </c>
    </row>
    <row r="7" spans="1:7" x14ac:dyDescent="0.25">
      <c r="A7" s="239" t="s">
        <v>119</v>
      </c>
      <c r="B7" s="252">
        <v>0.05</v>
      </c>
    </row>
    <row r="8" spans="1:7" ht="18" x14ac:dyDescent="0.35">
      <c r="A8" s="239" t="s">
        <v>120</v>
      </c>
      <c r="B8" s="250">
        <f>ROUND(NORMINV(1-B7/2,0,1),4)</f>
        <v>1.96</v>
      </c>
    </row>
    <row r="9" spans="1:7" x14ac:dyDescent="0.25">
      <c r="A9" s="240" t="s">
        <v>122</v>
      </c>
      <c r="B9" s="241" t="str">
        <f>IF(B6&gt;B8,"Verwerfen","Beibehalten")</f>
        <v>Verwerfen</v>
      </c>
    </row>
    <row r="10" spans="1:7" x14ac:dyDescent="0.25">
      <c r="A10" s="239"/>
      <c r="B10" s="248"/>
    </row>
    <row r="11" spans="1:7" ht="18" x14ac:dyDescent="0.35">
      <c r="A11" s="238" t="s">
        <v>140</v>
      </c>
      <c r="B11" s="247"/>
    </row>
    <row r="12" spans="1:7" x14ac:dyDescent="0.25">
      <c r="A12" s="239" t="s">
        <v>118</v>
      </c>
      <c r="B12" s="237">
        <f>ROUND((B3-B1)/SQRT(B1*(1-B1)/Punktschätzungen!B2),4)</f>
        <v>-2.7191000000000001</v>
      </c>
    </row>
    <row r="13" spans="1:7" x14ac:dyDescent="0.25">
      <c r="A13" s="239" t="s">
        <v>119</v>
      </c>
      <c r="B13" s="252">
        <v>0.05</v>
      </c>
    </row>
    <row r="14" spans="1:7" ht="18" x14ac:dyDescent="0.35">
      <c r="A14" s="239" t="s">
        <v>124</v>
      </c>
      <c r="B14" s="250">
        <f>ROUND(NORMINV(1-B13,0,1),4)</f>
        <v>1.6449</v>
      </c>
    </row>
    <row r="15" spans="1:7" x14ac:dyDescent="0.25">
      <c r="A15" s="240" t="s">
        <v>122</v>
      </c>
      <c r="B15" s="241" t="str">
        <f>IF(B12&gt;B14,"Verwerfen","Beibehalten")</f>
        <v>Beibehalten</v>
      </c>
    </row>
    <row r="16" spans="1:7" x14ac:dyDescent="0.25">
      <c r="A16" s="236"/>
      <c r="B16" s="237"/>
    </row>
    <row r="17" spans="1:2" ht="18" x14ac:dyDescent="0.35">
      <c r="A17" s="238" t="s">
        <v>141</v>
      </c>
      <c r="B17" s="249"/>
    </row>
    <row r="18" spans="1:2" x14ac:dyDescent="0.25">
      <c r="A18" s="239" t="s">
        <v>118</v>
      </c>
      <c r="B18" s="237">
        <f>ROUND((B3-B1)/SQRT(B1*(1-B1)/Punktschätzungen!B2),4)</f>
        <v>-2.7191000000000001</v>
      </c>
    </row>
    <row r="19" spans="1:2" x14ac:dyDescent="0.25">
      <c r="A19" s="239" t="s">
        <v>119</v>
      </c>
      <c r="B19" s="252">
        <v>0.05</v>
      </c>
    </row>
    <row r="20" spans="1:2" ht="18" x14ac:dyDescent="0.35">
      <c r="A20" s="239" t="s">
        <v>127</v>
      </c>
      <c r="B20" s="237">
        <f>ROUND(NORMINV(B19,0,1),4)</f>
        <v>-1.6449</v>
      </c>
    </row>
    <row r="21" spans="1:2" ht="15.75" thickBot="1" x14ac:dyDescent="0.3">
      <c r="A21" s="242" t="s">
        <v>122</v>
      </c>
      <c r="B21" s="243" t="str">
        <f>IF(B18&lt;B20,"Verwerfen","Beibehalten")</f>
        <v>Verwerfen</v>
      </c>
    </row>
    <row r="23" spans="1:2" ht="15.75" thickBot="1" x14ac:dyDescent="0.3"/>
    <row r="24" spans="1:2" ht="15.75" x14ac:dyDescent="0.25">
      <c r="A24" s="233" t="s">
        <v>154</v>
      </c>
      <c r="B24" s="244"/>
    </row>
    <row r="25" spans="1:2" s="258" customFormat="1" x14ac:dyDescent="0.25">
      <c r="A25" s="255" t="s">
        <v>201</v>
      </c>
      <c r="B25" s="337">
        <f>Punktschätzungen!C35</f>
        <v>0.65853658536585369</v>
      </c>
    </row>
    <row r="26" spans="1:2" s="258" customFormat="1" x14ac:dyDescent="0.25">
      <c r="A26" s="256" t="s">
        <v>202</v>
      </c>
      <c r="B26" s="338">
        <f>Punktschätzungen!C53</f>
        <v>0.68965517241379315</v>
      </c>
    </row>
    <row r="27" spans="1:2" s="258" customFormat="1" x14ac:dyDescent="0.25">
      <c r="A27" s="257" t="s">
        <v>142</v>
      </c>
      <c r="B27" s="339">
        <f>ROUND(B25-B26,2)</f>
        <v>-0.03</v>
      </c>
    </row>
    <row r="28" spans="1:2" s="258" customFormat="1" x14ac:dyDescent="0.25">
      <c r="A28" s="257" t="s">
        <v>155</v>
      </c>
      <c r="B28" s="339">
        <f>(Punktschätzungen!B20*Punktschätzungen!C35+Punktschätzungen!B38*Punktschätzungen!C53)/(Punktschätzungen!B20+Punktschätzungen!B38)</f>
        <v>0.67142857142857137</v>
      </c>
    </row>
    <row r="29" spans="1:2" s="258" customFormat="1" x14ac:dyDescent="0.25">
      <c r="A29" s="257" t="s">
        <v>143</v>
      </c>
      <c r="B29" s="340">
        <f>ROUND(SQRT((1/Punktschätzungen!B20+1/Punktschätzungen!B38)*'Hypothesentests Geschlecht'!B28*(1-'Hypothesentests Geschlecht'!B28)),3)</f>
        <v>0.114</v>
      </c>
    </row>
    <row r="30" spans="1:2" x14ac:dyDescent="0.25">
      <c r="A30" s="239" t="s">
        <v>118</v>
      </c>
      <c r="B30" s="237">
        <f>ROUND(ABS(B27)/B29,4)</f>
        <v>0.26319999999999999</v>
      </c>
    </row>
    <row r="31" spans="1:2" x14ac:dyDescent="0.25">
      <c r="A31" s="239" t="s">
        <v>119</v>
      </c>
      <c r="B31" s="252">
        <v>0.05</v>
      </c>
    </row>
    <row r="32" spans="1:2" ht="18" x14ac:dyDescent="0.35">
      <c r="A32" s="239" t="s">
        <v>120</v>
      </c>
      <c r="B32" s="250">
        <f>ROUND(NORMINV(1-B31/2,0,1),4)</f>
        <v>1.96</v>
      </c>
    </row>
    <row r="33" spans="1:2" ht="15.75" thickBot="1" x14ac:dyDescent="0.3">
      <c r="A33" s="242" t="s">
        <v>122</v>
      </c>
      <c r="B33" s="243" t="str">
        <f>IF(B30&gt;B32,"Verwerfen","Beibehalten")</f>
        <v>Beibehalten</v>
      </c>
    </row>
  </sheetData>
  <sheetProtection sheet="1" objects="1" scenarios="1"/>
  <conditionalFormatting sqref="B33 B9 B15 B21">
    <cfRule type="expression" dxfId="9" priority="1">
      <formula>IF(B9&lt;&gt;"Beibehalten",TRUE)</formula>
    </cfRule>
    <cfRule type="expression" dxfId="8" priority="2">
      <formula>IF(B9="Beibehalten",TRUE)</formula>
    </cfRule>
  </conditionalFormatting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/>
  <dimension ref="A1:G33"/>
  <sheetViews>
    <sheetView zoomScaleNormal="100" workbookViewId="0">
      <selection activeCell="B8" sqref="B8"/>
    </sheetView>
  </sheetViews>
  <sheetFormatPr baseColWidth="10" defaultRowHeight="15" x14ac:dyDescent="0.25"/>
  <cols>
    <col min="1" max="1" width="41.42578125" customWidth="1"/>
    <col min="2" max="2" width="13" customWidth="1"/>
    <col min="3" max="3" width="7.140625" customWidth="1"/>
    <col min="4" max="4" width="44" customWidth="1"/>
    <col min="5" max="5" width="12.5703125" customWidth="1"/>
    <col min="6" max="6" width="14.85546875" customWidth="1"/>
  </cols>
  <sheetData>
    <row r="1" spans="1:7" ht="18.75" x14ac:dyDescent="0.35">
      <c r="A1" s="233" t="s">
        <v>137</v>
      </c>
      <c r="B1" s="254">
        <v>0.4</v>
      </c>
      <c r="G1" s="264" t="s">
        <v>145</v>
      </c>
    </row>
    <row r="2" spans="1:7" ht="15.75" x14ac:dyDescent="0.25">
      <c r="A2" s="234"/>
      <c r="B2" s="245"/>
    </row>
    <row r="3" spans="1:7" ht="15.75" x14ac:dyDescent="0.25">
      <c r="A3" s="235" t="s">
        <v>138</v>
      </c>
      <c r="B3" s="246">
        <f>Punktschätzungen!C14</f>
        <v>0.24</v>
      </c>
    </row>
    <row r="4" spans="1:7" x14ac:dyDescent="0.25">
      <c r="A4" s="236"/>
      <c r="B4" s="237"/>
    </row>
    <row r="5" spans="1:7" ht="18" x14ac:dyDescent="0.35">
      <c r="A5" s="238" t="s">
        <v>139</v>
      </c>
      <c r="B5" s="247"/>
    </row>
    <row r="6" spans="1:7" x14ac:dyDescent="0.25">
      <c r="A6" s="239" t="s">
        <v>118</v>
      </c>
      <c r="B6" s="237">
        <f>ROUND(ABS(B3-B1)/SQRT(B1*(1-B1)/Punktschätzungen!B2),4)</f>
        <v>2.7324999999999999</v>
      </c>
    </row>
    <row r="7" spans="1:7" x14ac:dyDescent="0.25">
      <c r="A7" s="239" t="s">
        <v>119</v>
      </c>
      <c r="B7" s="252">
        <v>0.05</v>
      </c>
    </row>
    <row r="8" spans="1:7" ht="18" x14ac:dyDescent="0.35">
      <c r="A8" s="239" t="s">
        <v>120</v>
      </c>
      <c r="B8" s="250">
        <f>ROUND(NORMINV(1-B7/2,0,1),4)</f>
        <v>1.96</v>
      </c>
    </row>
    <row r="9" spans="1:7" x14ac:dyDescent="0.25">
      <c r="A9" s="240" t="s">
        <v>122</v>
      </c>
      <c r="B9" s="241" t="str">
        <f>IF(B6&gt;B8,"Verwerfen","Beibehalten")</f>
        <v>Verwerfen</v>
      </c>
    </row>
    <row r="10" spans="1:7" x14ac:dyDescent="0.25">
      <c r="A10" s="239"/>
      <c r="B10" s="248"/>
    </row>
    <row r="11" spans="1:7" ht="18" x14ac:dyDescent="0.35">
      <c r="A11" s="238" t="s">
        <v>140</v>
      </c>
      <c r="B11" s="247"/>
    </row>
    <row r="12" spans="1:7" x14ac:dyDescent="0.25">
      <c r="A12" s="239" t="s">
        <v>118</v>
      </c>
      <c r="B12" s="237">
        <f>ROUND((B3-B1)/SQRT(B1*(1-B1)/Punktschätzungen!B2),4)</f>
        <v>-2.7324999999999999</v>
      </c>
    </row>
    <row r="13" spans="1:7" x14ac:dyDescent="0.25">
      <c r="A13" s="239" t="s">
        <v>119</v>
      </c>
      <c r="B13" s="252">
        <v>0.05</v>
      </c>
    </row>
    <row r="14" spans="1:7" ht="18" x14ac:dyDescent="0.35">
      <c r="A14" s="239" t="s">
        <v>124</v>
      </c>
      <c r="B14" s="250">
        <f>ROUND(NORMINV(1-B13,0,1),4)</f>
        <v>1.6449</v>
      </c>
    </row>
    <row r="15" spans="1:7" x14ac:dyDescent="0.25">
      <c r="A15" s="240" t="s">
        <v>122</v>
      </c>
      <c r="B15" s="241" t="str">
        <f>IF(B12&gt;B14,"Verwerfen","Beibehalten")</f>
        <v>Beibehalten</v>
      </c>
    </row>
    <row r="16" spans="1:7" x14ac:dyDescent="0.25">
      <c r="A16" s="236"/>
      <c r="B16" s="237"/>
    </row>
    <row r="17" spans="1:2" ht="18" x14ac:dyDescent="0.35">
      <c r="A17" s="238" t="s">
        <v>141</v>
      </c>
      <c r="B17" s="249"/>
    </row>
    <row r="18" spans="1:2" x14ac:dyDescent="0.25">
      <c r="A18" s="239" t="s">
        <v>118</v>
      </c>
      <c r="B18" s="237">
        <f>ROUND((B3-B1)/SQRT(B1*(1-B1)/Punktschätzungen!B2),4)</f>
        <v>-2.7324999999999999</v>
      </c>
    </row>
    <row r="19" spans="1:2" x14ac:dyDescent="0.25">
      <c r="A19" s="239" t="s">
        <v>119</v>
      </c>
      <c r="B19" s="252">
        <v>0.05</v>
      </c>
    </row>
    <row r="20" spans="1:2" ht="18" x14ac:dyDescent="0.35">
      <c r="A20" s="239" t="s">
        <v>127</v>
      </c>
      <c r="B20" s="237">
        <f>ROUND(NORMINV(B19,0,1),4)</f>
        <v>-1.6449</v>
      </c>
    </row>
    <row r="21" spans="1:2" ht="15.75" thickBot="1" x14ac:dyDescent="0.3">
      <c r="A21" s="242" t="s">
        <v>122</v>
      </c>
      <c r="B21" s="243" t="str">
        <f>IF(B18&lt;B20,"Verwerfen","Beibehalten")</f>
        <v>Verwerfen</v>
      </c>
    </row>
    <row r="23" spans="1:2" ht="15.75" thickBot="1" x14ac:dyDescent="0.3"/>
    <row r="24" spans="1:2" ht="15.75" x14ac:dyDescent="0.25">
      <c r="A24" s="233" t="s">
        <v>154</v>
      </c>
      <c r="B24" s="244"/>
    </row>
    <row r="25" spans="1:2" s="258" customFormat="1" x14ac:dyDescent="0.25">
      <c r="A25" s="255" t="s">
        <v>201</v>
      </c>
      <c r="B25" s="337">
        <f>Punktschätzungen!C32</f>
        <v>0.21951219512195122</v>
      </c>
    </row>
    <row r="26" spans="1:2" s="258" customFormat="1" x14ac:dyDescent="0.25">
      <c r="A26" s="256" t="s">
        <v>202</v>
      </c>
      <c r="B26" s="338">
        <f>Punktschätzungen!C50</f>
        <v>0.27586206896551724</v>
      </c>
    </row>
    <row r="27" spans="1:2" s="258" customFormat="1" x14ac:dyDescent="0.25">
      <c r="A27" s="257" t="s">
        <v>142</v>
      </c>
      <c r="B27" s="339">
        <f>ROUND(B25-B26,2)</f>
        <v>-0.06</v>
      </c>
    </row>
    <row r="28" spans="1:2" s="258" customFormat="1" x14ac:dyDescent="0.25">
      <c r="A28" s="257" t="s">
        <v>155</v>
      </c>
      <c r="B28" s="339">
        <f>(Punktschätzungen!B20*Punktschätzungen!C32+Punktschätzungen!B38*Punktschätzungen!C50)/(Punktschätzungen!B20+Punktschätzungen!B38)</f>
        <v>0.24285714285714285</v>
      </c>
    </row>
    <row r="29" spans="1:2" s="258" customFormat="1" x14ac:dyDescent="0.25">
      <c r="A29" s="257" t="s">
        <v>143</v>
      </c>
      <c r="B29" s="340">
        <f>ROUND(SQRT((1/Punktschätzungen!B20+1/Punktschätzungen!B38)*'Hypothesentests Berufsausb.'!B28*(1-'Hypothesentests Berufsausb.'!B28)),3)</f>
        <v>0.104</v>
      </c>
    </row>
    <row r="30" spans="1:2" x14ac:dyDescent="0.25">
      <c r="A30" s="239" t="s">
        <v>118</v>
      </c>
      <c r="B30" s="237">
        <f>ROUND(ABS(B27)/B29,4)</f>
        <v>0.57689999999999997</v>
      </c>
    </row>
    <row r="31" spans="1:2" x14ac:dyDescent="0.25">
      <c r="A31" s="239" t="s">
        <v>119</v>
      </c>
      <c r="B31" s="252">
        <v>0.01</v>
      </c>
    </row>
    <row r="32" spans="1:2" ht="18" x14ac:dyDescent="0.35">
      <c r="A32" s="239" t="s">
        <v>120</v>
      </c>
      <c r="B32" s="250">
        <f>ROUND(NORMINV(1-B31/2,0,1),4)</f>
        <v>2.5758000000000001</v>
      </c>
    </row>
    <row r="33" spans="1:2" ht="15.75" thickBot="1" x14ac:dyDescent="0.3">
      <c r="A33" s="242" t="s">
        <v>122</v>
      </c>
      <c r="B33" s="243" t="str">
        <f>IF(B30&gt;B32,"Verwerfen","Beibehalten")</f>
        <v>Beibehalten</v>
      </c>
    </row>
  </sheetData>
  <sheetProtection sheet="1" objects="1" scenarios="1"/>
  <conditionalFormatting sqref="B33 B9 B15 B21">
    <cfRule type="expression" dxfId="7" priority="1">
      <formula>IF(B9&lt;&gt;"Beibehalten",TRUE)</formula>
    </cfRule>
    <cfRule type="expression" dxfId="6" priority="2">
      <formula>IF(B9="Beibehalten",TRUE)</formula>
    </cfRule>
  </conditionalFormatting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6"/>
  <dimension ref="A1:G69"/>
  <sheetViews>
    <sheetView topLeftCell="A33" zoomScaleNormal="100" workbookViewId="0">
      <selection activeCell="B58" sqref="B58"/>
    </sheetView>
  </sheetViews>
  <sheetFormatPr baseColWidth="10" defaultColWidth="11.42578125" defaultRowHeight="15" x14ac:dyDescent="0.25"/>
  <cols>
    <col min="1" max="1" width="41.42578125" style="265" customWidth="1"/>
    <col min="2" max="2" width="13" style="265" customWidth="1"/>
    <col min="3" max="3" width="7.140625" style="265" customWidth="1"/>
    <col min="4" max="4" width="44" style="265" customWidth="1"/>
    <col min="5" max="5" width="12.5703125" style="265" customWidth="1"/>
    <col min="6" max="6" width="14.85546875" style="265" customWidth="1"/>
    <col min="7" max="16384" width="11.42578125" style="265"/>
  </cols>
  <sheetData>
    <row r="1" spans="1:7" ht="18.75" x14ac:dyDescent="0.35">
      <c r="A1" s="259" t="s">
        <v>112</v>
      </c>
      <c r="B1" s="253">
        <v>180</v>
      </c>
      <c r="C1" s="260"/>
      <c r="D1" s="261"/>
      <c r="E1" s="254">
        <v>180</v>
      </c>
      <c r="F1" s="263"/>
      <c r="G1" s="264" t="s">
        <v>145</v>
      </c>
    </row>
    <row r="2" spans="1:7" s="263" customFormat="1" ht="15.75" x14ac:dyDescent="0.25">
      <c r="A2" s="266"/>
      <c r="B2" s="267"/>
      <c r="C2" s="268"/>
      <c r="D2" s="269"/>
      <c r="E2" s="270"/>
    </row>
    <row r="3" spans="1:7" s="263" customFormat="1" ht="15.75" x14ac:dyDescent="0.25">
      <c r="A3" s="271" t="s">
        <v>113</v>
      </c>
      <c r="B3" s="272">
        <f>Punktschätzungen!H4</f>
        <v>176.07</v>
      </c>
      <c r="C3" s="273"/>
      <c r="D3" s="274"/>
      <c r="E3" s="311">
        <f>Punktschätzungen!H40</f>
        <v>176.93103448275863</v>
      </c>
    </row>
    <row r="4" spans="1:7" x14ac:dyDescent="0.25">
      <c r="A4" s="275"/>
      <c r="B4" s="276"/>
      <c r="C4" s="276"/>
      <c r="D4" s="276"/>
      <c r="E4" s="277"/>
    </row>
    <row r="5" spans="1:7" s="283" customFormat="1" ht="16.5" thickBot="1" x14ac:dyDescent="0.3">
      <c r="A5" s="278" t="s">
        <v>114</v>
      </c>
      <c r="B5" s="279"/>
      <c r="C5" s="280"/>
      <c r="D5" s="279" t="s">
        <v>191</v>
      </c>
      <c r="E5" s="281"/>
      <c r="F5" s="282"/>
      <c r="G5" s="282"/>
    </row>
    <row r="6" spans="1:7" ht="18.75" thickTop="1" x14ac:dyDescent="0.35">
      <c r="A6" s="284" t="s">
        <v>116</v>
      </c>
      <c r="B6" s="285"/>
      <c r="C6" s="286"/>
      <c r="D6" s="287" t="s">
        <v>117</v>
      </c>
      <c r="E6" s="288"/>
      <c r="F6" s="263"/>
      <c r="G6" s="263"/>
    </row>
    <row r="7" spans="1:7" x14ac:dyDescent="0.25">
      <c r="A7" s="289" t="s">
        <v>118</v>
      </c>
      <c r="B7" s="276">
        <f>ROUND(ABS(B3-B1)/(SQRT(Punktschätzungen!H6/Punktschätzungen!B2)),4)</f>
        <v>3.4481999999999999</v>
      </c>
      <c r="C7" s="286"/>
      <c r="D7" s="290" t="s">
        <v>118</v>
      </c>
      <c r="E7" s="291">
        <f>ROUND(ABS(E3-E1)/(SQRT(Punktschätzungen!H42/Punktschätzungen!B38)),4)</f>
        <v>1.8066</v>
      </c>
      <c r="F7" s="292"/>
      <c r="G7" s="263"/>
    </row>
    <row r="8" spans="1:7" x14ac:dyDescent="0.25">
      <c r="A8" s="289" t="s">
        <v>119</v>
      </c>
      <c r="B8" s="251">
        <v>0.1</v>
      </c>
      <c r="C8" s="286"/>
      <c r="D8" s="290" t="s">
        <v>119</v>
      </c>
      <c r="E8" s="252">
        <v>0.05</v>
      </c>
      <c r="F8" s="292"/>
      <c r="G8" s="263"/>
    </row>
    <row r="9" spans="1:7" ht="18" x14ac:dyDescent="0.35">
      <c r="A9" s="289" t="s">
        <v>120</v>
      </c>
      <c r="B9" s="293">
        <f>ROUND(NORMINV(1-B8/2,0,1),4)</f>
        <v>1.6449</v>
      </c>
      <c r="C9" s="294"/>
      <c r="D9" s="290" t="s">
        <v>121</v>
      </c>
      <c r="E9" s="295">
        <f>ROUND(TINV(E8,Punktschätzungen!B38-1),3)</f>
        <v>2.048</v>
      </c>
      <c r="F9" s="263"/>
      <c r="G9" s="263"/>
    </row>
    <row r="10" spans="1:7" x14ac:dyDescent="0.25">
      <c r="A10" s="296" t="s">
        <v>122</v>
      </c>
      <c r="B10" s="297" t="str">
        <f>IF(B7&gt;B9,"Verwerfen","Beibehalten")</f>
        <v>Verwerfen</v>
      </c>
      <c r="C10" s="286"/>
      <c r="D10" s="297" t="s">
        <v>122</v>
      </c>
      <c r="E10" s="298" t="str">
        <f>IF(E7&gt;E9,"Verwerfen","Beibehalten")</f>
        <v>Beibehalten</v>
      </c>
      <c r="F10" s="263"/>
      <c r="G10" s="263"/>
    </row>
    <row r="11" spans="1:7" x14ac:dyDescent="0.25">
      <c r="A11" s="289"/>
      <c r="B11" s="299"/>
      <c r="C11" s="286"/>
      <c r="D11" s="290"/>
      <c r="E11" s="291"/>
      <c r="F11" s="263"/>
      <c r="G11" s="263"/>
    </row>
    <row r="12" spans="1:7" ht="18" x14ac:dyDescent="0.35">
      <c r="A12" s="284" t="s">
        <v>123</v>
      </c>
      <c r="B12" s="285"/>
      <c r="C12" s="286"/>
      <c r="D12" s="287" t="s">
        <v>123</v>
      </c>
      <c r="E12" s="300"/>
      <c r="F12" s="301"/>
      <c r="G12" s="263"/>
    </row>
    <row r="13" spans="1:7" x14ac:dyDescent="0.25">
      <c r="A13" s="289" t="s">
        <v>118</v>
      </c>
      <c r="B13" s="276">
        <f>ROUND((B3-B1)/(SQRT(Punktschätzungen!H6/Punktschätzungen!B2)),4)</f>
        <v>-3.4481999999999999</v>
      </c>
      <c r="C13" s="286"/>
      <c r="D13" s="290" t="s">
        <v>118</v>
      </c>
      <c r="E13" s="291">
        <f>ROUND((E3-E1)/(SQRT(Punktschätzungen!H42/Punktschätzungen!B38)),4)</f>
        <v>-1.8066</v>
      </c>
      <c r="F13" s="302"/>
      <c r="G13" s="263"/>
    </row>
    <row r="14" spans="1:7" x14ac:dyDescent="0.25">
      <c r="A14" s="289" t="s">
        <v>119</v>
      </c>
      <c r="B14" s="251">
        <v>0.05</v>
      </c>
      <c r="C14" s="286"/>
      <c r="D14" s="290" t="s">
        <v>119</v>
      </c>
      <c r="E14" s="252">
        <v>0.05</v>
      </c>
      <c r="F14" s="263"/>
      <c r="G14" s="263"/>
    </row>
    <row r="15" spans="1:7" ht="18" x14ac:dyDescent="0.35">
      <c r="A15" s="289" t="s">
        <v>124</v>
      </c>
      <c r="B15" s="293">
        <f>ROUND(NORMINV(1-B14,0,1),4)</f>
        <v>1.6449</v>
      </c>
      <c r="C15" s="286"/>
      <c r="D15" s="290" t="s">
        <v>125</v>
      </c>
      <c r="E15" s="295">
        <f>ROUND(TINV(2*E14,Punktschätzungen!B38-1),3)</f>
        <v>1.7010000000000001</v>
      </c>
      <c r="F15" s="263"/>
      <c r="G15" s="263"/>
    </row>
    <row r="16" spans="1:7" x14ac:dyDescent="0.25">
      <c r="A16" s="296" t="s">
        <v>122</v>
      </c>
      <c r="B16" s="297" t="str">
        <f>IF(B13&gt;B15,"Verwerfen","Beibehalten")</f>
        <v>Beibehalten</v>
      </c>
      <c r="C16" s="286"/>
      <c r="D16" s="297" t="s">
        <v>122</v>
      </c>
      <c r="E16" s="298" t="str">
        <f>IF(E13&gt;E15,"Verwerfen","Beibehalten")</f>
        <v>Beibehalten</v>
      </c>
      <c r="F16" s="263"/>
      <c r="G16" s="263"/>
    </row>
    <row r="17" spans="1:7" x14ac:dyDescent="0.25">
      <c r="A17" s="275"/>
      <c r="B17" s="276"/>
      <c r="C17" s="286"/>
      <c r="D17" s="276"/>
      <c r="E17" s="291"/>
      <c r="F17" s="292"/>
      <c r="G17" s="263"/>
    </row>
    <row r="18" spans="1:7" ht="18" x14ac:dyDescent="0.35">
      <c r="A18" s="284" t="s">
        <v>126</v>
      </c>
      <c r="B18" s="287"/>
      <c r="C18" s="286"/>
      <c r="D18" s="287" t="s">
        <v>126</v>
      </c>
      <c r="E18" s="300"/>
      <c r="F18" s="292"/>
      <c r="G18" s="263"/>
    </row>
    <row r="19" spans="1:7" x14ac:dyDescent="0.25">
      <c r="A19" s="289" t="s">
        <v>118</v>
      </c>
      <c r="B19" s="276">
        <f>ROUND((B3-B1)/(SQRT(Punktschätzungen!H6/Punktschätzungen!B2)),4)</f>
        <v>-3.4481999999999999</v>
      </c>
      <c r="C19" s="286"/>
      <c r="D19" s="290" t="s">
        <v>118</v>
      </c>
      <c r="E19" s="291">
        <f>ROUND((E3-E1)/(SQRT(Punktschätzungen!H42/Punktschätzungen!B38)),4)</f>
        <v>-1.8066</v>
      </c>
      <c r="F19" s="303"/>
      <c r="G19" s="263"/>
    </row>
    <row r="20" spans="1:7" x14ac:dyDescent="0.25">
      <c r="A20" s="289" t="s">
        <v>119</v>
      </c>
      <c r="B20" s="251">
        <v>0.05</v>
      </c>
      <c r="C20" s="286"/>
      <c r="D20" s="290" t="s">
        <v>119</v>
      </c>
      <c r="E20" s="252">
        <v>0.05</v>
      </c>
      <c r="F20" s="263"/>
      <c r="G20" s="263"/>
    </row>
    <row r="21" spans="1:7" ht="18" x14ac:dyDescent="0.35">
      <c r="A21" s="289" t="s">
        <v>127</v>
      </c>
      <c r="B21" s="276">
        <f>ROUND(NORMINV(B20,0,1),4)</f>
        <v>-1.6449</v>
      </c>
      <c r="C21" s="286"/>
      <c r="D21" s="290" t="s">
        <v>128</v>
      </c>
      <c r="E21" s="295">
        <f>ROUND(-TINV(2*E20,Punktschätzungen!B38-1),3)</f>
        <v>-1.7010000000000001</v>
      </c>
      <c r="F21" s="301"/>
      <c r="G21" s="304"/>
    </row>
    <row r="22" spans="1:7" ht="15.75" thickBot="1" x14ac:dyDescent="0.3">
      <c r="A22" s="305" t="s">
        <v>122</v>
      </c>
      <c r="B22" s="306" t="str">
        <f>IF(B19&lt;B21,"Verwerfen","Beibehalten")</f>
        <v>Verwerfen</v>
      </c>
      <c r="C22" s="307"/>
      <c r="D22" s="306" t="s">
        <v>122</v>
      </c>
      <c r="E22" s="308" t="str">
        <f>IF(E19&lt;E21,"Verwerfen","Beibehalten")</f>
        <v>Verwerfen</v>
      </c>
      <c r="F22" s="301"/>
      <c r="G22" s="304"/>
    </row>
    <row r="23" spans="1:7" x14ac:dyDescent="0.25">
      <c r="C23" s="263"/>
      <c r="D23" s="263"/>
      <c r="E23" s="263"/>
      <c r="F23" s="263"/>
      <c r="G23" s="263"/>
    </row>
    <row r="24" spans="1:7" ht="15.75" thickBot="1" x14ac:dyDescent="0.3">
      <c r="A24" s="263"/>
      <c r="B24" s="263"/>
      <c r="C24" s="263"/>
      <c r="D24" s="263"/>
      <c r="E24" s="263"/>
      <c r="F24" s="304"/>
      <c r="G24" s="263"/>
    </row>
    <row r="25" spans="1:7" ht="19.5" x14ac:dyDescent="0.35">
      <c r="A25" s="259" t="s">
        <v>129</v>
      </c>
      <c r="B25" s="254">
        <v>70</v>
      </c>
      <c r="C25" s="263"/>
      <c r="F25" s="309"/>
    </row>
    <row r="26" spans="1:7" ht="15.75" x14ac:dyDescent="0.25">
      <c r="A26" s="266"/>
      <c r="B26" s="310"/>
      <c r="C26" s="263"/>
      <c r="F26" s="309"/>
    </row>
    <row r="27" spans="1:7" ht="15.75" x14ac:dyDescent="0.25">
      <c r="A27" s="271" t="s">
        <v>130</v>
      </c>
      <c r="B27" s="311">
        <f>Punktschätzungen!C5</f>
        <v>89.84</v>
      </c>
      <c r="C27" s="263"/>
    </row>
    <row r="28" spans="1:7" x14ac:dyDescent="0.25">
      <c r="A28" s="275"/>
      <c r="B28" s="277"/>
      <c r="C28" s="263"/>
    </row>
    <row r="29" spans="1:7" ht="18.75" x14ac:dyDescent="0.35">
      <c r="A29" s="284" t="s">
        <v>131</v>
      </c>
      <c r="B29" s="312"/>
    </row>
    <row r="30" spans="1:7" x14ac:dyDescent="0.25">
      <c r="A30" s="289" t="s">
        <v>118</v>
      </c>
      <c r="B30" s="277">
        <f>ROUND(Punktschätzungen!B2*B27/B25,3)</f>
        <v>89.84</v>
      </c>
    </row>
    <row r="31" spans="1:7" x14ac:dyDescent="0.25">
      <c r="A31" s="289" t="s">
        <v>119</v>
      </c>
      <c r="B31" s="252">
        <v>0.05</v>
      </c>
    </row>
    <row r="32" spans="1:7" ht="18.75" x14ac:dyDescent="0.35">
      <c r="A32" s="289" t="s">
        <v>132</v>
      </c>
      <c r="B32" s="313">
        <f>ROUND(CHIINV(1-B31/2,Punktschätzungen!B2-1),3)</f>
        <v>47.923999999999999</v>
      </c>
    </row>
    <row r="33" spans="1:2" ht="18.75" x14ac:dyDescent="0.35">
      <c r="A33" s="289" t="s">
        <v>133</v>
      </c>
      <c r="B33" s="313">
        <f>ROUND(CHIINV(B31/2,Punktschätzungen!B2-1),3)</f>
        <v>93.855999999999995</v>
      </c>
    </row>
    <row r="34" spans="1:2" x14ac:dyDescent="0.25">
      <c r="A34" s="296" t="s">
        <v>122</v>
      </c>
      <c r="B34" s="298" t="str">
        <f>IF(OR(B30&lt;B32,B30&gt;B33),"Verwerfen","Beibehalten")</f>
        <v>Beibehalten</v>
      </c>
    </row>
    <row r="35" spans="1:2" x14ac:dyDescent="0.25">
      <c r="A35" s="289"/>
      <c r="B35" s="314"/>
    </row>
    <row r="36" spans="1:2" ht="18.75" x14ac:dyDescent="0.35">
      <c r="A36" s="284" t="s">
        <v>134</v>
      </c>
      <c r="B36" s="312"/>
    </row>
    <row r="37" spans="1:2" x14ac:dyDescent="0.25">
      <c r="A37" s="289" t="s">
        <v>118</v>
      </c>
      <c r="B37" s="277">
        <f>B30</f>
        <v>89.84</v>
      </c>
    </row>
    <row r="38" spans="1:2" x14ac:dyDescent="0.25">
      <c r="A38" s="289" t="s">
        <v>119</v>
      </c>
      <c r="B38" s="252">
        <v>0.05</v>
      </c>
    </row>
    <row r="39" spans="1:2" ht="18.75" x14ac:dyDescent="0.35">
      <c r="A39" s="289" t="s">
        <v>135</v>
      </c>
      <c r="B39" s="313">
        <f>ROUND(CHIINV(2*B38,Punktschätzungen!B2-1),3)</f>
        <v>84.418000000000006</v>
      </c>
    </row>
    <row r="40" spans="1:2" x14ac:dyDescent="0.25">
      <c r="A40" s="296" t="s">
        <v>122</v>
      </c>
      <c r="B40" s="298" t="str">
        <f>IF(B37&gt;B39,"Verwerfen","Beibehalten")</f>
        <v>Verwerfen</v>
      </c>
    </row>
    <row r="41" spans="1:2" x14ac:dyDescent="0.25">
      <c r="A41" s="275"/>
      <c r="B41" s="277"/>
    </row>
    <row r="42" spans="1:2" ht="18.75" x14ac:dyDescent="0.35">
      <c r="A42" s="284" t="s">
        <v>136</v>
      </c>
      <c r="B42" s="315"/>
    </row>
    <row r="43" spans="1:2" x14ac:dyDescent="0.25">
      <c r="A43" s="289" t="s">
        <v>118</v>
      </c>
      <c r="B43" s="277">
        <f>B30</f>
        <v>89.84</v>
      </c>
    </row>
    <row r="44" spans="1:2" x14ac:dyDescent="0.25">
      <c r="A44" s="289" t="s">
        <v>119</v>
      </c>
      <c r="B44" s="252">
        <v>0.05</v>
      </c>
    </row>
    <row r="45" spans="1:2" ht="18.75" x14ac:dyDescent="0.35">
      <c r="A45" s="289" t="s">
        <v>144</v>
      </c>
      <c r="B45" s="313">
        <f>ROUND(CHIINV(1-2*B44,Punktschätzungen!B2-1),3)</f>
        <v>54.438000000000002</v>
      </c>
    </row>
    <row r="46" spans="1:2" ht="15.75" thickBot="1" x14ac:dyDescent="0.3">
      <c r="A46" s="305" t="s">
        <v>122</v>
      </c>
      <c r="B46" s="308" t="str">
        <f>IF(B43&lt;B45,"Verwerfen","Beibehalten")</f>
        <v>Beibehalten</v>
      </c>
    </row>
    <row r="48" spans="1:2" ht="15.75" thickBot="1" x14ac:dyDescent="0.3"/>
    <row r="49" spans="1:5" ht="15.75" x14ac:dyDescent="0.25">
      <c r="A49" s="259" t="s">
        <v>151</v>
      </c>
      <c r="B49" s="316"/>
      <c r="C49" s="260"/>
      <c r="D49" s="261"/>
      <c r="E49" s="262"/>
    </row>
    <row r="50" spans="1:5" s="335" customFormat="1" x14ac:dyDescent="0.25">
      <c r="A50" s="317" t="s">
        <v>195</v>
      </c>
      <c r="B50" s="318">
        <f>'Mittelwerte &amp; Varianzen'!O5</f>
        <v>175.46341463414635</v>
      </c>
      <c r="C50" s="334"/>
      <c r="D50" s="269" t="s">
        <v>198</v>
      </c>
      <c r="E50" s="319">
        <f>ROUND((Punktschätzungen!G2-1)/Punktschätzungen!G2*Punktschätzungen!B2/(Punktschätzungen!B2-1)*'Mittelwerte &amp; Varianzen'!O10,2)</f>
        <v>95.14</v>
      </c>
    </row>
    <row r="51" spans="1:5" s="335" customFormat="1" x14ac:dyDescent="0.25">
      <c r="A51" s="320" t="s">
        <v>196</v>
      </c>
      <c r="B51" s="321">
        <f>'Mittelwerte &amp; Varianzen'!W5</f>
        <v>176.93103448275863</v>
      </c>
      <c r="C51" s="336"/>
      <c r="D51" s="274" t="s">
        <v>197</v>
      </c>
      <c r="E51" s="322">
        <f>ROUND((Punktschätzungen!G2-1)/Punktschätzungen!G2*Punktschätzungen!B2/(Punktschätzungen!B2-1)*'Mittelwerte &amp; Varianzen'!W10,2)</f>
        <v>83.69</v>
      </c>
    </row>
    <row r="52" spans="1:5" x14ac:dyDescent="0.25">
      <c r="A52" s="275"/>
      <c r="B52" s="276"/>
      <c r="C52" s="276"/>
      <c r="D52" s="276"/>
      <c r="E52" s="277"/>
    </row>
    <row r="53" spans="1:5" s="283" customFormat="1" ht="16.5" thickBot="1" x14ac:dyDescent="0.3">
      <c r="A53" s="278" t="s">
        <v>114</v>
      </c>
      <c r="B53" s="279"/>
      <c r="C53" s="280"/>
      <c r="D53" s="279" t="s">
        <v>115</v>
      </c>
      <c r="E53" s="281"/>
    </row>
    <row r="54" spans="1:5" s="335" customFormat="1" ht="15.75" thickTop="1" x14ac:dyDescent="0.25">
      <c r="A54" s="323" t="s">
        <v>142</v>
      </c>
      <c r="B54" s="324">
        <f>ROUND(B50-B51,2)</f>
        <v>-1.47</v>
      </c>
      <c r="C54" s="325"/>
      <c r="D54" s="326" t="s">
        <v>142</v>
      </c>
      <c r="E54" s="327">
        <f>ROUND(B50-B51,2)</f>
        <v>-1.47</v>
      </c>
    </row>
    <row r="55" spans="1:5" s="335" customFormat="1" x14ac:dyDescent="0.25">
      <c r="A55" s="323" t="s">
        <v>143</v>
      </c>
      <c r="B55" s="328">
        <f>ROUND(SQRT(E50/'Mittelwerte &amp; Varianzen'!J2+'Hypothesentests Körperlänge'!E51/'Mittelwerte &amp; Varianzen'!R2),3)</f>
        <v>2.282</v>
      </c>
      <c r="C55" s="325"/>
      <c r="D55" s="329" t="s">
        <v>143</v>
      </c>
      <c r="E55" s="330">
        <f>ROUND(SQRT(('Mittelwerte &amp; Varianzen'!J2*E50+'Mittelwerte &amp; Varianzen'!R2*E51)/('Mittelwerte &amp; Varianzen'!J2+'Mittelwerte &amp; Varianzen'!R2-2)),3)*ROUND(SQRT(('Mittelwerte &amp; Varianzen'!J2+'Mittelwerte &amp; Varianzen'!R2)/('Mittelwerte &amp; Varianzen'!J2*'Mittelwerte &amp; Varianzen'!R2)),2)</f>
        <v>2.31528</v>
      </c>
    </row>
    <row r="56" spans="1:5" x14ac:dyDescent="0.25">
      <c r="A56" s="289" t="s">
        <v>118</v>
      </c>
      <c r="B56" s="276">
        <f>ROUND(ABS(B54)/B55,4)</f>
        <v>0.64419999999999999</v>
      </c>
      <c r="C56" s="286"/>
      <c r="D56" s="290" t="s">
        <v>118</v>
      </c>
      <c r="E56" s="291">
        <f>B56</f>
        <v>0.64419999999999999</v>
      </c>
    </row>
    <row r="57" spans="1:5" x14ac:dyDescent="0.25">
      <c r="A57" s="289" t="s">
        <v>119</v>
      </c>
      <c r="B57" s="251">
        <v>0.01</v>
      </c>
      <c r="C57" s="286"/>
      <c r="D57" s="290" t="s">
        <v>119</v>
      </c>
      <c r="E57" s="252">
        <v>0.05</v>
      </c>
    </row>
    <row r="58" spans="1:5" ht="18" x14ac:dyDescent="0.35">
      <c r="A58" s="289" t="s">
        <v>120</v>
      </c>
      <c r="B58" s="293">
        <f>ROUND(NORMINV(1-B57/2,0,1),4)</f>
        <v>2.5758000000000001</v>
      </c>
      <c r="C58" s="294"/>
      <c r="D58" s="290" t="s">
        <v>121</v>
      </c>
      <c r="E58" s="295">
        <f>ROUND(TINV(E57,'Mittelwerte &amp; Varianzen'!B2-2),3)</f>
        <v>1.9950000000000001</v>
      </c>
    </row>
    <row r="59" spans="1:5" ht="15.75" thickBot="1" x14ac:dyDescent="0.3">
      <c r="A59" s="305" t="s">
        <v>122</v>
      </c>
      <c r="B59" s="306" t="str">
        <f>IF(B56&gt;B58,"Verwerfen","Beibehalten")</f>
        <v>Beibehalten</v>
      </c>
      <c r="C59" s="307"/>
      <c r="D59" s="306" t="s">
        <v>122</v>
      </c>
      <c r="E59" s="308" t="str">
        <f>IF(E56&gt;E58,"Verwerfen","Beibehalten")</f>
        <v>Beibehalten</v>
      </c>
    </row>
    <row r="61" spans="1:5" ht="15.75" thickBot="1" x14ac:dyDescent="0.3"/>
    <row r="62" spans="1:5" ht="15.75" x14ac:dyDescent="0.25">
      <c r="A62" s="259" t="s">
        <v>152</v>
      </c>
      <c r="B62" s="331"/>
    </row>
    <row r="63" spans="1:5" ht="15.75" x14ac:dyDescent="0.25">
      <c r="A63" s="269" t="s">
        <v>199</v>
      </c>
      <c r="B63" s="332">
        <f>ROUND('Mittelwerte &amp; Varianzen'!O10,2)</f>
        <v>94</v>
      </c>
    </row>
    <row r="64" spans="1:5" ht="15.75" x14ac:dyDescent="0.25">
      <c r="A64" s="274" t="s">
        <v>200</v>
      </c>
      <c r="B64" s="311">
        <f>ROUND('Mittelwerte &amp; Varianzen'!W10,2)</f>
        <v>82.68</v>
      </c>
    </row>
    <row r="65" spans="1:3" x14ac:dyDescent="0.25">
      <c r="A65" s="289" t="s">
        <v>118</v>
      </c>
      <c r="B65" s="277">
        <f>ROUND(('Mittelwerte &amp; Varianzen'!J2/('Mittelwerte &amp; Varianzen'!J2-1)*B63)/('Mittelwerte &amp; Varianzen'!R2/('Mittelwerte &amp; Varianzen'!R2-1)*B64),4)</f>
        <v>1.1252</v>
      </c>
      <c r="C65" s="333"/>
    </row>
    <row r="66" spans="1:3" x14ac:dyDescent="0.25">
      <c r="A66" s="289" t="s">
        <v>119</v>
      </c>
      <c r="B66" s="252">
        <v>0.05</v>
      </c>
      <c r="C66" s="286"/>
    </row>
    <row r="67" spans="1:3" ht="18" x14ac:dyDescent="0.35">
      <c r="A67" s="289" t="s">
        <v>148</v>
      </c>
      <c r="B67" s="313">
        <f>ROUND(1/(FINV(B66/2,'Mittelwerte &amp; Varianzen'!R2-1,'Mittelwerte &amp; Varianzen'!J2-1)),4)</f>
        <v>0.50980000000000003</v>
      </c>
    </row>
    <row r="68" spans="1:3" ht="18" x14ac:dyDescent="0.35">
      <c r="A68" s="289" t="s">
        <v>149</v>
      </c>
      <c r="B68" s="313">
        <f>ROUND(FINV(B66/2,'Mittelwerte &amp; Varianzen'!J2-1,'Mittelwerte &amp; Varianzen'!R2-1),4)</f>
        <v>2.0476999999999999</v>
      </c>
    </row>
    <row r="69" spans="1:3" ht="15.75" thickBot="1" x14ac:dyDescent="0.3">
      <c r="A69" s="305" t="s">
        <v>122</v>
      </c>
      <c r="B69" s="308" t="str">
        <f>IF(OR(B65&lt;B67,B65&gt;B68),"Verwerfen","Beibehalten")</f>
        <v>Beibehalten</v>
      </c>
    </row>
  </sheetData>
  <conditionalFormatting sqref="B59 E59 B34 B40 B46 B10 B16 B22 E10 E16 E22">
    <cfRule type="expression" dxfId="5" priority="9">
      <formula>IF(B10&lt;&gt;"Beibehalten",TRUE)</formula>
    </cfRule>
    <cfRule type="expression" dxfId="4" priority="10">
      <formula>IF(B10="Beibehalten",TRUE)</formula>
    </cfRule>
  </conditionalFormatting>
  <conditionalFormatting sqref="B69">
    <cfRule type="expression" dxfId="3" priority="1">
      <formula>IF(B69&lt;&gt;"Beibehalten",TRUE)</formula>
    </cfRule>
    <cfRule type="expression" dxfId="2" priority="2">
      <formula>IF(B69="Beibehalten",TRUE)</formula>
    </cfRule>
  </conditionalFormatting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7"/>
  <dimension ref="A1:G69"/>
  <sheetViews>
    <sheetView topLeftCell="A37" zoomScaleNormal="100" workbookViewId="0">
      <selection activeCell="B58" sqref="B58"/>
    </sheetView>
  </sheetViews>
  <sheetFormatPr baseColWidth="10" defaultColWidth="11.42578125" defaultRowHeight="15" x14ac:dyDescent="0.25"/>
  <cols>
    <col min="1" max="1" width="42.28515625" style="265" customWidth="1"/>
    <col min="2" max="2" width="13" style="265" customWidth="1"/>
    <col min="3" max="3" width="7.140625" style="265" customWidth="1"/>
    <col min="4" max="4" width="44" style="265" customWidth="1"/>
    <col min="5" max="5" width="12.5703125" style="265" customWidth="1"/>
    <col min="6" max="6" width="14.85546875" style="265" customWidth="1"/>
    <col min="7" max="16384" width="11.42578125" style="265"/>
  </cols>
  <sheetData>
    <row r="1" spans="1:7" ht="18.75" x14ac:dyDescent="0.35">
      <c r="A1" s="259" t="s">
        <v>146</v>
      </c>
      <c r="B1" s="253">
        <v>24.5</v>
      </c>
      <c r="C1" s="260"/>
      <c r="D1" s="261"/>
      <c r="E1" s="254">
        <v>24.5</v>
      </c>
      <c r="F1" s="263"/>
      <c r="G1" s="264" t="s">
        <v>145</v>
      </c>
    </row>
    <row r="2" spans="1:7" s="263" customFormat="1" ht="15.75" x14ac:dyDescent="0.25">
      <c r="A2" s="266"/>
      <c r="B2" s="267"/>
      <c r="C2" s="268"/>
      <c r="D2" s="269"/>
      <c r="E2" s="310"/>
    </row>
    <row r="3" spans="1:7" s="263" customFormat="1" ht="15.75" x14ac:dyDescent="0.25">
      <c r="A3" s="271" t="s">
        <v>113</v>
      </c>
      <c r="B3" s="272">
        <f>Punktschätzungen!H9</f>
        <v>22.657142857142858</v>
      </c>
      <c r="C3" s="273"/>
      <c r="D3" s="274"/>
      <c r="E3" s="311">
        <f>Punktschätzungen!H45</f>
        <v>22.896551724137932</v>
      </c>
    </row>
    <row r="4" spans="1:7" x14ac:dyDescent="0.25">
      <c r="A4" s="275"/>
      <c r="B4" s="276"/>
      <c r="C4" s="276"/>
      <c r="D4" s="276"/>
      <c r="E4" s="277"/>
    </row>
    <row r="5" spans="1:7" s="283" customFormat="1" ht="16.5" thickBot="1" x14ac:dyDescent="0.3">
      <c r="A5" s="278" t="s">
        <v>114</v>
      </c>
      <c r="B5" s="279"/>
      <c r="C5" s="280"/>
      <c r="D5" s="279" t="s">
        <v>191</v>
      </c>
      <c r="E5" s="281"/>
      <c r="F5" s="282"/>
      <c r="G5" s="282"/>
    </row>
    <row r="6" spans="1:7" ht="18.75" thickTop="1" x14ac:dyDescent="0.35">
      <c r="A6" s="284" t="s">
        <v>116</v>
      </c>
      <c r="B6" s="285"/>
      <c r="C6" s="286"/>
      <c r="D6" s="287" t="s">
        <v>117</v>
      </c>
      <c r="E6" s="288"/>
      <c r="F6" s="263"/>
      <c r="G6" s="263"/>
    </row>
    <row r="7" spans="1:7" x14ac:dyDescent="0.25">
      <c r="A7" s="289" t="s">
        <v>118</v>
      </c>
      <c r="B7" s="276">
        <f>ROUND(ABS(B3-B1)/(SQRT(Punktschätzungen!H11/Punktschätzungen!B2)),4)</f>
        <v>6.8952999999999998</v>
      </c>
      <c r="C7" s="286"/>
      <c r="D7" s="290" t="s">
        <v>118</v>
      </c>
      <c r="E7" s="291">
        <f>ROUND(ABS(E3-E1)/(SQRT(Punktschätzungen!H47/Punktschätzungen!B38)),4)</f>
        <v>4.1738</v>
      </c>
      <c r="F7" s="292"/>
      <c r="G7" s="263"/>
    </row>
    <row r="8" spans="1:7" x14ac:dyDescent="0.25">
      <c r="A8" s="289" t="s">
        <v>119</v>
      </c>
      <c r="B8" s="251">
        <v>0.1</v>
      </c>
      <c r="C8" s="286"/>
      <c r="D8" s="290" t="s">
        <v>119</v>
      </c>
      <c r="E8" s="252">
        <v>0.05</v>
      </c>
      <c r="F8" s="292"/>
      <c r="G8" s="263"/>
    </row>
    <row r="9" spans="1:7" ht="18" x14ac:dyDescent="0.35">
      <c r="A9" s="289" t="s">
        <v>120</v>
      </c>
      <c r="B9" s="293">
        <f>ROUND(NORMINV(1-B8/2,0,1),4)</f>
        <v>1.6449</v>
      </c>
      <c r="C9" s="294"/>
      <c r="D9" s="290" t="s">
        <v>121</v>
      </c>
      <c r="E9" s="295">
        <f>ROUND(TINV(E8,Punktschätzungen!B38-1),3)</f>
        <v>2.048</v>
      </c>
      <c r="F9" s="263"/>
      <c r="G9" s="263"/>
    </row>
    <row r="10" spans="1:7" x14ac:dyDescent="0.25">
      <c r="A10" s="296" t="s">
        <v>122</v>
      </c>
      <c r="B10" s="297" t="str">
        <f>IF(B7&gt;B9,"Verwerfen","Beibehalten")</f>
        <v>Verwerfen</v>
      </c>
      <c r="C10" s="286"/>
      <c r="D10" s="297" t="s">
        <v>122</v>
      </c>
      <c r="E10" s="298" t="str">
        <f>IF(E7&gt;E9,"Verwerfen","Beibehalten")</f>
        <v>Verwerfen</v>
      </c>
      <c r="F10" s="263"/>
      <c r="G10" s="263"/>
    </row>
    <row r="11" spans="1:7" x14ac:dyDescent="0.25">
      <c r="A11" s="289"/>
      <c r="B11" s="299"/>
      <c r="C11" s="286"/>
      <c r="D11" s="290"/>
      <c r="E11" s="291"/>
      <c r="F11" s="263"/>
      <c r="G11" s="263"/>
    </row>
    <row r="12" spans="1:7" ht="18" x14ac:dyDescent="0.35">
      <c r="A12" s="284" t="s">
        <v>123</v>
      </c>
      <c r="B12" s="285"/>
      <c r="C12" s="286"/>
      <c r="D12" s="287" t="s">
        <v>123</v>
      </c>
      <c r="E12" s="300"/>
      <c r="F12" s="301"/>
      <c r="G12" s="263"/>
    </row>
    <row r="13" spans="1:7" x14ac:dyDescent="0.25">
      <c r="A13" s="289" t="s">
        <v>118</v>
      </c>
      <c r="B13" s="276">
        <f>ROUND((B3-B1)/(SQRT(Punktschätzungen!H11/Punktschätzungen!B2)),4)</f>
        <v>-6.8952999999999998</v>
      </c>
      <c r="C13" s="286"/>
      <c r="D13" s="290" t="s">
        <v>118</v>
      </c>
      <c r="E13" s="291">
        <f>ROUND((E3-E1)/(SQRT(Punktschätzungen!H47/Punktschätzungen!B38)),4)</f>
        <v>-4.1738</v>
      </c>
      <c r="F13" s="302"/>
      <c r="G13" s="263"/>
    </row>
    <row r="14" spans="1:7" x14ac:dyDescent="0.25">
      <c r="A14" s="289" t="s">
        <v>119</v>
      </c>
      <c r="B14" s="251">
        <v>0.05</v>
      </c>
      <c r="C14" s="286"/>
      <c r="D14" s="290" t="s">
        <v>119</v>
      </c>
      <c r="E14" s="252">
        <v>0.05</v>
      </c>
      <c r="F14" s="263"/>
      <c r="G14" s="263"/>
    </row>
    <row r="15" spans="1:7" ht="18" x14ac:dyDescent="0.35">
      <c r="A15" s="289" t="s">
        <v>124</v>
      </c>
      <c r="B15" s="293">
        <f>ROUND(NORMINV(1-B14,0,1),4)</f>
        <v>1.6449</v>
      </c>
      <c r="C15" s="286"/>
      <c r="D15" s="290" t="s">
        <v>125</v>
      </c>
      <c r="E15" s="295">
        <f>ROUND(TINV(2*E14,Punktschätzungen!B38-1),3)</f>
        <v>1.7010000000000001</v>
      </c>
      <c r="F15" s="263"/>
      <c r="G15" s="263"/>
    </row>
    <row r="16" spans="1:7" x14ac:dyDescent="0.25">
      <c r="A16" s="296" t="s">
        <v>122</v>
      </c>
      <c r="B16" s="297" t="str">
        <f>IF(B13&gt;B15,"Verwerfen","Beibehalten")</f>
        <v>Beibehalten</v>
      </c>
      <c r="C16" s="286"/>
      <c r="D16" s="297" t="s">
        <v>122</v>
      </c>
      <c r="E16" s="298" t="str">
        <f>IF(E13&gt;E15,"Verwerfen","Beibehalten")</f>
        <v>Beibehalten</v>
      </c>
      <c r="F16" s="263"/>
      <c r="G16" s="263"/>
    </row>
    <row r="17" spans="1:7" x14ac:dyDescent="0.25">
      <c r="A17" s="275"/>
      <c r="B17" s="276"/>
      <c r="C17" s="286"/>
      <c r="D17" s="276"/>
      <c r="E17" s="291"/>
      <c r="F17" s="292"/>
      <c r="G17" s="263"/>
    </row>
    <row r="18" spans="1:7" ht="18" x14ac:dyDescent="0.35">
      <c r="A18" s="284" t="s">
        <v>126</v>
      </c>
      <c r="B18" s="287"/>
      <c r="C18" s="286"/>
      <c r="D18" s="287" t="s">
        <v>126</v>
      </c>
      <c r="E18" s="300"/>
      <c r="F18" s="292"/>
      <c r="G18" s="263"/>
    </row>
    <row r="19" spans="1:7" x14ac:dyDescent="0.25">
      <c r="A19" s="289" t="s">
        <v>118</v>
      </c>
      <c r="B19" s="276">
        <f>ROUND((B3-B1)/(SQRT(Punktschätzungen!H11/Punktschätzungen!B2)),4)</f>
        <v>-6.8952999999999998</v>
      </c>
      <c r="C19" s="286"/>
      <c r="D19" s="290" t="s">
        <v>118</v>
      </c>
      <c r="E19" s="291">
        <f>ROUND((E3-E1)/(SQRT(Punktschätzungen!H47/Punktschätzungen!B38)),4)</f>
        <v>-4.1738</v>
      </c>
      <c r="F19" s="303"/>
      <c r="G19" s="263"/>
    </row>
    <row r="20" spans="1:7" x14ac:dyDescent="0.25">
      <c r="A20" s="289" t="s">
        <v>119</v>
      </c>
      <c r="B20" s="251">
        <v>0.05</v>
      </c>
      <c r="C20" s="286"/>
      <c r="D20" s="290" t="s">
        <v>119</v>
      </c>
      <c r="E20" s="252">
        <v>0.05</v>
      </c>
      <c r="F20" s="263"/>
      <c r="G20" s="263"/>
    </row>
    <row r="21" spans="1:7" ht="18" x14ac:dyDescent="0.35">
      <c r="A21" s="289" t="s">
        <v>127</v>
      </c>
      <c r="B21" s="276">
        <f>ROUND(NORMINV(B20,0,1),4)</f>
        <v>-1.6449</v>
      </c>
      <c r="C21" s="286"/>
      <c r="D21" s="290" t="s">
        <v>128</v>
      </c>
      <c r="E21" s="295">
        <f>ROUND(-TINV(2*E20,Punktschätzungen!B38-1),3)</f>
        <v>-1.7010000000000001</v>
      </c>
      <c r="F21" s="301"/>
      <c r="G21" s="304"/>
    </row>
    <row r="22" spans="1:7" ht="15.75" thickBot="1" x14ac:dyDescent="0.3">
      <c r="A22" s="305" t="s">
        <v>122</v>
      </c>
      <c r="B22" s="306" t="str">
        <f>IF(B19&lt;B21,"Verwerfen","Beibehalten")</f>
        <v>Verwerfen</v>
      </c>
      <c r="C22" s="307"/>
      <c r="D22" s="306" t="s">
        <v>122</v>
      </c>
      <c r="E22" s="308" t="str">
        <f>IF(E19&lt;E21,"Verwerfen","Beibehalten")</f>
        <v>Verwerfen</v>
      </c>
      <c r="F22" s="301"/>
      <c r="G22" s="304"/>
    </row>
    <row r="23" spans="1:7" x14ac:dyDescent="0.25">
      <c r="C23" s="263"/>
      <c r="D23" s="263"/>
      <c r="E23" s="263"/>
      <c r="F23" s="263"/>
      <c r="G23" s="263"/>
    </row>
    <row r="24" spans="1:7" ht="15.75" thickBot="1" x14ac:dyDescent="0.3">
      <c r="A24" s="263"/>
      <c r="B24" s="263"/>
      <c r="C24" s="263"/>
    </row>
    <row r="25" spans="1:7" ht="19.5" x14ac:dyDescent="0.35">
      <c r="A25" s="259" t="s">
        <v>147</v>
      </c>
      <c r="B25" s="254">
        <v>4</v>
      </c>
      <c r="C25" s="263"/>
      <c r="F25" s="309"/>
    </row>
    <row r="26" spans="1:7" ht="15.75" x14ac:dyDescent="0.25">
      <c r="A26" s="266"/>
      <c r="B26" s="310"/>
      <c r="C26" s="263"/>
      <c r="F26" s="309"/>
    </row>
    <row r="27" spans="1:7" ht="15.75" x14ac:dyDescent="0.25">
      <c r="A27" s="271" t="s">
        <v>130</v>
      </c>
      <c r="B27" s="311">
        <f>Punktschätzungen!H11</f>
        <v>5</v>
      </c>
      <c r="C27" s="263"/>
    </row>
    <row r="28" spans="1:7" x14ac:dyDescent="0.25">
      <c r="A28" s="275"/>
      <c r="B28" s="277"/>
      <c r="C28" s="263"/>
    </row>
    <row r="29" spans="1:7" ht="18.75" x14ac:dyDescent="0.35">
      <c r="A29" s="284" t="s">
        <v>131</v>
      </c>
      <c r="B29" s="312"/>
    </row>
    <row r="30" spans="1:7" x14ac:dyDescent="0.25">
      <c r="A30" s="289" t="s">
        <v>118</v>
      </c>
      <c r="B30" s="277">
        <f>ROUND(Punktschätzungen!B2*B27/B25,3)</f>
        <v>87.5</v>
      </c>
    </row>
    <row r="31" spans="1:7" x14ac:dyDescent="0.25">
      <c r="A31" s="289" t="s">
        <v>119</v>
      </c>
      <c r="B31" s="252">
        <v>0.05</v>
      </c>
    </row>
    <row r="32" spans="1:7" ht="18.75" x14ac:dyDescent="0.35">
      <c r="A32" s="289" t="s">
        <v>132</v>
      </c>
      <c r="B32" s="313">
        <f>ROUND(CHIINV(1-B31/2,Punktschätzungen!B2-1),3)</f>
        <v>47.923999999999999</v>
      </c>
    </row>
    <row r="33" spans="1:2" ht="18.75" x14ac:dyDescent="0.35">
      <c r="A33" s="289" t="s">
        <v>133</v>
      </c>
      <c r="B33" s="313">
        <f>ROUND(CHIINV(B31/2,Punktschätzungen!B2-1),3)</f>
        <v>93.855999999999995</v>
      </c>
    </row>
    <row r="34" spans="1:2" x14ac:dyDescent="0.25">
      <c r="A34" s="296" t="s">
        <v>122</v>
      </c>
      <c r="B34" s="298" t="str">
        <f>IF(OR(B30&lt;B32,B30&gt;B33),"Verwerfen","Beibehalten")</f>
        <v>Beibehalten</v>
      </c>
    </row>
    <row r="35" spans="1:2" x14ac:dyDescent="0.25">
      <c r="A35" s="289"/>
      <c r="B35" s="314"/>
    </row>
    <row r="36" spans="1:2" ht="18.75" x14ac:dyDescent="0.35">
      <c r="A36" s="284" t="s">
        <v>134</v>
      </c>
      <c r="B36" s="312"/>
    </row>
    <row r="37" spans="1:2" x14ac:dyDescent="0.25">
      <c r="A37" s="289" t="s">
        <v>118</v>
      </c>
      <c r="B37" s="277">
        <f>B30</f>
        <v>87.5</v>
      </c>
    </row>
    <row r="38" spans="1:2" x14ac:dyDescent="0.25">
      <c r="A38" s="289" t="s">
        <v>119</v>
      </c>
      <c r="B38" s="252">
        <v>0.05</v>
      </c>
    </row>
    <row r="39" spans="1:2" ht="18.75" x14ac:dyDescent="0.35">
      <c r="A39" s="289" t="s">
        <v>135</v>
      </c>
      <c r="B39" s="313">
        <f>ROUND(CHIINV(2*B38,Punktschätzungen!B2-1),3)</f>
        <v>84.418000000000006</v>
      </c>
    </row>
    <row r="40" spans="1:2" x14ac:dyDescent="0.25">
      <c r="A40" s="296" t="s">
        <v>122</v>
      </c>
      <c r="B40" s="298" t="str">
        <f>IF(B37&gt;B39,"Verwerfen","Beibehalten")</f>
        <v>Verwerfen</v>
      </c>
    </row>
    <row r="41" spans="1:2" x14ac:dyDescent="0.25">
      <c r="A41" s="275"/>
      <c r="B41" s="277"/>
    </row>
    <row r="42" spans="1:2" ht="18.75" x14ac:dyDescent="0.35">
      <c r="A42" s="284" t="s">
        <v>136</v>
      </c>
      <c r="B42" s="315"/>
    </row>
    <row r="43" spans="1:2" x14ac:dyDescent="0.25">
      <c r="A43" s="289" t="s">
        <v>118</v>
      </c>
      <c r="B43" s="277">
        <f>B30</f>
        <v>87.5</v>
      </c>
    </row>
    <row r="44" spans="1:2" x14ac:dyDescent="0.25">
      <c r="A44" s="289" t="s">
        <v>119</v>
      </c>
      <c r="B44" s="252">
        <v>0.05</v>
      </c>
    </row>
    <row r="45" spans="1:2" ht="18.75" x14ac:dyDescent="0.35">
      <c r="A45" s="289" t="s">
        <v>144</v>
      </c>
      <c r="B45" s="313">
        <f>ROUND(CHIINV(1-2*B44,Punktschätzungen!B2-1),3)</f>
        <v>54.438000000000002</v>
      </c>
    </row>
    <row r="46" spans="1:2" ht="15.75" thickBot="1" x14ac:dyDescent="0.3">
      <c r="A46" s="305" t="s">
        <v>122</v>
      </c>
      <c r="B46" s="308" t="str">
        <f>IF(B43&lt;B45,"Verwerfen","Beibehalten")</f>
        <v>Beibehalten</v>
      </c>
    </row>
    <row r="48" spans="1:2" ht="15.75" thickBot="1" x14ac:dyDescent="0.3"/>
    <row r="49" spans="1:5" ht="15.75" x14ac:dyDescent="0.25">
      <c r="A49" s="259" t="s">
        <v>150</v>
      </c>
      <c r="B49" s="316"/>
      <c r="C49" s="260"/>
      <c r="D49" s="261"/>
      <c r="E49" s="262"/>
    </row>
    <row r="50" spans="1:5" x14ac:dyDescent="0.25">
      <c r="A50" s="317" t="s">
        <v>195</v>
      </c>
      <c r="B50" s="318">
        <f>'Mittelwerte &amp; Varianzen'!K5</f>
        <v>22.487804878048781</v>
      </c>
      <c r="C50" s="268"/>
      <c r="D50" s="269" t="s">
        <v>198</v>
      </c>
      <c r="E50" s="319">
        <f>ROUND((Punktschätzungen!G2-1)/Punktschätzungen!G2*Punktschätzungen!B2/(Punktschätzungen!B2-1)*'Mittelwerte &amp; Varianzen'!K10,2)</f>
        <v>5.44</v>
      </c>
    </row>
    <row r="51" spans="1:5" x14ac:dyDescent="0.25">
      <c r="A51" s="320" t="s">
        <v>196</v>
      </c>
      <c r="B51" s="321">
        <f>'Mittelwerte &amp; Varianzen'!S5</f>
        <v>22.896551724137932</v>
      </c>
      <c r="C51" s="273"/>
      <c r="D51" s="274" t="s">
        <v>197</v>
      </c>
      <c r="E51" s="322">
        <f>ROUND((Punktschätzungen!G2-1)/Punktschätzungen!G2*Punktschätzungen!B2/(Punktschätzungen!B2-1)*'Mittelwerte &amp; Varianzen'!S10,2)</f>
        <v>4.28</v>
      </c>
    </row>
    <row r="52" spans="1:5" x14ac:dyDescent="0.25">
      <c r="A52" s="275"/>
      <c r="B52" s="276"/>
      <c r="C52" s="276"/>
      <c r="D52" s="276"/>
      <c r="E52" s="277"/>
    </row>
    <row r="53" spans="1:5" s="283" customFormat="1" ht="16.5" thickBot="1" x14ac:dyDescent="0.3">
      <c r="A53" s="278" t="s">
        <v>194</v>
      </c>
      <c r="B53" s="279"/>
      <c r="C53" s="280"/>
      <c r="D53" s="279" t="s">
        <v>193</v>
      </c>
      <c r="E53" s="281"/>
    </row>
    <row r="54" spans="1:5" ht="15.75" thickTop="1" x14ac:dyDescent="0.25">
      <c r="A54" s="323" t="s">
        <v>142</v>
      </c>
      <c r="B54" s="324">
        <f>ROUND(B50-B51,2)</f>
        <v>-0.41</v>
      </c>
      <c r="C54" s="325"/>
      <c r="D54" s="326" t="s">
        <v>142</v>
      </c>
      <c r="E54" s="327">
        <f>ROUND(B50-B51,2)</f>
        <v>-0.41</v>
      </c>
    </row>
    <row r="55" spans="1:5" x14ac:dyDescent="0.25">
      <c r="A55" s="323" t="s">
        <v>143</v>
      </c>
      <c r="B55" s="328">
        <f>ROUND(SQRT(E50/'Mittelwerte &amp; Varianzen'!J2+'Hypothesentests Alter'!E51/'Mittelwerte &amp; Varianzen'!R2),3)</f>
        <v>0.52900000000000003</v>
      </c>
      <c r="C55" s="325"/>
      <c r="D55" s="329" t="s">
        <v>143</v>
      </c>
      <c r="E55" s="330">
        <f>ROUND(SQRT(('Mittelwerte &amp; Varianzen'!J2*E50+'Mittelwerte &amp; Varianzen'!R2*E51)/('Mittelwerte &amp; Varianzen'!J2+'Mittelwerte &amp; Varianzen'!R2-2)),3)*ROUND(SQRT(('Mittelwerte &amp; Varianzen'!J2+'Mittelwerte &amp; Varianzen'!R2)/('Mittelwerte &amp; Varianzen'!J2*'Mittelwerte &amp; Varianzen'!R2)),2)</f>
        <v>0.54215999999999998</v>
      </c>
    </row>
    <row r="56" spans="1:5" x14ac:dyDescent="0.25">
      <c r="A56" s="289" t="s">
        <v>118</v>
      </c>
      <c r="B56" s="276">
        <f>ROUND(ABS(B54)/B55,4)</f>
        <v>0.77500000000000002</v>
      </c>
      <c r="C56" s="286"/>
      <c r="D56" s="290" t="s">
        <v>118</v>
      </c>
      <c r="E56" s="291">
        <f>B56</f>
        <v>0.77500000000000002</v>
      </c>
    </row>
    <row r="57" spans="1:5" x14ac:dyDescent="0.25">
      <c r="A57" s="289" t="s">
        <v>119</v>
      </c>
      <c r="B57" s="251">
        <v>0.05</v>
      </c>
      <c r="C57" s="286"/>
      <c r="D57" s="290" t="s">
        <v>119</v>
      </c>
      <c r="E57" s="252">
        <v>0.05</v>
      </c>
    </row>
    <row r="58" spans="1:5" ht="18" x14ac:dyDescent="0.35">
      <c r="A58" s="289" t="s">
        <v>120</v>
      </c>
      <c r="B58" s="293">
        <f>ROUND(NORMINV(1-B57/2,0,1),4)</f>
        <v>1.96</v>
      </c>
      <c r="C58" s="294"/>
      <c r="D58" s="290" t="s">
        <v>192</v>
      </c>
      <c r="E58" s="295">
        <f>ROUND(TINV(E57,'Mittelwerte &amp; Varianzen'!B2-2),3)</f>
        <v>1.9950000000000001</v>
      </c>
    </row>
    <row r="59" spans="1:5" ht="15.75" thickBot="1" x14ac:dyDescent="0.3">
      <c r="A59" s="305" t="s">
        <v>122</v>
      </c>
      <c r="B59" s="306" t="str">
        <f>IF(B56&gt;B58,"Verwerfen","Beibehalten")</f>
        <v>Beibehalten</v>
      </c>
      <c r="C59" s="307"/>
      <c r="D59" s="306" t="s">
        <v>122</v>
      </c>
      <c r="E59" s="308" t="str">
        <f>IF(E56&gt;E58,"Verwerfen","Beibehalten")</f>
        <v>Beibehalten</v>
      </c>
    </row>
    <row r="61" spans="1:5" ht="15.75" thickBot="1" x14ac:dyDescent="0.3"/>
    <row r="62" spans="1:5" ht="15.75" x14ac:dyDescent="0.25">
      <c r="A62" s="259" t="s">
        <v>153</v>
      </c>
      <c r="B62" s="331"/>
    </row>
    <row r="63" spans="1:5" ht="15.75" x14ac:dyDescent="0.25">
      <c r="A63" s="269" t="s">
        <v>199</v>
      </c>
      <c r="B63" s="332">
        <f>ROUND('Mittelwerte &amp; Varianzen'!K10,2)</f>
        <v>5.37</v>
      </c>
    </row>
    <row r="64" spans="1:5" ht="15.75" x14ac:dyDescent="0.25">
      <c r="A64" s="274" t="s">
        <v>200</v>
      </c>
      <c r="B64" s="311">
        <f>ROUND('Mittelwerte &amp; Varianzen'!S10,2)</f>
        <v>4.2300000000000004</v>
      </c>
    </row>
    <row r="65" spans="1:3" x14ac:dyDescent="0.25">
      <c r="A65" s="289" t="s">
        <v>118</v>
      </c>
      <c r="B65" s="277">
        <f>ROUND(('Mittelwerte &amp; Varianzen'!J2/('Mittelwerte &amp; Varianzen'!J2-1)*B63)/('Mittelwerte &amp; Varianzen'!R2/('Mittelwerte &amp; Varianzen'!R2-1)*B64),4)</f>
        <v>1.2564</v>
      </c>
      <c r="C65" s="333"/>
    </row>
    <row r="66" spans="1:3" x14ac:dyDescent="0.25">
      <c r="A66" s="289" t="s">
        <v>119</v>
      </c>
      <c r="B66" s="252">
        <v>0.05</v>
      </c>
      <c r="C66" s="286"/>
    </row>
    <row r="67" spans="1:3" ht="18" x14ac:dyDescent="0.35">
      <c r="A67" s="289" t="s">
        <v>148</v>
      </c>
      <c r="B67" s="313">
        <f>ROUND(1/(FINV(B66/2,'Mittelwerte &amp; Varianzen'!R2-1,'Mittelwerte &amp; Varianzen'!J2-1)),4)</f>
        <v>0.50980000000000003</v>
      </c>
    </row>
    <row r="68" spans="1:3" ht="18" x14ac:dyDescent="0.35">
      <c r="A68" s="289" t="s">
        <v>149</v>
      </c>
      <c r="B68" s="313">
        <f>ROUND(FINV(B66/2,'Mittelwerte &amp; Varianzen'!J2-1,'Mittelwerte &amp; Varianzen'!R2-1),4)</f>
        <v>2.0476999999999999</v>
      </c>
    </row>
    <row r="69" spans="1:3" ht="15.75" thickBot="1" x14ac:dyDescent="0.3">
      <c r="A69" s="305" t="s">
        <v>122</v>
      </c>
      <c r="B69" s="308" t="str">
        <f>IF(OR(B65&lt;B67,B65&gt;B68),"Verwerfen","Beibehalten")</f>
        <v>Beibehalten</v>
      </c>
    </row>
  </sheetData>
  <conditionalFormatting sqref="B69 B59 E59 B34 B40 B46 B10 B16 B22 E10 E16 E22">
    <cfRule type="expression" dxfId="1" priority="5">
      <formula>IF(B10&lt;&gt;"Beibehalten",TRUE)</formula>
    </cfRule>
    <cfRule type="expression" dxfId="0" priority="6">
      <formula>IF(B10="Beibehalten",TRUE)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Arbeitsblätter</vt:lpstr>
      </vt:variant>
      <vt:variant>
        <vt:i4>24</vt:i4>
      </vt:variant>
      <vt:variant>
        <vt:lpstr>Diagramme</vt:lpstr>
      </vt:variant>
      <vt:variant>
        <vt:i4>14</vt:i4>
      </vt:variant>
      <vt:variant>
        <vt:lpstr>Benannte Bereiche</vt:lpstr>
      </vt:variant>
      <vt:variant>
        <vt:i4>11</vt:i4>
      </vt:variant>
    </vt:vector>
  </HeadingPairs>
  <TitlesOfParts>
    <vt:vector size="49" baseType="lpstr">
      <vt:lpstr>Tabellen Boxplots</vt:lpstr>
      <vt:lpstr>Blasendiagramm</vt:lpstr>
      <vt:lpstr>Urlisten sortiert Größe</vt:lpstr>
      <vt:lpstr>Urlisten sortiert Alter</vt:lpstr>
      <vt:lpstr>Urlisten</vt:lpstr>
      <vt:lpstr>Häufigkeiten</vt:lpstr>
      <vt:lpstr>Häufigkeiten 2</vt:lpstr>
      <vt:lpstr>Tabellen Klassierte Maßzahlen</vt:lpstr>
      <vt:lpstr>Mittelwerte &amp; Varianzen</vt:lpstr>
      <vt:lpstr>Tabellen Verteilungsfunktionen</vt:lpstr>
      <vt:lpstr>Tabellen Histogramme</vt:lpstr>
      <vt:lpstr>2D-Alter-Größe</vt:lpstr>
      <vt:lpstr>2D-Alter-Größe 01</vt:lpstr>
      <vt:lpstr>2D-Alter-Größe 02</vt:lpstr>
      <vt:lpstr>Bedingte Verteilung Alter Größe</vt:lpstr>
      <vt:lpstr>2D-Größe-Geschlecht</vt:lpstr>
      <vt:lpstr>2D-Beruf-Geschlecht</vt:lpstr>
      <vt:lpstr>Punktschätzungen</vt:lpstr>
      <vt:lpstr>2D-Größe-Geschlecht-02</vt:lpstr>
      <vt:lpstr>Konfidenzintervalle</vt:lpstr>
      <vt:lpstr>Hypothesentests Geschlecht</vt:lpstr>
      <vt:lpstr>Hypothesentests Berufsausb.</vt:lpstr>
      <vt:lpstr>Hypothesentests Körperlänge</vt:lpstr>
      <vt:lpstr>Hypothesentests Alter</vt:lpstr>
      <vt:lpstr>Boxplot Altersklasse vs Größe</vt:lpstr>
      <vt:lpstr>Kastengrafik</vt:lpstr>
      <vt:lpstr>Streudiagramm</vt:lpstr>
      <vt:lpstr>Stemplot Größe</vt:lpstr>
      <vt:lpstr>Stemplot Alter</vt:lpstr>
      <vt:lpstr>Alter (absolut)</vt:lpstr>
      <vt:lpstr>Alter (relativ)</vt:lpstr>
      <vt:lpstr>Größe (absolut)</vt:lpstr>
      <vt:lpstr>Größe (relativ)</vt:lpstr>
      <vt:lpstr>Geschlecht</vt:lpstr>
      <vt:lpstr>Berufsausbildung</vt:lpstr>
      <vt:lpstr>Histogramm Alter</vt:lpstr>
      <vt:lpstr>Verteilungsfunktionen Alter</vt:lpstr>
      <vt:lpstr>Verteilungsfunktionen Größe</vt:lpstr>
      <vt:lpstr>'2D-Alter-Größe 01'!Druckbereich</vt:lpstr>
      <vt:lpstr>'2D-Alter-Größe 02'!Druckbereich</vt:lpstr>
      <vt:lpstr>'2D-Größe-Geschlecht-02'!Druckbereich</vt:lpstr>
      <vt:lpstr>'Bedingte Verteilung Alter Größe'!Druckbereich</vt:lpstr>
      <vt:lpstr>Häufigkeiten!Druckbereich</vt:lpstr>
      <vt:lpstr>'Häufigkeiten 2'!Druckbereich</vt:lpstr>
      <vt:lpstr>'Mittelwerte &amp; Varianzen'!Druckbereich</vt:lpstr>
      <vt:lpstr>'Tabellen Boxplots'!Druckbereich</vt:lpstr>
      <vt:lpstr>'Tabellen Klassierte Maßzahlen'!Druckbereich</vt:lpstr>
      <vt:lpstr>'Urlisten sortiert Alter'!Druckbereich</vt:lpstr>
      <vt:lpstr>'Urlisten sortiert Größe'!Druckbereich</vt:lpstr>
    </vt:vector>
  </TitlesOfParts>
  <Company>FH Kaiserslautern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Andreas Steil</dc:creator>
  <cp:lastModifiedBy>Andreas Steil</cp:lastModifiedBy>
  <cp:lastPrinted>2018-10-20T13:44:08Z</cp:lastPrinted>
  <dcterms:created xsi:type="dcterms:W3CDTF">2016-10-04T13:01:53Z</dcterms:created>
  <dcterms:modified xsi:type="dcterms:W3CDTF">2018-10-20T14:20:27Z</dcterms:modified>
</cp:coreProperties>
</file>